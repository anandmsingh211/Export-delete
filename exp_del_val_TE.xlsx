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nandmohan_singh_capgemini_com/Documents/Desktop/Export Delete/"/>
    </mc:Choice>
  </mc:AlternateContent>
  <xr:revisionPtr revIDLastSave="123" documentId="8_{D8D32E7E-87BD-44E5-9832-4B8367750119}" xr6:coauthVersionLast="47" xr6:coauthVersionMax="47" xr10:uidLastSave="{051A6D82-915F-4E1D-9A60-7E41555E88FD}"/>
  <bookViews>
    <workbookView xWindow="-110" yWindow="-110" windowWidth="19420" windowHeight="10300" activeTab="2" xr2:uid="{851E09BF-BB08-440C-B4AF-8918F4A9856D}"/>
  </bookViews>
  <sheets>
    <sheet name="Sheet1" sheetId="1" r:id="rId1"/>
    <sheet name="Sheet3" sheetId="3" r:id="rId2"/>
    <sheet name="Generic 2" sheetId="4" r:id="rId3"/>
  </sheets>
  <definedNames>
    <definedName name="_xlnm._FilterDatabase" localSheetId="0" hidden="1">Sheet1!$I$1:$J$87</definedName>
  </definedNames>
  <calcPr calcId="191029"/>
  <pivotCaches>
    <pivotCache cacheId="0" r:id="rId4"/>
    <pivotCache cacheId="8" r:id="rId5"/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L17" i="4" s="1"/>
  <c r="K18" i="4"/>
  <c r="K19" i="4"/>
  <c r="K20" i="4"/>
  <c r="K21" i="4"/>
  <c r="K22" i="4"/>
  <c r="K23" i="4"/>
  <c r="K24" i="4"/>
  <c r="K25" i="4"/>
  <c r="L25" i="4" s="1"/>
  <c r="K26" i="4"/>
  <c r="K27" i="4"/>
  <c r="K28" i="4"/>
  <c r="K29" i="4"/>
  <c r="K30" i="4"/>
  <c r="K31" i="4"/>
  <c r="K32" i="4"/>
  <c r="K33" i="4"/>
  <c r="L33" i="4" s="1"/>
  <c r="K34" i="4"/>
  <c r="K35" i="4"/>
  <c r="K36" i="4"/>
  <c r="K37" i="4"/>
  <c r="K38" i="4"/>
  <c r="K39" i="4"/>
  <c r="K40" i="4"/>
  <c r="K41" i="4"/>
  <c r="L41" i="4" s="1"/>
  <c r="K42" i="4"/>
  <c r="K43" i="4"/>
  <c r="K44" i="4"/>
  <c r="K45" i="4"/>
  <c r="K46" i="4"/>
  <c r="K47" i="4"/>
  <c r="K48" i="4"/>
  <c r="K49" i="4"/>
  <c r="L49" i="4" s="1"/>
  <c r="K50" i="4"/>
  <c r="K51" i="4"/>
  <c r="K52" i="4"/>
  <c r="K53" i="4"/>
  <c r="K54" i="4"/>
  <c r="K55" i="4"/>
  <c r="K56" i="4"/>
  <c r="K57" i="4"/>
  <c r="L57" i="4" s="1"/>
  <c r="K58" i="4"/>
  <c r="K59" i="4"/>
  <c r="K60" i="4"/>
  <c r="K61" i="4"/>
  <c r="K62" i="4"/>
  <c r="K63" i="4"/>
  <c r="K64" i="4"/>
  <c r="K65" i="4"/>
  <c r="L65" i="4" s="1"/>
  <c r="K66" i="4"/>
  <c r="K67" i="4"/>
  <c r="K68" i="4"/>
  <c r="L68" i="4" s="1"/>
  <c r="K69" i="4"/>
  <c r="K70" i="4"/>
  <c r="K71" i="4"/>
  <c r="K72" i="4"/>
  <c r="K73" i="4"/>
  <c r="L73" i="4" s="1"/>
  <c r="K74" i="4"/>
  <c r="K75" i="4"/>
  <c r="K76" i="4"/>
  <c r="L76" i="4" s="1"/>
  <c r="K77" i="4"/>
  <c r="K78" i="4"/>
  <c r="K79" i="4"/>
  <c r="K80" i="4"/>
  <c r="K81" i="4"/>
  <c r="L81" i="4" s="1"/>
  <c r="K82" i="4"/>
  <c r="K83" i="4"/>
  <c r="L83" i="4" s="1"/>
  <c r="K84" i="4"/>
  <c r="L84" i="4" s="1"/>
  <c r="K85" i="4"/>
  <c r="K86" i="4"/>
  <c r="K87" i="4"/>
  <c r="L87" i="4" s="1"/>
  <c r="K2" i="4"/>
  <c r="L2" i="4" s="1"/>
  <c r="I3" i="1"/>
  <c r="I4" i="1"/>
  <c r="I5" i="1"/>
  <c r="I6" i="1"/>
  <c r="I7" i="1"/>
  <c r="I8" i="1"/>
  <c r="I9" i="1"/>
  <c r="J9" i="1" s="1"/>
  <c r="I10" i="1"/>
  <c r="I11" i="1"/>
  <c r="I12" i="1"/>
  <c r="I13" i="1"/>
  <c r="I14" i="1"/>
  <c r="I15" i="1"/>
  <c r="I16" i="1"/>
  <c r="I17" i="1"/>
  <c r="J17" i="1" s="1"/>
  <c r="I18" i="1"/>
  <c r="I19" i="1"/>
  <c r="I20" i="1"/>
  <c r="I21" i="1"/>
  <c r="I22" i="1"/>
  <c r="I23" i="1"/>
  <c r="I24" i="1"/>
  <c r="I25" i="1"/>
  <c r="J25" i="1" s="1"/>
  <c r="I26" i="1"/>
  <c r="I27" i="1"/>
  <c r="I28" i="1"/>
  <c r="I29" i="1"/>
  <c r="I30" i="1"/>
  <c r="I31" i="1"/>
  <c r="I32" i="1"/>
  <c r="I33" i="1"/>
  <c r="J33" i="1" s="1"/>
  <c r="I34" i="1"/>
  <c r="I35" i="1"/>
  <c r="I36" i="1"/>
  <c r="I37" i="1"/>
  <c r="I38" i="1"/>
  <c r="I39" i="1"/>
  <c r="I40" i="1"/>
  <c r="I41" i="1"/>
  <c r="J41" i="1" s="1"/>
  <c r="I42" i="1"/>
  <c r="I43" i="1"/>
  <c r="I44" i="1"/>
  <c r="I45" i="1"/>
  <c r="I46" i="1"/>
  <c r="I47" i="1"/>
  <c r="I48" i="1"/>
  <c r="I49" i="1"/>
  <c r="J49" i="1" s="1"/>
  <c r="I50" i="1"/>
  <c r="I51" i="1"/>
  <c r="I52" i="1"/>
  <c r="I53" i="1"/>
  <c r="I54" i="1"/>
  <c r="I55" i="1"/>
  <c r="I56" i="1"/>
  <c r="I57" i="1"/>
  <c r="J57" i="1" s="1"/>
  <c r="I58" i="1"/>
  <c r="I59" i="1"/>
  <c r="I60" i="1"/>
  <c r="I61" i="1"/>
  <c r="I62" i="1"/>
  <c r="I63" i="1"/>
  <c r="I64" i="1"/>
  <c r="I65" i="1"/>
  <c r="J65" i="1" s="1"/>
  <c r="I66" i="1"/>
  <c r="I67" i="1"/>
  <c r="I68" i="1"/>
  <c r="I69" i="1"/>
  <c r="I70" i="1"/>
  <c r="I71" i="1"/>
  <c r="I72" i="1"/>
  <c r="I73" i="1"/>
  <c r="J73" i="1" s="1"/>
  <c r="I74" i="1"/>
  <c r="I75" i="1"/>
  <c r="I76" i="1"/>
  <c r="I77" i="1"/>
  <c r="I78" i="1"/>
  <c r="I79" i="1"/>
  <c r="I80" i="1"/>
  <c r="I81" i="1"/>
  <c r="J81" i="1" s="1"/>
  <c r="I82" i="1"/>
  <c r="I83" i="1"/>
  <c r="I84" i="1"/>
  <c r="J84" i="1" s="1"/>
  <c r="I85" i="1"/>
  <c r="I86" i="1"/>
  <c r="J86" i="1" s="1"/>
  <c r="I87" i="1"/>
  <c r="J87" i="1" s="1"/>
  <c r="I2" i="1"/>
  <c r="J2" i="1" s="1"/>
  <c r="L10" i="4"/>
  <c r="L11" i="4"/>
  <c r="L12" i="4"/>
  <c r="L13" i="4"/>
  <c r="L14" i="4"/>
  <c r="L15" i="4"/>
  <c r="L16" i="4"/>
  <c r="L18" i="4"/>
  <c r="L19" i="4"/>
  <c r="L20" i="4"/>
  <c r="L21" i="4"/>
  <c r="L22" i="4"/>
  <c r="L23" i="4"/>
  <c r="L24" i="4"/>
  <c r="L26" i="4"/>
  <c r="L27" i="4"/>
  <c r="L28" i="4"/>
  <c r="L29" i="4"/>
  <c r="L30" i="4"/>
  <c r="L31" i="4"/>
  <c r="L32" i="4"/>
  <c r="L34" i="4"/>
  <c r="L35" i="4"/>
  <c r="L36" i="4"/>
  <c r="L37" i="4"/>
  <c r="L38" i="4"/>
  <c r="L39" i="4"/>
  <c r="L40" i="4"/>
  <c r="L42" i="4"/>
  <c r="L43" i="4"/>
  <c r="L44" i="4"/>
  <c r="L45" i="4"/>
  <c r="L46" i="4"/>
  <c r="L47" i="4"/>
  <c r="L48" i="4"/>
  <c r="L50" i="4"/>
  <c r="L51" i="4"/>
  <c r="L52" i="4"/>
  <c r="L53" i="4"/>
  <c r="L54" i="4"/>
  <c r="L55" i="4"/>
  <c r="L56" i="4"/>
  <c r="L58" i="4"/>
  <c r="L59" i="4"/>
  <c r="L60" i="4"/>
  <c r="L61" i="4"/>
  <c r="L62" i="4"/>
  <c r="L63" i="4"/>
  <c r="L64" i="4"/>
  <c r="L66" i="4"/>
  <c r="L67" i="4"/>
  <c r="L69" i="4"/>
  <c r="L70" i="4"/>
  <c r="L71" i="4"/>
  <c r="L72" i="4"/>
  <c r="L74" i="4"/>
  <c r="L75" i="4"/>
  <c r="L77" i="4"/>
  <c r="L78" i="4"/>
  <c r="L79" i="4"/>
  <c r="L80" i="4"/>
  <c r="L82" i="4"/>
  <c r="L85" i="4"/>
  <c r="L86" i="4"/>
  <c r="L3" i="4"/>
  <c r="L4" i="4"/>
  <c r="L5" i="4"/>
  <c r="L6" i="4"/>
  <c r="L7" i="4"/>
  <c r="L8" i="4"/>
  <c r="L9" i="4"/>
  <c r="J3" i="1"/>
  <c r="J4" i="1"/>
  <c r="J5" i="1"/>
  <c r="J6" i="1"/>
  <c r="J7" i="1"/>
  <c r="J8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6" i="1"/>
  <c r="J27" i="1"/>
  <c r="J28" i="1"/>
  <c r="J29" i="1"/>
  <c r="J30" i="1"/>
  <c r="J31" i="1"/>
  <c r="J32" i="1"/>
  <c r="J34" i="1"/>
  <c r="J35" i="1"/>
  <c r="J36" i="1"/>
  <c r="J37" i="1"/>
  <c r="J38" i="1"/>
  <c r="J39" i="1"/>
  <c r="J40" i="1"/>
  <c r="J42" i="1"/>
  <c r="J43" i="1"/>
  <c r="J44" i="1"/>
  <c r="J45" i="1"/>
  <c r="J46" i="1"/>
  <c r="J47" i="1"/>
  <c r="J48" i="1"/>
  <c r="J50" i="1"/>
  <c r="J51" i="1"/>
  <c r="J52" i="1"/>
  <c r="J53" i="1"/>
  <c r="J54" i="1"/>
  <c r="J55" i="1"/>
  <c r="J56" i="1"/>
  <c r="J58" i="1"/>
  <c r="J59" i="1"/>
  <c r="J60" i="1"/>
  <c r="J61" i="1"/>
  <c r="J62" i="1"/>
  <c r="J63" i="1"/>
  <c r="J64" i="1"/>
  <c r="J66" i="1"/>
  <c r="J67" i="1"/>
  <c r="J68" i="1"/>
  <c r="J69" i="1"/>
  <c r="J70" i="1"/>
  <c r="J71" i="1"/>
  <c r="J72" i="1"/>
  <c r="J74" i="1"/>
  <c r="J75" i="1"/>
  <c r="J76" i="1"/>
  <c r="J77" i="1"/>
  <c r="J78" i="1"/>
  <c r="J79" i="1"/>
  <c r="J80" i="1"/>
  <c r="J82" i="1"/>
  <c r="J83" i="1"/>
  <c r="J85" i="1"/>
</calcChain>
</file>

<file path=xl/sharedStrings.xml><?xml version="1.0" encoding="utf-8"?>
<sst xmlns="http://schemas.openxmlformats.org/spreadsheetml/2006/main" count="704" uniqueCount="157">
  <si>
    <t>PS_TECOUDFHDRX_HXX</t>
  </si>
  <si>
    <t>COUDF_XX</t>
  </si>
  <si>
    <t>PS_AHRJBRQDPT_H_XX</t>
  </si>
  <si>
    <t>DPTRQ_XX</t>
  </si>
  <si>
    <t>PS_JOBREQ_H_XX</t>
  </si>
  <si>
    <t>JOBRQ_XX</t>
  </si>
  <si>
    <t>PS_PRCQUEHIST_H_XX</t>
  </si>
  <si>
    <t>PRCS_XX</t>
  </si>
  <si>
    <t>PS_AHRPSBILPY_H_XX</t>
  </si>
  <si>
    <t>PSBPY_XX</t>
  </si>
  <si>
    <t>PS_TEPOSCOMPX_H_XX</t>
  </si>
  <si>
    <t>PSCMP_XX</t>
  </si>
  <si>
    <t>PS_TE_EMP_OBU_H_XX</t>
  </si>
  <si>
    <t>PSHDR_XX</t>
  </si>
  <si>
    <t>PS_JPMPROFILE_H_XX</t>
  </si>
  <si>
    <t>PSJPM_XX</t>
  </si>
  <si>
    <t>PS_ABICSTINVSP_HXX</t>
  </si>
  <si>
    <t>SRVHD_XX</t>
  </si>
  <si>
    <t>PS_APYCOMMSUM_H_XX</t>
  </si>
  <si>
    <t>CMSUM_XX</t>
  </si>
  <si>
    <t>PS_TECOUDFVALX_HXX</t>
  </si>
  <si>
    <t>PS_TEJRTCHSTX_H_XX</t>
  </si>
  <si>
    <t>PS_AHRJOBRQPS_H_XX</t>
  </si>
  <si>
    <t>POSRQ_XX</t>
  </si>
  <si>
    <t>PS_AHRPSPCTCM_H_XX</t>
  </si>
  <si>
    <t>PSCOM_XX</t>
  </si>
  <si>
    <t>PS_JRPOSDISCX_H_XX</t>
  </si>
  <si>
    <t>PSDSC_XX</t>
  </si>
  <si>
    <t>PS_CANTAXDATA_H_XX</t>
  </si>
  <si>
    <t>PSPDA_XX</t>
  </si>
  <si>
    <t>PS_JOB_H_XX</t>
  </si>
  <si>
    <t>PS_PERSONALDA_H_XX</t>
  </si>
  <si>
    <t>PS_PERS_NID_H_XX</t>
  </si>
  <si>
    <t>PS_ABICSTINVT_H_XX</t>
  </si>
  <si>
    <t>PS_AHRPSPCTDCM_HXX</t>
  </si>
  <si>
    <t>PS_TEJRPOSHDX_H_XX</t>
  </si>
  <si>
    <t>PS_PRCPARMHIS_H_XX</t>
  </si>
  <si>
    <t>PS_CDMAUTHIST_H_XX</t>
  </si>
  <si>
    <t>PS_PRCRQSTFLE_H_XX</t>
  </si>
  <si>
    <t>PS_PRCTEXTHIS_H_XX</t>
  </si>
  <si>
    <t>PS_TE_EMP_UP_H_XX</t>
  </si>
  <si>
    <t>PS_TEPSNCTEX_H_XX</t>
  </si>
  <si>
    <t>PSNCT_XX</t>
  </si>
  <si>
    <t>PS_EMAILADRS_H_XX</t>
  </si>
  <si>
    <t>PS_APYSPREAD_H_XX</t>
  </si>
  <si>
    <t>SPRD_XX</t>
  </si>
  <si>
    <t>PS_AHRSRVDISX_H_XX</t>
  </si>
  <si>
    <t>PS_TECOMSBILX_H_XX</t>
  </si>
  <si>
    <t>PS_PMOASISTEC_H_XX</t>
  </si>
  <si>
    <t>TEPOS_XX</t>
  </si>
  <si>
    <t>PS_CA_CNTRHDR_H_XX</t>
  </si>
  <si>
    <t>CONTRCTS</t>
  </si>
  <si>
    <t>PS_TECOUDFX_H_XX</t>
  </si>
  <si>
    <t>PS_PRCDISTHIS_H_XX</t>
  </si>
  <si>
    <t>PS_HREXTEMP_H_XX</t>
  </si>
  <si>
    <t>PS_PERSONALPH_H_XX</t>
  </si>
  <si>
    <t>PS_PURGEDATA_H_XX</t>
  </si>
  <si>
    <t>PS_AHRSRVDSX_H_XX</t>
  </si>
  <si>
    <t>PS_APYTMBILL_H_XX</t>
  </si>
  <si>
    <t>TMBID_XX</t>
  </si>
  <si>
    <t>PS_TEJOBREQX_H_XX</t>
  </si>
  <si>
    <t>PS_PROJ_STAT_H_XX</t>
  </si>
  <si>
    <t>PRJCSTNG</t>
  </si>
  <si>
    <t>PS_PROJ_ACT_H_XX</t>
  </si>
  <si>
    <t>PS_TEPSASTDTX_H_XX</t>
  </si>
  <si>
    <t>PSAST_XX</t>
  </si>
  <si>
    <t>PS_TEPSASTNMX_H_XX</t>
  </si>
  <si>
    <t>PS_TEBURDENX_H_XX</t>
  </si>
  <si>
    <t>PSBUR_XX</t>
  </si>
  <si>
    <t>PS_TE_EMP_REG_H_XX</t>
  </si>
  <si>
    <t>PS_TECOMMISDR_H_XX</t>
  </si>
  <si>
    <t>PS_AHRSRVNTX_H_XX</t>
  </si>
  <si>
    <t>PS_TEJRPESMX_H_XX</t>
  </si>
  <si>
    <t>PS_APYTMBINEG_H_XX</t>
  </si>
  <si>
    <t>PS_TLHRTESTGX_H_XX</t>
  </si>
  <si>
    <t>TLHR_XX</t>
  </si>
  <si>
    <t>PS_APYTMSUMM_H_XX</t>
  </si>
  <si>
    <t>TMSUM_XX</t>
  </si>
  <si>
    <t>PS_COMSCHHDRX_H_XX</t>
  </si>
  <si>
    <t>CMSCH_XX</t>
  </si>
  <si>
    <t>PS_CDMLISTHIS_H_XX</t>
  </si>
  <si>
    <t>PS_PRCRQSTHIS_H_XX</t>
  </si>
  <si>
    <t>PS_TEJOBRPTXX_H_XX</t>
  </si>
  <si>
    <t>PS_APYTMBIDET_H_XX</t>
  </si>
  <si>
    <t>PS_APYTMSUMADJ_HXX</t>
  </si>
  <si>
    <t>PS_AHRSRVJBRT_H_XX</t>
  </si>
  <si>
    <t>AJBRQ_XX</t>
  </si>
  <si>
    <t>PS_COMSCHDTLX_H_XX</t>
  </si>
  <si>
    <t>PS_CA_DETAIL_H_XX</t>
  </si>
  <si>
    <t>PS_TEPSTERPTX_H_XX</t>
  </si>
  <si>
    <t>PS_PRCRQSTSTR_H_XX</t>
  </si>
  <si>
    <t>PS_JRPOSDSX_H_XX</t>
  </si>
  <si>
    <t>PS_TE_EMP_CO_H_XX</t>
  </si>
  <si>
    <t>PS_JOB_XX_H_XX</t>
  </si>
  <si>
    <t>PS_PERSDATAEF_H_XX</t>
  </si>
  <si>
    <t>PS_TEJBRQDPTX_H_XX</t>
  </si>
  <si>
    <t>TEDPT_XX</t>
  </si>
  <si>
    <t>PS_APYTMBILL2_H_XX</t>
  </si>
  <si>
    <t>PS_CA_DT_PROJ_H_XX</t>
  </si>
  <si>
    <t>PS_CDMFILELIS_H_XX</t>
  </si>
  <si>
    <t>PS_PRCTXFRHIS_H_XX</t>
  </si>
  <si>
    <t>PS_PROJECT_H_XX</t>
  </si>
  <si>
    <t>PS_PROJ_ACTST_H_XX</t>
  </si>
  <si>
    <t>PS_TEPOSASTX_H_XX</t>
  </si>
  <si>
    <t>PS_AHRCMHLDT_H_XX</t>
  </si>
  <si>
    <t>PS_TE_EMP_PRD_H_XX</t>
  </si>
  <si>
    <t>PS_TE_EMP_HDR_H_XX</t>
  </si>
  <si>
    <t>PS_JOB_JR_H_XX</t>
  </si>
  <si>
    <t>PS_STATETAXDA_H_XX</t>
  </si>
  <si>
    <t>PS_AHRSRVHDRT_H_XX</t>
  </si>
  <si>
    <t>PS_TEJOBRQPSX_H_XX</t>
  </si>
  <si>
    <t>PS_TESPRDSUMX_H_XX</t>
  </si>
  <si>
    <t>TESPD_XX</t>
  </si>
  <si>
    <t>Table Name</t>
  </si>
  <si>
    <t>Count</t>
  </si>
  <si>
    <t>Temp</t>
  </si>
  <si>
    <t>Batch no.</t>
  </si>
  <si>
    <t>(blank)</t>
  </si>
  <si>
    <t>Grand Total</t>
  </si>
  <si>
    <t>Table name</t>
  </si>
  <si>
    <t>Delete Count</t>
  </si>
  <si>
    <t>PRD EXP Count</t>
  </si>
  <si>
    <t>Count Compare</t>
  </si>
  <si>
    <t>COUDF_XX,</t>
  </si>
  <si>
    <t>DPTRQ_XX,</t>
  </si>
  <si>
    <t>JOBRQ_XX,</t>
  </si>
  <si>
    <t>PRCS_XX,</t>
  </si>
  <si>
    <t>PSBPY_XX,</t>
  </si>
  <si>
    <t>PSCMP_XX,</t>
  </si>
  <si>
    <t>PSHDR_XX,</t>
  </si>
  <si>
    <t>PSJPM_XX,</t>
  </si>
  <si>
    <t>SRVHD_XX,</t>
  </si>
  <si>
    <t>CMSUM_XX,</t>
  </si>
  <si>
    <t>POSRQ_XX,</t>
  </si>
  <si>
    <t>PSCOM_XX,</t>
  </si>
  <si>
    <t>PSDSC_XX,</t>
  </si>
  <si>
    <t>PSPDA_XX,</t>
  </si>
  <si>
    <t>PSNCT_XX,</t>
  </si>
  <si>
    <t>SPRD_XX,</t>
  </si>
  <si>
    <t>TEPOS_XX,</t>
  </si>
  <si>
    <t>CONTRCTS,</t>
  </si>
  <si>
    <t>TMBID_XX,</t>
  </si>
  <si>
    <t>PRJCSTNG,</t>
  </si>
  <si>
    <t>PSAST_XX,</t>
  </si>
  <si>
    <t>PSBUR_XX,</t>
  </si>
  <si>
    <t>TLHR_XX,</t>
  </si>
  <si>
    <t>TMSUM_XX,</t>
  </si>
  <si>
    <t>CMSCH_XX,</t>
  </si>
  <si>
    <t>AJBRQ_XX,</t>
  </si>
  <si>
    <t>TEDPT_XX,</t>
  </si>
  <si>
    <t>TESPD_XX,</t>
  </si>
  <si>
    <t>Delete count</t>
  </si>
  <si>
    <t>Deleted count</t>
  </si>
  <si>
    <t>Table NAME</t>
  </si>
  <si>
    <t>Tabvle Name</t>
  </si>
  <si>
    <t>EXP PRD COUNT</t>
  </si>
  <si>
    <t>PRD EXP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</si>
</sst>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 vertical="center"/>
    </xf>
    <xf numFmtId="0" fontId="0" fillId="0" borderId="0" xfId="0" applyNumberFormat="1"/>
    <xf numFmtId="0" fontId="1" fillId="0" borderId="0" xfId="0" applyFont="1"/>
    <xf numFmtId="0" fontId="1" fillId="0" borderId="0" xfId="0" pivotButton="1" applyFont="1"/>
  </cellXfs>
  <cellStyles count="1">
    <cellStyle name="Normal" xfId="0" builtinId="0"/>
  </cellStyles>
  <dxfs count="5">
    <dxf>
      <font>
        <b/>
      </font>
    </dxf>
    <dxf>
      <font>
        <b/>
      </font>
    </dxf>
    <dxf>
      <font>
        <b/>
      </font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1.547612731483" createdVersion="8" refreshedVersion="8" minRefreshableVersion="3" recordCount="86" xr:uid="{14E67E17-1D6D-4F0C-9D56-FDF589D0AF1F}">
  <cacheSource type="worksheet">
    <worksheetSource ref="A1:B1048576" sheet="Sheet1"/>
  </cacheSource>
  <cacheFields count="2">
    <cacheField name="Table Name" numFmtId="0">
      <sharedItems containsBlank="1" count="86">
        <s v="PS_TECOUDFHDRX_HXX"/>
        <s v="PS_AHRJBRQDPT_H_XX"/>
        <s v="PS_JOBREQ_H_XX"/>
        <s v="PS_PRCQUEHIST_H_XX"/>
        <s v="PS_AHRPSBILPY_H_XX"/>
        <s v="PS_TEPOSCOMPX_H_XX"/>
        <s v="PS_TE_EMP_OBU_H_XX"/>
        <s v="PS_JPMPROFILE_H_XX"/>
        <s v="PS_ABICSTINVSP_HXX"/>
        <s v="PS_APYCOMMSUM_H_XX"/>
        <s v="PS_TECOUDFVALX_HXX"/>
        <s v="PS_TEJRTCHSTX_H_XX"/>
        <s v="PS_AHRJOBRQPS_H_XX"/>
        <s v="PS_AHRPSPCTCM_H_XX"/>
        <s v="PS_JRPOSDISCX_H_XX"/>
        <s v="PS_CANTAXDATA_H_XX"/>
        <s v="PS_JOB_H_XX"/>
        <s v="PS_PERSONALDA_H_XX"/>
        <s v="PS_PERS_NID_H_XX"/>
        <s v="PS_ABICSTINVT_H_XX"/>
        <s v="PS_AHRPSPCTDCM_HXX"/>
        <s v="PS_TEJRPOSHDX_H_XX"/>
        <s v="PS_PRCPARMHIS_H_XX"/>
        <s v="PS_CDMAUTHIST_H_XX"/>
        <s v="PS_PRCRQSTFLE_H_XX"/>
        <s v="PS_PRCTEXTHIS_H_XX"/>
        <s v="PS_TE_EMP_UP_H_XX"/>
        <s v="PS_TEPSNCTEX_H_XX"/>
        <s v="PS_EMAILADRS_H_XX"/>
        <s v="PS_APYSPREAD_H_XX"/>
        <s v="PS_AHRSRVDISX_H_XX"/>
        <s v="PS_TECOMSBILX_H_XX"/>
        <s v="PS_PMOASISTEC_H_XX"/>
        <s v="PS_CA_CNTRHDR_H_XX"/>
        <s v="PS_TECOUDFX_H_XX"/>
        <s v="PS_PRCDISTHIS_H_XX"/>
        <s v="PS_HREXTEMP_H_XX"/>
        <s v="PS_PERSONALPH_H_XX"/>
        <s v="PS_PURGEDATA_H_XX"/>
        <s v="PS_AHRSRVDSX_H_XX"/>
        <s v="PS_APYTMBILL_H_XX"/>
        <s v="PS_TEJOBREQX_H_XX"/>
        <s v="PS_PROJ_STAT_H_XX"/>
        <s v="PS_PROJ_ACT_H_XX"/>
        <s v="PS_TEPSASTDTX_H_XX"/>
        <s v="PS_TEPSASTNMX_H_XX"/>
        <s v="PS_TEBURDENX_H_XX"/>
        <s v="PS_TE_EMP_REG_H_XX"/>
        <s v="PS_TECOMMISDR_H_XX"/>
        <s v="PS_AHRSRVNTX_H_XX"/>
        <s v="PS_TEJRPESMX_H_XX"/>
        <s v="PS_APYTMBINEG_H_XX"/>
        <s v="PS_TLHRTESTGX_H_XX"/>
        <s v="PS_APYTMSUMM_H_XX"/>
        <s v="PS_COMSCHHDRX_H_XX"/>
        <s v="PS_CDMLISTHIS_H_XX"/>
        <s v="PS_PRCRQSTHIS_H_XX"/>
        <s v="PS_TEJOBRPTXX_H_XX"/>
        <s v="PS_APYTMBIDET_H_XX"/>
        <s v="PS_APYTMSUMADJ_HXX"/>
        <s v="PS_AHRSRVJBRT_H_XX"/>
        <s v="PS_COMSCHDTLX_H_XX"/>
        <s v="PS_CA_DETAIL_H_XX"/>
        <s v="PS_TEPSTERPTX_H_XX"/>
        <s v="PS_PRCRQSTSTR_H_XX"/>
        <s v="PS_JRPOSDSX_H_XX"/>
        <s v="PS_TE_EMP_CO_H_XX"/>
        <s v="PS_JOB_XX_H_XX"/>
        <s v="PS_PERSDATAEF_H_XX"/>
        <s v="PS_TEJBRQDPTX_H_XX"/>
        <s v="PS_APYTMBILL2_H_XX"/>
        <s v="PS_CA_DT_PROJ_H_XX"/>
        <s v="PS_CDMFILELIS_H_XX"/>
        <s v="PS_PRCTXFRHIS_H_XX"/>
        <s v="PS_PROJECT_H_XX"/>
        <s v="PS_PROJ_ACTST_H_XX"/>
        <s v="PS_TEPOSASTX_H_XX"/>
        <s v="PS_AHRCMHLDT_H_XX"/>
        <s v="PS_TE_EMP_PRD_H_XX"/>
        <s v="PS_TE_EMP_HDR_H_XX"/>
        <s v="PS_JOB_JR_H_XX"/>
        <s v="PS_STATETAXDA_H_XX"/>
        <s v="PS_AHRSRVHDRT_H_XX"/>
        <s v="PS_TEJOBRQPSX_H_XX"/>
        <s v="PS_TESPRDSUMX_H_XX"/>
        <m/>
      </sharedItems>
    </cacheField>
    <cacheField name="Count" numFmtId="0">
      <sharedItems containsString="0" containsBlank="1" containsNumber="1" containsInteger="1" minValue="0" maxValue="185770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4.540166203704" createdVersion="8" refreshedVersion="8" minRefreshableVersion="3" recordCount="86" xr:uid="{32071A80-548A-49AC-B97E-C6AEE47F05C6}">
  <cacheSource type="worksheet">
    <worksheetSource ref="A1:B1048576" sheet="Generic 2"/>
  </cacheSource>
  <cacheFields count="2">
    <cacheField name="Table Name" numFmtId="0">
      <sharedItems containsBlank="1" count="86">
        <s v="PS_TECOUDFHDRX_HXX"/>
        <s v="PS_AHRJBRQDPT_H_XX"/>
        <s v="PS_JOBREQ_H_XX"/>
        <s v="PS_PRCQUEHIST_H_XX"/>
        <s v="PS_AHRPSBILPY_H_XX"/>
        <s v="PS_TEPOSCOMPX_H_XX"/>
        <s v="PS_TE_EMP_OBU_H_XX"/>
        <s v="PS_JPMPROFILE_H_XX"/>
        <s v="PS_ABICSTINVSP_HXX"/>
        <s v="PS_APYCOMMSUM_H_XX"/>
        <s v="PS_TECOUDFVALX_HXX"/>
        <s v="PS_TEJRTCHSTX_H_XX"/>
        <s v="PS_AHRJOBRQPS_H_XX"/>
        <s v="PS_AHRPSPCTCM_H_XX"/>
        <s v="PS_JRPOSDISCX_H_XX"/>
        <s v="PS_CANTAXDATA_H_XX"/>
        <s v="PS_JOB_H_XX"/>
        <s v="PS_PERSONALDA_H_XX"/>
        <s v="PS_PERS_NID_H_XX"/>
        <s v="PS_ABICSTINVT_H_XX"/>
        <s v="PS_AHRPSPCTDCM_HXX"/>
        <s v="PS_TEJRPOSHDX_H_XX"/>
        <s v="PS_PRCPARMHIS_H_XX"/>
        <s v="PS_CDMAUTHIST_H_XX"/>
        <s v="PS_PRCRQSTFLE_H_XX"/>
        <s v="PS_PRCTEXTHIS_H_XX"/>
        <s v="PS_TE_EMP_UP_H_XX"/>
        <s v="PS_TEPSNCTEX_H_XX"/>
        <s v="PS_EMAILADRS_H_XX"/>
        <s v="PS_APYSPREAD_H_XX"/>
        <s v="PS_AHRSRVDISX_H_XX"/>
        <s v="PS_TECOMSBILX_H_XX"/>
        <s v="PS_PMOASISTEC_H_XX"/>
        <s v="PS_CA_CNTRHDR_H_XX"/>
        <s v="PS_TECOUDFX_H_XX"/>
        <s v="PS_PRCDISTHIS_H_XX"/>
        <s v="PS_HREXTEMP_H_XX"/>
        <s v="PS_PERSONALPH_H_XX"/>
        <s v="PS_PURGEDATA_H_XX"/>
        <s v="PS_AHRSRVDSX_H_XX"/>
        <s v="PS_APYTMBILL_H_XX"/>
        <s v="PS_TEJOBREQX_H_XX"/>
        <s v="PS_PROJ_STAT_H_XX"/>
        <s v="PS_PROJ_ACT_H_XX"/>
        <s v="PS_TEPSASTDTX_H_XX"/>
        <s v="PS_TEPSASTNMX_H_XX"/>
        <s v="PS_TEBURDENX_H_XX"/>
        <s v="PS_TE_EMP_REG_H_XX"/>
        <s v="PS_TECOMMISDR_H_XX"/>
        <s v="PS_AHRSRVNTX_H_XX"/>
        <s v="PS_TEJRPESMX_H_XX"/>
        <s v="PS_APYTMBINEG_H_XX"/>
        <s v="PS_TLHRTESTGX_H_XX"/>
        <s v="PS_APYTMSUMM_H_XX"/>
        <s v="PS_COMSCHHDRX_H_XX"/>
        <s v="PS_CDMLISTHIS_H_XX"/>
        <s v="PS_PRCRQSTHIS_H_XX"/>
        <s v="PS_TEJOBRPTXX_H_XX"/>
        <s v="PS_APYTMBIDET_H_XX"/>
        <s v="PS_APYTMSUMADJ_HXX"/>
        <s v="PS_AHRSRVJBRT_H_XX"/>
        <s v="PS_COMSCHDTLX_H_XX"/>
        <s v="PS_CA_DETAIL_H_XX"/>
        <s v="PS_TEPSTERPTX_H_XX"/>
        <s v="PS_PRCRQSTSTR_H_XX"/>
        <s v="PS_JRPOSDSX_H_XX"/>
        <s v="PS_TE_EMP_CO_H_XX"/>
        <s v="PS_JOB_XX_H_XX"/>
        <s v="PS_PERSDATAEF_H_XX"/>
        <s v="PS_TEJBRQDPTX_H_XX"/>
        <s v="PS_APYTMBILL2_H_XX"/>
        <s v="PS_CA_DT_PROJ_H_XX"/>
        <s v="PS_CDMFILELIS_H_XX"/>
        <s v="PS_PRCTXFRHIS_H_XX"/>
        <s v="PS_PROJECT_H_XX"/>
        <s v="PS_PROJ_ACTST_H_XX"/>
        <s v="PS_TEPOSASTX_H_XX"/>
        <s v="PS_AHRCMHLDT_H_XX"/>
        <s v="PS_TE_EMP_PRD_H_XX"/>
        <s v="PS_TE_EMP_HDR_H_XX"/>
        <s v="PS_JOB_JR_H_XX"/>
        <s v="PS_STATETAXDA_H_XX"/>
        <s v="PS_AHRSRVHDRT_H_XX"/>
        <s v="PS_TEJOBRQPSX_H_XX"/>
        <s v="PS_TESPRDSUMX_H_XX"/>
        <m/>
      </sharedItems>
    </cacheField>
    <cacheField name="Delete count" numFmtId="0">
      <sharedItems containsString="0" containsBlank="1" containsNumber="1" containsInteger="1" minValue="0" maxValue="185770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4.547188657409" createdVersion="8" refreshedVersion="8" minRefreshableVersion="3" recordCount="86" xr:uid="{765A3D27-CD4D-4118-94A7-8D2E22808C27}">
  <cacheSource type="worksheet">
    <worksheetSource ref="E1:F1048576" sheet="Sheet3"/>
  </cacheSource>
  <cacheFields count="2">
    <cacheField name="Table Name" numFmtId="0">
      <sharedItems containsBlank="1" count="86">
        <s v="PS_AHRSRVJBRT_H_XX"/>
        <s v="PS_COMSCHDTLX_H_XX"/>
        <s v="PS_COMSCHHDRX_H_XX"/>
        <s v="PS_APYCOMMSUM_H_XX"/>
        <s v="PS_CA_DT_PROJ_H_XX"/>
        <s v="PS_CA_CNTRHDR_H_XX"/>
        <s v="PS_CA_DETAIL_H_XX"/>
        <s v="PS_TECOUDFX_H_XX"/>
        <s v="PS_TECOUDFHDRX_HXX"/>
        <s v="PS_TECOUDFVALX_HXX"/>
        <s v="PS_AHRPSPCTDCM_HXX"/>
        <s v="PS_AHRJBRQDPT_H_XX"/>
        <s v="PS_TEJRTCHSTX_H_XX"/>
        <s v="PS_TEJOBREQX_H_XX"/>
        <s v="PS_JOBREQ_H_XX"/>
        <s v="PS_AHRJOBRQPS_H_XX"/>
        <s v="PS_TEPSTERPTX_H_XX"/>
        <s v="PS_TEJRPOSHDX_H_XX"/>
        <s v="PS_PRCPARMHIS_H_XX"/>
        <s v="PS_PRCRQSTSTR_H_XX"/>
        <s v="PS_PRCRQSTHIS_H_XX"/>
        <s v="PS_CDMAUTHIST_H_XX"/>
        <s v="PS_PRCQUEHIST_H_XX"/>
        <s v="PS_CDMLISTHIS_H_XX"/>
        <s v="PS_PRCRQSTFLE_H_XX"/>
        <s v="PS_PRCTXFRHIS_H_XX"/>
        <s v="PS_CDMFILELIS_H_XX"/>
        <s v="PS_PRCDISTHIS_H_XX"/>
        <s v="PS_PRCTEXTHIS_H_XX"/>
        <s v="PS_PROJ_ACT_H_XX"/>
        <s v="PS_PROJECT_H_XX"/>
        <s v="PS_PROJ_ACTST_H_XX"/>
        <s v="PS_PROJ_STAT_H_XX"/>
        <s v="PS_TEPSASTDTX_H_XX"/>
        <s v="PS_TEPSASTNMX_H_XX"/>
        <s v="PS_TEPOSASTX_H_XX"/>
        <s v="PS_AHRPSBILPY_H_XX"/>
        <s v="PS_TEBURDENX_H_XX"/>
        <s v="PS_TEPOSCOMPX_H_XX"/>
        <s v="PS_AHRCMHLDT_H_XX"/>
        <s v="PS_AHRPSPCTCM_H_XX"/>
        <s v="PS_JRPOSDSX_H_XX"/>
        <s v="PS_JRPOSDISCX_H_XX"/>
        <s v="PS_TE_EMP_CO_H_XX"/>
        <s v="PS_TE_EMP_HDR_H_XX"/>
        <s v="PS_TE_EMP_OBU_H_XX"/>
        <s v="PS_TE_EMP_PRD_H_XX"/>
        <s v="PS_TE_EMP_REG_H_XX"/>
        <s v="PS_TE_EMP_UP_H_XX"/>
        <s v="PS_JPMPROFILE_H_XX"/>
        <s v="PS_TEPSNCTEX_H_XX"/>
        <s v="PS_CANTAXDATA_H_XX"/>
        <s v="PS_EMAILADRS_H_XX"/>
        <s v="PS_HREXTEMP_H_XX"/>
        <s v="PS_JOB_H_XX"/>
        <s v="PS_JOB_JR_H_XX"/>
        <s v="PS_JOB_XX_H_XX"/>
        <s v="PS_PERSDATAEF_H_XX"/>
        <s v="PS_PERSONALDA_H_XX"/>
        <s v="PS_PERSONALPH_H_XX"/>
        <s v="PS_PERS_NID_H_XX"/>
        <s v="PS_PURGEDATA_H_XX"/>
        <s v="PS_STATETAXDA_H_XX"/>
        <s v="PS_TECOMMISDR_H_XX"/>
        <s v="PS_TEJOBRPTXX_H_XX"/>
        <s v="PS_APYSPREAD_H_XX"/>
        <s v="PS_ABICSTINVSP_HXX"/>
        <s v="PS_AHRSRVHDRT_H_XX"/>
        <s v="PS_AHRSRVDSX_H_XX"/>
        <s v="PS_AHRSRVDISX_H_XX"/>
        <s v="PS_AHRSRVNTX_H_XX"/>
        <s v="PS_ABICSTINVT_H_XX"/>
        <s v="PS_TECOMSBILX_H_XX"/>
        <s v="PS_TEJBRQDPTX_H_XX"/>
        <s v="PS_TEJRPESMX_H_XX"/>
        <s v="PS_PMOASISTEC_H_XX"/>
        <s v="PS_TEJOBRQPSX_H_XX"/>
        <s v="PS_TESPRDSUMX_H_XX"/>
        <s v="PS_TLHRTESTGX_H_XX"/>
        <s v="PS_APYTMBIDET_H_XX"/>
        <s v="PS_APYTMBINEG_H_XX"/>
        <s v="PS_APYTMBILL_H_XX"/>
        <s v="PS_APYTMBILL2_H_XX"/>
        <s v="PS_APYTMSUMM_H_XX"/>
        <s v="PS_APYTMSUMADJ_HXX"/>
        <m/>
      </sharedItems>
    </cacheField>
    <cacheField name="Count" numFmtId="0">
      <sharedItems containsString="0" containsBlank="1" containsNumber="1" containsInteger="1" minValue="0" maxValue="185770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n v="0"/>
  </r>
  <r>
    <x v="1"/>
    <n v="8706"/>
  </r>
  <r>
    <x v="2"/>
    <n v="0"/>
  </r>
  <r>
    <x v="3"/>
    <n v="0"/>
  </r>
  <r>
    <x v="4"/>
    <n v="5664102"/>
  </r>
  <r>
    <x v="5"/>
    <n v="1733"/>
  </r>
  <r>
    <x v="6"/>
    <n v="0"/>
  </r>
  <r>
    <x v="7"/>
    <n v="0"/>
  </r>
  <r>
    <x v="8"/>
    <n v="0"/>
  </r>
  <r>
    <x v="9"/>
    <n v="481505"/>
  </r>
  <r>
    <x v="10"/>
    <n v="0"/>
  </r>
  <r>
    <x v="11"/>
    <n v="0"/>
  </r>
  <r>
    <x v="12"/>
    <n v="1932752"/>
  </r>
  <r>
    <x v="13"/>
    <n v="3490352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17823"/>
  </r>
  <r>
    <x v="21"/>
    <n v="657246"/>
  </r>
  <r>
    <x v="22"/>
    <n v="0"/>
  </r>
  <r>
    <x v="23"/>
    <n v="0"/>
  </r>
  <r>
    <x v="24"/>
    <n v="0"/>
  </r>
  <r>
    <x v="25"/>
    <n v="0"/>
  </r>
  <r>
    <x v="26"/>
    <n v="0"/>
  </r>
  <r>
    <x v="27"/>
    <n v="61"/>
  </r>
  <r>
    <x v="28"/>
    <n v="0"/>
  </r>
  <r>
    <x v="29"/>
    <n v="18577010"/>
  </r>
  <r>
    <x v="30"/>
    <n v="0"/>
  </r>
  <r>
    <x v="31"/>
    <n v="0"/>
  </r>
  <r>
    <x v="32"/>
    <n v="0"/>
  </r>
  <r>
    <x v="33"/>
    <n v="2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6673676"/>
  </r>
  <r>
    <x v="41"/>
    <n v="0"/>
  </r>
  <r>
    <x v="42"/>
    <n v="18178"/>
  </r>
  <r>
    <x v="43"/>
    <n v="9771"/>
  </r>
  <r>
    <x v="44"/>
    <n v="17"/>
  </r>
  <r>
    <x v="45"/>
    <n v="8"/>
  </r>
  <r>
    <x v="46"/>
    <n v="2328246"/>
  </r>
  <r>
    <x v="47"/>
    <n v="0"/>
  </r>
  <r>
    <x v="48"/>
    <n v="0"/>
  </r>
  <r>
    <x v="49"/>
    <n v="0"/>
  </r>
  <r>
    <x v="50"/>
    <n v="0"/>
  </r>
  <r>
    <x v="51"/>
    <n v="9"/>
  </r>
  <r>
    <x v="52"/>
    <n v="0"/>
  </r>
  <r>
    <x v="53"/>
    <n v="9739782"/>
  </r>
  <r>
    <x v="54"/>
    <n v="14"/>
  </r>
  <r>
    <x v="55"/>
    <n v="0"/>
  </r>
  <r>
    <x v="56"/>
    <n v="0"/>
  </r>
  <r>
    <x v="57"/>
    <n v="0"/>
  </r>
  <r>
    <x v="58"/>
    <n v="10695168"/>
  </r>
  <r>
    <x v="59"/>
    <n v="542088"/>
  </r>
  <r>
    <x v="60"/>
    <n v="0"/>
  </r>
  <r>
    <x v="61"/>
    <n v="42"/>
  </r>
  <r>
    <x v="62"/>
    <n v="0"/>
  </r>
  <r>
    <x v="63"/>
    <n v="1932723"/>
  </r>
  <r>
    <x v="64"/>
    <n v="0"/>
  </r>
  <r>
    <x v="65"/>
    <n v="0"/>
  </r>
  <r>
    <x v="66"/>
    <n v="0"/>
  </r>
  <r>
    <x v="67"/>
    <n v="0"/>
  </r>
  <r>
    <x v="68"/>
    <n v="0"/>
  </r>
  <r>
    <x v="69"/>
    <n v="0"/>
  </r>
  <r>
    <x v="70"/>
    <n v="6757145"/>
  </r>
  <r>
    <x v="71"/>
    <n v="4"/>
  </r>
  <r>
    <x v="72"/>
    <n v="0"/>
  </r>
  <r>
    <x v="73"/>
    <n v="0"/>
  </r>
  <r>
    <x v="74"/>
    <n v="8919"/>
  </r>
  <r>
    <x v="75"/>
    <n v="10125"/>
  </r>
  <r>
    <x v="76"/>
    <n v="2"/>
  </r>
  <r>
    <x v="77"/>
    <n v="664"/>
  </r>
  <r>
    <x v="78"/>
    <n v="0"/>
  </r>
  <r>
    <x v="79"/>
    <n v="0"/>
  </r>
  <r>
    <x v="80"/>
    <n v="0"/>
  </r>
  <r>
    <x v="81"/>
    <n v="0"/>
  </r>
  <r>
    <x v="82"/>
    <n v="0"/>
  </r>
  <r>
    <x v="83"/>
    <n v="369"/>
  </r>
  <r>
    <x v="84"/>
    <n v="0"/>
  </r>
  <r>
    <x v="8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n v="0"/>
  </r>
  <r>
    <x v="1"/>
    <n v="8706"/>
  </r>
  <r>
    <x v="2"/>
    <n v="0"/>
  </r>
  <r>
    <x v="3"/>
    <n v="0"/>
  </r>
  <r>
    <x v="4"/>
    <n v="5664102"/>
  </r>
  <r>
    <x v="5"/>
    <n v="1733"/>
  </r>
  <r>
    <x v="6"/>
    <n v="0"/>
  </r>
  <r>
    <x v="7"/>
    <n v="0"/>
  </r>
  <r>
    <x v="8"/>
    <n v="0"/>
  </r>
  <r>
    <x v="9"/>
    <n v="481505"/>
  </r>
  <r>
    <x v="10"/>
    <n v="0"/>
  </r>
  <r>
    <x v="11"/>
    <n v="0"/>
  </r>
  <r>
    <x v="12"/>
    <n v="1932752"/>
  </r>
  <r>
    <x v="13"/>
    <n v="3490352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17823"/>
  </r>
  <r>
    <x v="21"/>
    <n v="657246"/>
  </r>
  <r>
    <x v="22"/>
    <n v="0"/>
  </r>
  <r>
    <x v="23"/>
    <n v="0"/>
  </r>
  <r>
    <x v="24"/>
    <n v="0"/>
  </r>
  <r>
    <x v="25"/>
    <n v="0"/>
  </r>
  <r>
    <x v="26"/>
    <n v="0"/>
  </r>
  <r>
    <x v="27"/>
    <n v="61"/>
  </r>
  <r>
    <x v="28"/>
    <n v="0"/>
  </r>
  <r>
    <x v="29"/>
    <n v="18577010"/>
  </r>
  <r>
    <x v="30"/>
    <n v="0"/>
  </r>
  <r>
    <x v="31"/>
    <n v="0"/>
  </r>
  <r>
    <x v="32"/>
    <n v="0"/>
  </r>
  <r>
    <x v="33"/>
    <n v="2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6673676"/>
  </r>
  <r>
    <x v="41"/>
    <n v="0"/>
  </r>
  <r>
    <x v="42"/>
    <n v="18178"/>
  </r>
  <r>
    <x v="43"/>
    <n v="9771"/>
  </r>
  <r>
    <x v="44"/>
    <n v="17"/>
  </r>
  <r>
    <x v="45"/>
    <n v="8"/>
  </r>
  <r>
    <x v="46"/>
    <n v="2328246"/>
  </r>
  <r>
    <x v="47"/>
    <n v="0"/>
  </r>
  <r>
    <x v="48"/>
    <n v="0"/>
  </r>
  <r>
    <x v="49"/>
    <n v="0"/>
  </r>
  <r>
    <x v="50"/>
    <n v="0"/>
  </r>
  <r>
    <x v="51"/>
    <n v="9"/>
  </r>
  <r>
    <x v="52"/>
    <n v="0"/>
  </r>
  <r>
    <x v="53"/>
    <n v="9739782"/>
  </r>
  <r>
    <x v="54"/>
    <n v="14"/>
  </r>
  <r>
    <x v="55"/>
    <n v="0"/>
  </r>
  <r>
    <x v="56"/>
    <n v="0"/>
  </r>
  <r>
    <x v="57"/>
    <n v="0"/>
  </r>
  <r>
    <x v="58"/>
    <n v="10695168"/>
  </r>
  <r>
    <x v="59"/>
    <n v="542088"/>
  </r>
  <r>
    <x v="60"/>
    <n v="0"/>
  </r>
  <r>
    <x v="61"/>
    <n v="42"/>
  </r>
  <r>
    <x v="62"/>
    <n v="0"/>
  </r>
  <r>
    <x v="63"/>
    <n v="1932723"/>
  </r>
  <r>
    <x v="64"/>
    <n v="0"/>
  </r>
  <r>
    <x v="65"/>
    <n v="0"/>
  </r>
  <r>
    <x v="66"/>
    <n v="0"/>
  </r>
  <r>
    <x v="67"/>
    <n v="0"/>
  </r>
  <r>
    <x v="68"/>
    <n v="0"/>
  </r>
  <r>
    <x v="69"/>
    <n v="0"/>
  </r>
  <r>
    <x v="70"/>
    <n v="6757145"/>
  </r>
  <r>
    <x v="71"/>
    <n v="4"/>
  </r>
  <r>
    <x v="72"/>
    <n v="0"/>
  </r>
  <r>
    <x v="73"/>
    <n v="0"/>
  </r>
  <r>
    <x v="74"/>
    <n v="8919"/>
  </r>
  <r>
    <x v="75"/>
    <n v="10125"/>
  </r>
  <r>
    <x v="76"/>
    <n v="2"/>
  </r>
  <r>
    <x v="77"/>
    <n v="664"/>
  </r>
  <r>
    <x v="78"/>
    <n v="0"/>
  </r>
  <r>
    <x v="79"/>
    <n v="0"/>
  </r>
  <r>
    <x v="80"/>
    <n v="0"/>
  </r>
  <r>
    <x v="81"/>
    <n v="0"/>
  </r>
  <r>
    <x v="82"/>
    <n v="0"/>
  </r>
  <r>
    <x v="83"/>
    <n v="369"/>
  </r>
  <r>
    <x v="84"/>
    <n v="0"/>
  </r>
  <r>
    <x v="85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n v="0"/>
  </r>
  <r>
    <x v="1"/>
    <n v="42"/>
  </r>
  <r>
    <x v="2"/>
    <n v="14"/>
  </r>
  <r>
    <x v="3"/>
    <n v="481505"/>
  </r>
  <r>
    <x v="4"/>
    <n v="4"/>
  </r>
  <r>
    <x v="5"/>
    <n v="2"/>
  </r>
  <r>
    <x v="6"/>
    <n v="0"/>
  </r>
  <r>
    <x v="7"/>
    <n v="0"/>
  </r>
  <r>
    <x v="8"/>
    <n v="0"/>
  </r>
  <r>
    <x v="9"/>
    <n v="0"/>
  </r>
  <r>
    <x v="10"/>
    <n v="17823"/>
  </r>
  <r>
    <x v="11"/>
    <n v="8706"/>
  </r>
  <r>
    <x v="12"/>
    <n v="0"/>
  </r>
  <r>
    <x v="13"/>
    <n v="0"/>
  </r>
  <r>
    <x v="14"/>
    <n v="0"/>
  </r>
  <r>
    <x v="15"/>
    <n v="1932752"/>
  </r>
  <r>
    <x v="16"/>
    <n v="1932723"/>
  </r>
  <r>
    <x v="17"/>
    <n v="657246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9771"/>
  </r>
  <r>
    <x v="30"/>
    <n v="8919"/>
  </r>
  <r>
    <x v="31"/>
    <n v="10125"/>
  </r>
  <r>
    <x v="32"/>
    <n v="18178"/>
  </r>
  <r>
    <x v="33"/>
    <n v="17"/>
  </r>
  <r>
    <x v="34"/>
    <n v="8"/>
  </r>
  <r>
    <x v="35"/>
    <n v="2"/>
  </r>
  <r>
    <x v="36"/>
    <n v="5664102"/>
  </r>
  <r>
    <x v="37"/>
    <n v="2328246"/>
  </r>
  <r>
    <x v="38"/>
    <n v="1733"/>
  </r>
  <r>
    <x v="39"/>
    <n v="664"/>
  </r>
  <r>
    <x v="40"/>
    <n v="3490352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61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18577010"/>
  </r>
  <r>
    <x v="66"/>
    <n v="0"/>
  </r>
  <r>
    <x v="67"/>
    <n v="0"/>
  </r>
  <r>
    <x v="68"/>
    <n v="0"/>
  </r>
  <r>
    <x v="69"/>
    <n v="0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369"/>
  </r>
  <r>
    <x v="77"/>
    <n v="0"/>
  </r>
  <r>
    <x v="78"/>
    <n v="0"/>
  </r>
  <r>
    <x v="79"/>
    <n v="10695168"/>
  </r>
  <r>
    <x v="80"/>
    <n v="9"/>
  </r>
  <r>
    <x v="81"/>
    <n v="6673676"/>
  </r>
  <r>
    <x v="82"/>
    <n v="6757145"/>
  </r>
  <r>
    <x v="83"/>
    <n v="9739782"/>
  </r>
  <r>
    <x v="84"/>
    <n v="542088"/>
  </r>
  <r>
    <x v="8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AD9EC-4EBF-42FE-8436-892E8D6119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 name">
  <location ref="F1:G88" firstHeaderRow="1" firstDataRow="1" firstDataCol="1"/>
  <pivotFields count="2">
    <pivotField axis="axisRow" showAll="0">
      <items count="87">
        <item x="8"/>
        <item x="19"/>
        <item x="77"/>
        <item x="1"/>
        <item x="12"/>
        <item x="4"/>
        <item x="13"/>
        <item x="20"/>
        <item x="30"/>
        <item x="39"/>
        <item x="82"/>
        <item x="60"/>
        <item x="49"/>
        <item x="9"/>
        <item x="29"/>
        <item x="58"/>
        <item x="40"/>
        <item x="70"/>
        <item x="51"/>
        <item x="59"/>
        <item x="53"/>
        <item x="33"/>
        <item x="62"/>
        <item x="71"/>
        <item x="15"/>
        <item x="23"/>
        <item x="72"/>
        <item x="55"/>
        <item x="61"/>
        <item x="54"/>
        <item x="28"/>
        <item x="36"/>
        <item x="16"/>
        <item x="80"/>
        <item x="67"/>
        <item x="2"/>
        <item x="7"/>
        <item x="14"/>
        <item x="65"/>
        <item x="18"/>
        <item x="68"/>
        <item x="17"/>
        <item x="37"/>
        <item x="32"/>
        <item x="35"/>
        <item x="22"/>
        <item x="3"/>
        <item x="24"/>
        <item x="56"/>
        <item x="64"/>
        <item x="25"/>
        <item x="73"/>
        <item x="43"/>
        <item x="75"/>
        <item x="42"/>
        <item x="74"/>
        <item x="38"/>
        <item x="81"/>
        <item x="66"/>
        <item x="79"/>
        <item x="6"/>
        <item x="78"/>
        <item x="47"/>
        <item x="26"/>
        <item x="46"/>
        <item x="48"/>
        <item x="31"/>
        <item x="0"/>
        <item x="10"/>
        <item x="34"/>
        <item x="69"/>
        <item x="41"/>
        <item x="57"/>
        <item x="83"/>
        <item x="50"/>
        <item x="21"/>
        <item x="11"/>
        <item x="76"/>
        <item x="5"/>
        <item x="44"/>
        <item x="45"/>
        <item x="27"/>
        <item x="63"/>
        <item x="84"/>
        <item x="52"/>
        <item x="85"/>
        <item t="default"/>
      </items>
    </pivotField>
    <pivotField dataField="1" showAll="0"/>
  </pivotFields>
  <rowFields count="1">
    <field x="0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Delete Count" fld="1" baseField="0" baseItem="0"/>
  </dataFields>
  <formats count="2"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5B663-28E9-4728-8D4F-C606E47E9806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vle Name">
  <location ref="A1:B88" firstHeaderRow="1" firstDataRow="1" firstDataCol="1"/>
  <pivotFields count="2">
    <pivotField axis="axisRow" showAll="0">
      <items count="87">
        <item x="66"/>
        <item x="71"/>
        <item x="39"/>
        <item x="11"/>
        <item x="15"/>
        <item x="36"/>
        <item x="40"/>
        <item x="10"/>
        <item x="69"/>
        <item x="68"/>
        <item x="67"/>
        <item x="0"/>
        <item x="70"/>
        <item x="3"/>
        <item x="65"/>
        <item x="79"/>
        <item x="81"/>
        <item x="82"/>
        <item x="80"/>
        <item x="84"/>
        <item x="83"/>
        <item x="5"/>
        <item x="6"/>
        <item x="4"/>
        <item x="51"/>
        <item x="21"/>
        <item x="26"/>
        <item x="23"/>
        <item x="1"/>
        <item x="2"/>
        <item x="52"/>
        <item x="53"/>
        <item x="54"/>
        <item x="55"/>
        <item x="56"/>
        <item x="14"/>
        <item x="49"/>
        <item x="42"/>
        <item x="41"/>
        <item x="60"/>
        <item x="57"/>
        <item x="58"/>
        <item x="59"/>
        <item x="75"/>
        <item x="27"/>
        <item x="18"/>
        <item x="22"/>
        <item x="24"/>
        <item x="20"/>
        <item x="19"/>
        <item x="28"/>
        <item x="25"/>
        <item x="29"/>
        <item x="31"/>
        <item x="32"/>
        <item x="30"/>
        <item x="61"/>
        <item x="62"/>
        <item x="43"/>
        <item x="44"/>
        <item x="45"/>
        <item x="46"/>
        <item x="47"/>
        <item x="48"/>
        <item x="37"/>
        <item x="63"/>
        <item x="72"/>
        <item x="8"/>
        <item x="9"/>
        <item x="7"/>
        <item x="73"/>
        <item x="13"/>
        <item x="64"/>
        <item x="76"/>
        <item x="74"/>
        <item x="17"/>
        <item x="12"/>
        <item x="35"/>
        <item x="38"/>
        <item x="33"/>
        <item x="34"/>
        <item x="50"/>
        <item x="16"/>
        <item x="77"/>
        <item x="78"/>
        <item x="85"/>
        <item t="default"/>
      </items>
    </pivotField>
    <pivotField dataField="1" showAll="0"/>
  </pivotFields>
  <rowFields count="1">
    <field x="0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EXP PRD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606B0-900D-4982-8630-B443214BED8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 NAME">
  <location ref="H1:I88" firstHeaderRow="1" firstDataRow="1" firstDataCol="1"/>
  <pivotFields count="2">
    <pivotField axis="axisRow" showAll="0">
      <items count="87">
        <item x="8"/>
        <item x="19"/>
        <item x="77"/>
        <item x="1"/>
        <item x="12"/>
        <item x="4"/>
        <item x="13"/>
        <item x="20"/>
        <item x="30"/>
        <item x="39"/>
        <item x="82"/>
        <item x="60"/>
        <item x="49"/>
        <item x="9"/>
        <item x="29"/>
        <item x="58"/>
        <item x="40"/>
        <item x="70"/>
        <item x="51"/>
        <item x="59"/>
        <item x="53"/>
        <item x="33"/>
        <item x="62"/>
        <item x="71"/>
        <item x="15"/>
        <item x="23"/>
        <item x="72"/>
        <item x="55"/>
        <item x="61"/>
        <item x="54"/>
        <item x="28"/>
        <item x="36"/>
        <item x="16"/>
        <item x="80"/>
        <item x="67"/>
        <item x="2"/>
        <item x="7"/>
        <item x="14"/>
        <item x="65"/>
        <item x="18"/>
        <item x="68"/>
        <item x="17"/>
        <item x="37"/>
        <item x="32"/>
        <item x="35"/>
        <item x="22"/>
        <item x="3"/>
        <item x="24"/>
        <item x="56"/>
        <item x="64"/>
        <item x="25"/>
        <item x="73"/>
        <item x="43"/>
        <item x="75"/>
        <item x="42"/>
        <item x="74"/>
        <item x="38"/>
        <item x="81"/>
        <item x="66"/>
        <item x="79"/>
        <item x="6"/>
        <item x="78"/>
        <item x="47"/>
        <item x="26"/>
        <item x="46"/>
        <item x="48"/>
        <item x="31"/>
        <item x="0"/>
        <item x="10"/>
        <item x="34"/>
        <item x="69"/>
        <item x="41"/>
        <item x="57"/>
        <item x="83"/>
        <item x="50"/>
        <item x="21"/>
        <item x="11"/>
        <item x="76"/>
        <item x="5"/>
        <item x="44"/>
        <item x="45"/>
        <item x="27"/>
        <item x="63"/>
        <item x="84"/>
        <item x="52"/>
        <item x="85"/>
        <item t="default"/>
      </items>
    </pivotField>
    <pivotField dataField="1" showAll="0"/>
  </pivotFields>
  <rowFields count="1">
    <field x="0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Deleted count" fld="1" baseField="0" baseItem="0"/>
  </dataFields>
  <formats count="2">
    <format dxfId="2">
      <pivotArea field="0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F0F4-04B9-4358-B2BC-B7FFAA8EFB5D}">
  <dimension ref="A1:J88"/>
  <sheetViews>
    <sheetView workbookViewId="0">
      <selection activeCell="L12" sqref="L12"/>
    </sheetView>
  </sheetViews>
  <sheetFormatPr defaultRowHeight="14.5" x14ac:dyDescent="0.35"/>
  <cols>
    <col min="1" max="1" width="21.36328125" bestFit="1" customWidth="1"/>
    <col min="3" max="3" width="10.08984375" bestFit="1" customWidth="1"/>
    <col min="6" max="6" width="21.36328125" bestFit="1" customWidth="1"/>
    <col min="7" max="7" width="12.08984375" bestFit="1" customWidth="1"/>
    <col min="9" max="9" width="13.453125" bestFit="1" customWidth="1"/>
    <col min="10" max="10" width="14" bestFit="1" customWidth="1"/>
  </cols>
  <sheetData>
    <row r="1" spans="1:10" s="2" customFormat="1" x14ac:dyDescent="0.35">
      <c r="A1" s="2" t="s">
        <v>113</v>
      </c>
      <c r="B1" s="2" t="s">
        <v>114</v>
      </c>
      <c r="C1" s="2" t="s">
        <v>115</v>
      </c>
      <c r="D1" s="2" t="s">
        <v>116</v>
      </c>
      <c r="F1" s="1" t="s">
        <v>119</v>
      </c>
      <c r="G1" s="1" t="s">
        <v>120</v>
      </c>
      <c r="H1" s="1"/>
      <c r="I1" s="2" t="s">
        <v>121</v>
      </c>
      <c r="J1" s="2" t="s">
        <v>122</v>
      </c>
    </row>
    <row r="2" spans="1:10" x14ac:dyDescent="0.35">
      <c r="A2" t="s">
        <v>0</v>
      </c>
      <c r="B2">
        <v>0</v>
      </c>
      <c r="C2" t="s">
        <v>1</v>
      </c>
      <c r="D2">
        <v>28</v>
      </c>
      <c r="F2" s="3" t="s">
        <v>16</v>
      </c>
      <c r="G2">
        <v>0</v>
      </c>
      <c r="I2">
        <f>IF(COUNTIF(Sheet3!A:A,F2)&gt;0,VLOOKUP(F2,Sheet3!A:B,2,FALSE),"Not Found")</f>
        <v>0</v>
      </c>
      <c r="J2" s="5" t="str">
        <f>IF(G2=I2,"Matching","Mis Match")</f>
        <v>Matching</v>
      </c>
    </row>
    <row r="3" spans="1:10" x14ac:dyDescent="0.35">
      <c r="A3" t="s">
        <v>2</v>
      </c>
      <c r="B3">
        <v>8706</v>
      </c>
      <c r="C3" t="s">
        <v>3</v>
      </c>
      <c r="D3">
        <v>2</v>
      </c>
      <c r="F3" s="3" t="s">
        <v>33</v>
      </c>
      <c r="G3">
        <v>0</v>
      </c>
      <c r="I3">
        <f>IF(COUNTIF(Sheet3!A:A,F3)&gt;0,VLOOKUP(F3,Sheet3!A:B,2,FALSE),"Not Found")</f>
        <v>0</v>
      </c>
      <c r="J3" s="5" t="str">
        <f t="shared" ref="J3:J66" si="0">IF(G3=I3,"Matching","Mis Match")</f>
        <v>Matching</v>
      </c>
    </row>
    <row r="4" spans="1:10" x14ac:dyDescent="0.35">
      <c r="A4" t="s">
        <v>4</v>
      </c>
      <c r="B4">
        <v>0</v>
      </c>
      <c r="C4" t="s">
        <v>5</v>
      </c>
      <c r="D4">
        <v>26</v>
      </c>
      <c r="F4" s="3" t="s">
        <v>104</v>
      </c>
      <c r="G4">
        <v>664</v>
      </c>
      <c r="I4">
        <f>IF(COUNTIF(Sheet3!A:A,F4)&gt;0,VLOOKUP(F4,Sheet3!A:B,2,FALSE),"Not Found")</f>
        <v>664</v>
      </c>
      <c r="J4" s="5" t="str">
        <f t="shared" si="0"/>
        <v>Matching</v>
      </c>
    </row>
    <row r="5" spans="1:10" x14ac:dyDescent="0.35">
      <c r="A5" t="s">
        <v>6</v>
      </c>
      <c r="B5">
        <v>0</v>
      </c>
      <c r="C5" t="s">
        <v>7</v>
      </c>
      <c r="D5">
        <v>6</v>
      </c>
      <c r="F5" s="3" t="s">
        <v>2</v>
      </c>
      <c r="G5">
        <v>8706</v>
      </c>
      <c r="I5">
        <f>IF(COUNTIF(Sheet3!A:A,F5)&gt;0,VLOOKUP(F5,Sheet3!A:B,2,FALSE),"Not Found")</f>
        <v>8706</v>
      </c>
      <c r="J5" s="5" t="str">
        <f t="shared" si="0"/>
        <v>Matching</v>
      </c>
    </row>
    <row r="6" spans="1:10" x14ac:dyDescent="0.35">
      <c r="A6" t="s">
        <v>8</v>
      </c>
      <c r="B6">
        <v>5664102</v>
      </c>
      <c r="C6" t="s">
        <v>9</v>
      </c>
      <c r="D6">
        <v>9</v>
      </c>
      <c r="F6" s="3" t="s">
        <v>22</v>
      </c>
      <c r="G6">
        <v>1932752</v>
      </c>
      <c r="I6">
        <f>IF(COUNTIF(Sheet3!A:A,F6)&gt;0,VLOOKUP(F6,Sheet3!A:B,2,FALSE),"Not Found")</f>
        <v>1932752</v>
      </c>
      <c r="J6" s="5" t="str">
        <f t="shared" si="0"/>
        <v>Matching</v>
      </c>
    </row>
    <row r="7" spans="1:10" x14ac:dyDescent="0.35">
      <c r="A7" t="s">
        <v>10</v>
      </c>
      <c r="B7">
        <v>1733</v>
      </c>
      <c r="C7" t="s">
        <v>11</v>
      </c>
      <c r="D7">
        <v>11</v>
      </c>
      <c r="F7" s="3" t="s">
        <v>8</v>
      </c>
      <c r="G7">
        <v>5664102</v>
      </c>
      <c r="I7">
        <f>IF(COUNTIF(Sheet3!A:A,F7)&gt;0,VLOOKUP(F7,Sheet3!A:B,2,FALSE),"Not Found")</f>
        <v>5664102</v>
      </c>
      <c r="J7" s="5" t="str">
        <f t="shared" si="0"/>
        <v>Matching</v>
      </c>
    </row>
    <row r="8" spans="1:10" x14ac:dyDescent="0.35">
      <c r="A8" t="s">
        <v>12</v>
      </c>
      <c r="B8">
        <v>0</v>
      </c>
      <c r="C8" t="s">
        <v>13</v>
      </c>
      <c r="D8">
        <v>23</v>
      </c>
      <c r="F8" s="3" t="s">
        <v>24</v>
      </c>
      <c r="G8">
        <v>3490352</v>
      </c>
      <c r="I8">
        <f>IF(COUNTIF(Sheet3!A:A,F8)&gt;0,VLOOKUP(F8,Sheet3!A:B,2,FALSE),"Not Found")</f>
        <v>3490352</v>
      </c>
      <c r="J8" s="5" t="str">
        <f t="shared" si="0"/>
        <v>Matching</v>
      </c>
    </row>
    <row r="9" spans="1:10" x14ac:dyDescent="0.35">
      <c r="A9" t="s">
        <v>14</v>
      </c>
      <c r="B9">
        <v>0</v>
      </c>
      <c r="C9" t="s">
        <v>15</v>
      </c>
      <c r="D9">
        <v>24</v>
      </c>
      <c r="F9" s="3" t="s">
        <v>34</v>
      </c>
      <c r="G9">
        <v>17823</v>
      </c>
      <c r="I9">
        <f>IF(COUNTIF(Sheet3!A:A,F9)&gt;0,VLOOKUP(F9,Sheet3!A:B,2,FALSE),"Not Found")</f>
        <v>17823</v>
      </c>
      <c r="J9" s="5" t="str">
        <f t="shared" si="0"/>
        <v>Matching</v>
      </c>
    </row>
    <row r="10" spans="1:10" x14ac:dyDescent="0.35">
      <c r="A10" t="s">
        <v>16</v>
      </c>
      <c r="B10">
        <v>0</v>
      </c>
      <c r="C10" t="s">
        <v>17</v>
      </c>
      <c r="D10">
        <v>27</v>
      </c>
      <c r="F10" s="3" t="s">
        <v>46</v>
      </c>
      <c r="G10">
        <v>0</v>
      </c>
      <c r="I10">
        <f>IF(COUNTIF(Sheet3!A:A,F10)&gt;0,VLOOKUP(F10,Sheet3!A:B,2,FALSE),"Not Found")</f>
        <v>0</v>
      </c>
      <c r="J10" s="5" t="str">
        <f t="shared" si="0"/>
        <v>Matching</v>
      </c>
    </row>
    <row r="11" spans="1:10" x14ac:dyDescent="0.35">
      <c r="A11" t="s">
        <v>18</v>
      </c>
      <c r="B11">
        <v>481505</v>
      </c>
      <c r="C11" t="s">
        <v>19</v>
      </c>
      <c r="D11">
        <v>1</v>
      </c>
      <c r="F11" s="3" t="s">
        <v>57</v>
      </c>
      <c r="G11">
        <v>0</v>
      </c>
      <c r="I11">
        <f>IF(COUNTIF(Sheet3!A:A,F11)&gt;0,VLOOKUP(F11,Sheet3!A:B,2,FALSE),"Not Found")</f>
        <v>0</v>
      </c>
      <c r="J11" s="5" t="str">
        <f t="shared" si="0"/>
        <v>Matching</v>
      </c>
    </row>
    <row r="12" spans="1:10" x14ac:dyDescent="0.35">
      <c r="A12" t="s">
        <v>20</v>
      </c>
      <c r="B12">
        <v>0</v>
      </c>
      <c r="C12" t="s">
        <v>1</v>
      </c>
      <c r="D12">
        <v>28</v>
      </c>
      <c r="F12" s="3" t="s">
        <v>109</v>
      </c>
      <c r="G12">
        <v>0</v>
      </c>
      <c r="I12">
        <f>IF(COUNTIF(Sheet3!A:A,F12)&gt;0,VLOOKUP(F12,Sheet3!A:B,2,FALSE),"Not Found")</f>
        <v>0</v>
      </c>
      <c r="J12" s="5" t="str">
        <f t="shared" si="0"/>
        <v>Matching</v>
      </c>
    </row>
    <row r="13" spans="1:10" x14ac:dyDescent="0.35">
      <c r="A13" t="s">
        <v>21</v>
      </c>
      <c r="B13">
        <v>0</v>
      </c>
      <c r="C13" t="s">
        <v>5</v>
      </c>
      <c r="D13">
        <v>26</v>
      </c>
      <c r="F13" s="3" t="s">
        <v>85</v>
      </c>
      <c r="G13">
        <v>0</v>
      </c>
      <c r="I13">
        <f>IF(COUNTIF(Sheet3!A:A,F13)&gt;0,VLOOKUP(F13,Sheet3!A:B,2,FALSE),"Not Found")</f>
        <v>0</v>
      </c>
      <c r="J13" s="5" t="str">
        <f t="shared" si="0"/>
        <v>Matching</v>
      </c>
    </row>
    <row r="14" spans="1:10" x14ac:dyDescent="0.35">
      <c r="A14" t="s">
        <v>22</v>
      </c>
      <c r="B14">
        <v>1932752</v>
      </c>
      <c r="C14" t="s">
        <v>23</v>
      </c>
      <c r="D14">
        <v>3</v>
      </c>
      <c r="F14" s="3" t="s">
        <v>71</v>
      </c>
      <c r="G14">
        <v>0</v>
      </c>
      <c r="I14">
        <f>IF(COUNTIF(Sheet3!A:A,F14)&gt;0,VLOOKUP(F14,Sheet3!A:B,2,FALSE),"Not Found")</f>
        <v>0</v>
      </c>
      <c r="J14" s="5" t="str">
        <f t="shared" si="0"/>
        <v>Matching</v>
      </c>
    </row>
    <row r="15" spans="1:10" x14ac:dyDescent="0.35">
      <c r="A15" t="s">
        <v>24</v>
      </c>
      <c r="B15">
        <v>3490352</v>
      </c>
      <c r="C15" t="s">
        <v>25</v>
      </c>
      <c r="D15">
        <v>12</v>
      </c>
      <c r="F15" s="3" t="s">
        <v>18</v>
      </c>
      <c r="G15">
        <v>481505</v>
      </c>
      <c r="I15">
        <f>IF(COUNTIF(Sheet3!A:A,F15)&gt;0,VLOOKUP(F15,Sheet3!A:B,2,FALSE),"Not Found")</f>
        <v>481505</v>
      </c>
      <c r="J15" s="5" t="str">
        <f t="shared" si="0"/>
        <v>Matching</v>
      </c>
    </row>
    <row r="16" spans="1:10" x14ac:dyDescent="0.35">
      <c r="A16" t="s">
        <v>26</v>
      </c>
      <c r="B16">
        <v>0</v>
      </c>
      <c r="C16" t="s">
        <v>27</v>
      </c>
      <c r="D16">
        <v>13</v>
      </c>
      <c r="F16" s="3" t="s">
        <v>44</v>
      </c>
      <c r="G16">
        <v>18577010</v>
      </c>
      <c r="I16">
        <f>IF(COUNTIF(Sheet3!A:A,F16)&gt;0,VLOOKUP(F16,Sheet3!A:B,2,FALSE),"Not Found")</f>
        <v>18577010</v>
      </c>
      <c r="J16" s="5" t="str">
        <f t="shared" si="0"/>
        <v>Matching</v>
      </c>
    </row>
    <row r="17" spans="1:10" x14ac:dyDescent="0.35">
      <c r="A17" t="s">
        <v>28</v>
      </c>
      <c r="B17">
        <v>0</v>
      </c>
      <c r="C17" t="s">
        <v>29</v>
      </c>
      <c r="D17">
        <v>22</v>
      </c>
      <c r="F17" s="3" t="s">
        <v>83</v>
      </c>
      <c r="G17">
        <v>10695168</v>
      </c>
      <c r="I17">
        <f>IF(COUNTIF(Sheet3!A:A,F17)&gt;0,VLOOKUP(F17,Sheet3!A:B,2,FALSE),"Not Found")</f>
        <v>10695168</v>
      </c>
      <c r="J17" s="5" t="str">
        <f t="shared" si="0"/>
        <v>Matching</v>
      </c>
    </row>
    <row r="18" spans="1:10" x14ac:dyDescent="0.35">
      <c r="A18" t="s">
        <v>30</v>
      </c>
      <c r="B18">
        <v>0</v>
      </c>
      <c r="C18" t="s">
        <v>29</v>
      </c>
      <c r="D18">
        <v>22</v>
      </c>
      <c r="F18" s="3" t="s">
        <v>58</v>
      </c>
      <c r="G18">
        <v>6673676</v>
      </c>
      <c r="I18">
        <f>IF(COUNTIF(Sheet3!A:A,F18)&gt;0,VLOOKUP(F18,Sheet3!A:B,2,FALSE),"Not Found")</f>
        <v>6673676</v>
      </c>
      <c r="J18" s="5" t="str">
        <f t="shared" si="0"/>
        <v>Matching</v>
      </c>
    </row>
    <row r="19" spans="1:10" x14ac:dyDescent="0.35">
      <c r="A19" t="s">
        <v>31</v>
      </c>
      <c r="B19">
        <v>0</v>
      </c>
      <c r="C19" t="s">
        <v>29</v>
      </c>
      <c r="D19">
        <v>22</v>
      </c>
      <c r="F19" s="3" t="s">
        <v>97</v>
      </c>
      <c r="G19">
        <v>6757145</v>
      </c>
      <c r="I19">
        <f>IF(COUNTIF(Sheet3!A:A,F19)&gt;0,VLOOKUP(F19,Sheet3!A:B,2,FALSE),"Not Found")</f>
        <v>6757145</v>
      </c>
      <c r="J19" s="5" t="str">
        <f t="shared" si="0"/>
        <v>Matching</v>
      </c>
    </row>
    <row r="20" spans="1:10" x14ac:dyDescent="0.35">
      <c r="A20" t="s">
        <v>32</v>
      </c>
      <c r="B20">
        <v>0</v>
      </c>
      <c r="C20" t="s">
        <v>29</v>
      </c>
      <c r="D20">
        <v>22</v>
      </c>
      <c r="F20" s="3" t="s">
        <v>73</v>
      </c>
      <c r="G20">
        <v>9</v>
      </c>
      <c r="I20">
        <f>IF(COUNTIF(Sheet3!A:A,F20)&gt;0,VLOOKUP(F20,Sheet3!A:B,2,FALSE),"Not Found")</f>
        <v>9</v>
      </c>
      <c r="J20" s="5" t="str">
        <f t="shared" si="0"/>
        <v>Matching</v>
      </c>
    </row>
    <row r="21" spans="1:10" x14ac:dyDescent="0.35">
      <c r="A21" t="s">
        <v>33</v>
      </c>
      <c r="B21">
        <v>0</v>
      </c>
      <c r="C21" t="s">
        <v>17</v>
      </c>
      <c r="D21">
        <v>27</v>
      </c>
      <c r="F21" s="3" t="s">
        <v>84</v>
      </c>
      <c r="G21">
        <v>542088</v>
      </c>
      <c r="I21">
        <f>IF(COUNTIF(Sheet3!A:A,F21)&gt;0,VLOOKUP(F21,Sheet3!A:B,2,FALSE),"Not Found")</f>
        <v>542088</v>
      </c>
      <c r="J21" s="5" t="str">
        <f t="shared" si="0"/>
        <v>Matching</v>
      </c>
    </row>
    <row r="22" spans="1:10" x14ac:dyDescent="0.35">
      <c r="A22" t="s">
        <v>34</v>
      </c>
      <c r="B22">
        <v>17823</v>
      </c>
      <c r="C22" t="s">
        <v>3</v>
      </c>
      <c r="D22">
        <v>2</v>
      </c>
      <c r="F22" s="3" t="s">
        <v>76</v>
      </c>
      <c r="G22">
        <v>9739782</v>
      </c>
      <c r="I22">
        <f>IF(COUNTIF(Sheet3!A:A,F22)&gt;0,VLOOKUP(F22,Sheet3!A:B,2,FALSE),"Not Found")</f>
        <v>9739782</v>
      </c>
      <c r="J22" s="5" t="str">
        <f t="shared" si="0"/>
        <v>Matching</v>
      </c>
    </row>
    <row r="23" spans="1:10" x14ac:dyDescent="0.35">
      <c r="A23" t="s">
        <v>35</v>
      </c>
      <c r="B23">
        <v>657246</v>
      </c>
      <c r="C23" t="s">
        <v>23</v>
      </c>
      <c r="D23">
        <v>3</v>
      </c>
      <c r="F23" s="3" t="s">
        <v>50</v>
      </c>
      <c r="G23">
        <v>2</v>
      </c>
      <c r="I23">
        <f>IF(COUNTIF(Sheet3!A:A,F23)&gt;0,VLOOKUP(F23,Sheet3!A:B,2,FALSE),"Not Found")</f>
        <v>2</v>
      </c>
      <c r="J23" s="5" t="str">
        <f t="shared" si="0"/>
        <v>Matching</v>
      </c>
    </row>
    <row r="24" spans="1:10" x14ac:dyDescent="0.35">
      <c r="A24" t="s">
        <v>36</v>
      </c>
      <c r="B24">
        <v>0</v>
      </c>
      <c r="C24" t="s">
        <v>7</v>
      </c>
      <c r="D24">
        <v>6</v>
      </c>
      <c r="F24" s="3" t="s">
        <v>88</v>
      </c>
      <c r="G24">
        <v>0</v>
      </c>
      <c r="I24">
        <f>IF(COUNTIF(Sheet3!A:A,F24)&gt;0,VLOOKUP(F24,Sheet3!A:B,2,FALSE),"Not Found")</f>
        <v>0</v>
      </c>
      <c r="J24" s="5" t="str">
        <f t="shared" si="0"/>
        <v>Matching</v>
      </c>
    </row>
    <row r="25" spans="1:10" x14ac:dyDescent="0.35">
      <c r="A25" t="s">
        <v>37</v>
      </c>
      <c r="B25">
        <v>0</v>
      </c>
      <c r="C25" t="s">
        <v>7</v>
      </c>
      <c r="D25">
        <v>6</v>
      </c>
      <c r="F25" s="3" t="s">
        <v>98</v>
      </c>
      <c r="G25">
        <v>4</v>
      </c>
      <c r="I25">
        <f>IF(COUNTIF(Sheet3!A:A,F25)&gt;0,VLOOKUP(F25,Sheet3!A:B,2,FALSE),"Not Found")</f>
        <v>4</v>
      </c>
      <c r="J25" s="5" t="str">
        <f t="shared" si="0"/>
        <v>Matching</v>
      </c>
    </row>
    <row r="26" spans="1:10" x14ac:dyDescent="0.35">
      <c r="A26" t="s">
        <v>38</v>
      </c>
      <c r="B26">
        <v>0</v>
      </c>
      <c r="C26" t="s">
        <v>7</v>
      </c>
      <c r="D26">
        <v>6</v>
      </c>
      <c r="F26" s="3" t="s">
        <v>28</v>
      </c>
      <c r="G26">
        <v>0</v>
      </c>
      <c r="I26">
        <f>IF(COUNTIF(Sheet3!A:A,F26)&gt;0,VLOOKUP(F26,Sheet3!A:B,2,FALSE),"Not Found")</f>
        <v>0</v>
      </c>
      <c r="J26" s="5" t="str">
        <f t="shared" si="0"/>
        <v>Matching</v>
      </c>
    </row>
    <row r="27" spans="1:10" x14ac:dyDescent="0.35">
      <c r="A27" t="s">
        <v>39</v>
      </c>
      <c r="B27">
        <v>0</v>
      </c>
      <c r="C27" t="s">
        <v>7</v>
      </c>
      <c r="D27">
        <v>6</v>
      </c>
      <c r="F27" s="3" t="s">
        <v>37</v>
      </c>
      <c r="G27">
        <v>0</v>
      </c>
      <c r="I27">
        <f>IF(COUNTIF(Sheet3!A:A,F27)&gt;0,VLOOKUP(F27,Sheet3!A:B,2,FALSE),"Not Found")</f>
        <v>0</v>
      </c>
      <c r="J27" s="5" t="str">
        <f t="shared" si="0"/>
        <v>Matching</v>
      </c>
    </row>
    <row r="28" spans="1:10" x14ac:dyDescent="0.35">
      <c r="A28" t="s">
        <v>40</v>
      </c>
      <c r="B28">
        <v>0</v>
      </c>
      <c r="C28" t="s">
        <v>13</v>
      </c>
      <c r="D28">
        <v>23</v>
      </c>
      <c r="F28" s="3" t="s">
        <v>99</v>
      </c>
      <c r="G28">
        <v>0</v>
      </c>
      <c r="I28">
        <f>IF(COUNTIF(Sheet3!A:A,F28)&gt;0,VLOOKUP(F28,Sheet3!A:B,2,FALSE),"Not Found")</f>
        <v>0</v>
      </c>
      <c r="J28" s="5" t="str">
        <f t="shared" si="0"/>
        <v>Matching</v>
      </c>
    </row>
    <row r="29" spans="1:10" x14ac:dyDescent="0.35">
      <c r="A29" t="s">
        <v>41</v>
      </c>
      <c r="B29">
        <v>61</v>
      </c>
      <c r="C29" t="s">
        <v>42</v>
      </c>
      <c r="D29">
        <v>14</v>
      </c>
      <c r="F29" s="3" t="s">
        <v>80</v>
      </c>
      <c r="G29">
        <v>0</v>
      </c>
      <c r="I29">
        <f>IF(COUNTIF(Sheet3!A:A,F29)&gt;0,VLOOKUP(F29,Sheet3!A:B,2,FALSE),"Not Found")</f>
        <v>0</v>
      </c>
      <c r="J29" s="5" t="str">
        <f t="shared" si="0"/>
        <v>Matching</v>
      </c>
    </row>
    <row r="30" spans="1:10" x14ac:dyDescent="0.35">
      <c r="A30" t="s">
        <v>43</v>
      </c>
      <c r="B30">
        <v>0</v>
      </c>
      <c r="C30" t="s">
        <v>29</v>
      </c>
      <c r="D30">
        <v>22</v>
      </c>
      <c r="F30" s="3" t="s">
        <v>87</v>
      </c>
      <c r="G30">
        <v>42</v>
      </c>
      <c r="I30">
        <f>IF(COUNTIF(Sheet3!A:A,F30)&gt;0,VLOOKUP(F30,Sheet3!A:B,2,FALSE),"Not Found")</f>
        <v>42</v>
      </c>
      <c r="J30" s="5" t="str">
        <f t="shared" si="0"/>
        <v>Matching</v>
      </c>
    </row>
    <row r="31" spans="1:10" x14ac:dyDescent="0.35">
      <c r="A31" t="s">
        <v>44</v>
      </c>
      <c r="B31">
        <v>18577010</v>
      </c>
      <c r="C31" t="s">
        <v>45</v>
      </c>
      <c r="D31">
        <v>4</v>
      </c>
      <c r="F31" s="3" t="s">
        <v>78</v>
      </c>
      <c r="G31">
        <v>14</v>
      </c>
      <c r="I31">
        <f>IF(COUNTIF(Sheet3!A:A,F31)&gt;0,VLOOKUP(F31,Sheet3!A:B,2,FALSE),"Not Found")</f>
        <v>14</v>
      </c>
      <c r="J31" s="5" t="str">
        <f t="shared" si="0"/>
        <v>Matching</v>
      </c>
    </row>
    <row r="32" spans="1:10" x14ac:dyDescent="0.35">
      <c r="A32" t="s">
        <v>46</v>
      </c>
      <c r="B32">
        <v>0</v>
      </c>
      <c r="C32" t="s">
        <v>17</v>
      </c>
      <c r="D32">
        <v>27</v>
      </c>
      <c r="F32" s="3" t="s">
        <v>43</v>
      </c>
      <c r="G32">
        <v>0</v>
      </c>
      <c r="I32">
        <f>IF(COUNTIF(Sheet3!A:A,F32)&gt;0,VLOOKUP(F32,Sheet3!A:B,2,FALSE),"Not Found")</f>
        <v>0</v>
      </c>
      <c r="J32" s="5" t="str">
        <f t="shared" si="0"/>
        <v>Matching</v>
      </c>
    </row>
    <row r="33" spans="1:10" x14ac:dyDescent="0.35">
      <c r="A33" t="s">
        <v>47</v>
      </c>
      <c r="B33">
        <v>0</v>
      </c>
      <c r="C33" t="s">
        <v>17</v>
      </c>
      <c r="D33">
        <v>27</v>
      </c>
      <c r="F33" s="3" t="s">
        <v>54</v>
      </c>
      <c r="G33">
        <v>0</v>
      </c>
      <c r="I33">
        <f>IF(COUNTIF(Sheet3!A:A,F33)&gt;0,VLOOKUP(F33,Sheet3!A:B,2,FALSE),"Not Found")</f>
        <v>0</v>
      </c>
      <c r="J33" s="5" t="str">
        <f t="shared" si="0"/>
        <v>Matching</v>
      </c>
    </row>
    <row r="34" spans="1:10" x14ac:dyDescent="0.35">
      <c r="A34" t="s">
        <v>48</v>
      </c>
      <c r="B34">
        <v>0</v>
      </c>
      <c r="C34" t="s">
        <v>49</v>
      </c>
      <c r="D34">
        <v>16</v>
      </c>
      <c r="F34" s="3" t="s">
        <v>30</v>
      </c>
      <c r="G34">
        <v>0</v>
      </c>
      <c r="I34">
        <f>IF(COUNTIF(Sheet3!A:A,F34)&gt;0,VLOOKUP(F34,Sheet3!A:B,2,FALSE),"Not Found")</f>
        <v>0</v>
      </c>
      <c r="J34" s="5" t="str">
        <f t="shared" si="0"/>
        <v>Matching</v>
      </c>
    </row>
    <row r="35" spans="1:10" x14ac:dyDescent="0.35">
      <c r="A35" t="s">
        <v>50</v>
      </c>
      <c r="B35">
        <v>2</v>
      </c>
      <c r="C35" t="s">
        <v>51</v>
      </c>
      <c r="D35">
        <v>21</v>
      </c>
      <c r="F35" s="3" t="s">
        <v>107</v>
      </c>
      <c r="G35">
        <v>0</v>
      </c>
      <c r="I35">
        <f>IF(COUNTIF(Sheet3!A:A,F35)&gt;0,VLOOKUP(F35,Sheet3!A:B,2,FALSE),"Not Found")</f>
        <v>0</v>
      </c>
      <c r="J35" s="5" t="str">
        <f t="shared" si="0"/>
        <v>Matching</v>
      </c>
    </row>
    <row r="36" spans="1:10" x14ac:dyDescent="0.35">
      <c r="A36" t="s">
        <v>52</v>
      </c>
      <c r="B36">
        <v>0</v>
      </c>
      <c r="C36" t="s">
        <v>1</v>
      </c>
      <c r="D36">
        <v>28</v>
      </c>
      <c r="F36" s="3" t="s">
        <v>93</v>
      </c>
      <c r="G36">
        <v>0</v>
      </c>
      <c r="I36">
        <f>IF(COUNTIF(Sheet3!A:A,F36)&gt;0,VLOOKUP(F36,Sheet3!A:B,2,FALSE),"Not Found")</f>
        <v>0</v>
      </c>
      <c r="J36" s="5" t="str">
        <f t="shared" si="0"/>
        <v>Matching</v>
      </c>
    </row>
    <row r="37" spans="1:10" x14ac:dyDescent="0.35">
      <c r="A37" t="s">
        <v>53</v>
      </c>
      <c r="B37">
        <v>0</v>
      </c>
      <c r="C37" t="s">
        <v>7</v>
      </c>
      <c r="D37">
        <v>6</v>
      </c>
      <c r="F37" s="3" t="s">
        <v>4</v>
      </c>
      <c r="G37">
        <v>0</v>
      </c>
      <c r="I37">
        <f>IF(COUNTIF(Sheet3!A:A,F37)&gt;0,VLOOKUP(F37,Sheet3!A:B,2,FALSE),"Not Found")</f>
        <v>0</v>
      </c>
      <c r="J37" s="5" t="str">
        <f t="shared" si="0"/>
        <v>Matching</v>
      </c>
    </row>
    <row r="38" spans="1:10" x14ac:dyDescent="0.35">
      <c r="A38" t="s">
        <v>54</v>
      </c>
      <c r="B38">
        <v>0</v>
      </c>
      <c r="C38" t="s">
        <v>29</v>
      </c>
      <c r="D38">
        <v>22</v>
      </c>
      <c r="F38" s="3" t="s">
        <v>14</v>
      </c>
      <c r="G38">
        <v>0</v>
      </c>
      <c r="I38">
        <f>IF(COUNTIF(Sheet3!A:A,F38)&gt;0,VLOOKUP(F38,Sheet3!A:B,2,FALSE),"Not Found")</f>
        <v>0</v>
      </c>
      <c r="J38" s="5" t="str">
        <f t="shared" si="0"/>
        <v>Matching</v>
      </c>
    </row>
    <row r="39" spans="1:10" x14ac:dyDescent="0.35">
      <c r="A39" t="s">
        <v>55</v>
      </c>
      <c r="B39">
        <v>0</v>
      </c>
      <c r="C39" t="s">
        <v>29</v>
      </c>
      <c r="D39">
        <v>22</v>
      </c>
      <c r="F39" s="3" t="s">
        <v>26</v>
      </c>
      <c r="G39">
        <v>0</v>
      </c>
      <c r="I39">
        <f>IF(COUNTIF(Sheet3!A:A,F39)&gt;0,VLOOKUP(F39,Sheet3!A:B,2,FALSE),"Not Found")</f>
        <v>0</v>
      </c>
      <c r="J39" s="5" t="str">
        <f t="shared" si="0"/>
        <v>Matching</v>
      </c>
    </row>
    <row r="40" spans="1:10" x14ac:dyDescent="0.35">
      <c r="A40" t="s">
        <v>56</v>
      </c>
      <c r="B40">
        <v>0</v>
      </c>
      <c r="C40" t="s">
        <v>29</v>
      </c>
      <c r="D40">
        <v>22</v>
      </c>
      <c r="F40" s="3" t="s">
        <v>91</v>
      </c>
      <c r="G40">
        <v>0</v>
      </c>
      <c r="I40">
        <f>IF(COUNTIF(Sheet3!A:A,F40)&gt;0,VLOOKUP(F40,Sheet3!A:B,2,FALSE),"Not Found")</f>
        <v>0</v>
      </c>
      <c r="J40" s="5" t="str">
        <f t="shared" si="0"/>
        <v>Matching</v>
      </c>
    </row>
    <row r="41" spans="1:10" x14ac:dyDescent="0.35">
      <c r="A41" t="s">
        <v>57</v>
      </c>
      <c r="B41">
        <v>0</v>
      </c>
      <c r="C41" t="s">
        <v>17</v>
      </c>
      <c r="D41">
        <v>27</v>
      </c>
      <c r="F41" s="3" t="s">
        <v>32</v>
      </c>
      <c r="G41">
        <v>0</v>
      </c>
      <c r="I41">
        <f>IF(COUNTIF(Sheet3!A:A,F41)&gt;0,VLOOKUP(F41,Sheet3!A:B,2,FALSE),"Not Found")</f>
        <v>0</v>
      </c>
      <c r="J41" s="5" t="str">
        <f t="shared" si="0"/>
        <v>Matching</v>
      </c>
    </row>
    <row r="42" spans="1:10" x14ac:dyDescent="0.35">
      <c r="A42" t="s">
        <v>58</v>
      </c>
      <c r="B42">
        <v>6673676</v>
      </c>
      <c r="C42" t="s">
        <v>59</v>
      </c>
      <c r="D42">
        <v>17</v>
      </c>
      <c r="F42" s="3" t="s">
        <v>94</v>
      </c>
      <c r="G42">
        <v>0</v>
      </c>
      <c r="I42">
        <f>IF(COUNTIF(Sheet3!A:A,F42)&gt;0,VLOOKUP(F42,Sheet3!A:B,2,FALSE),"Not Found")</f>
        <v>0</v>
      </c>
      <c r="J42" s="5" t="str">
        <f t="shared" si="0"/>
        <v>Matching</v>
      </c>
    </row>
    <row r="43" spans="1:10" x14ac:dyDescent="0.35">
      <c r="A43" t="s">
        <v>60</v>
      </c>
      <c r="B43">
        <v>0</v>
      </c>
      <c r="C43" t="s">
        <v>5</v>
      </c>
      <c r="D43">
        <v>26</v>
      </c>
      <c r="F43" s="3" t="s">
        <v>31</v>
      </c>
      <c r="G43">
        <v>0</v>
      </c>
      <c r="I43">
        <f>IF(COUNTIF(Sheet3!A:A,F43)&gt;0,VLOOKUP(F43,Sheet3!A:B,2,FALSE),"Not Found")</f>
        <v>0</v>
      </c>
      <c r="J43" s="5" t="str">
        <f t="shared" si="0"/>
        <v>Matching</v>
      </c>
    </row>
    <row r="44" spans="1:10" x14ac:dyDescent="0.35">
      <c r="A44" t="s">
        <v>61</v>
      </c>
      <c r="B44">
        <v>18178</v>
      </c>
      <c r="C44" t="s">
        <v>62</v>
      </c>
      <c r="D44">
        <v>20</v>
      </c>
      <c r="F44" s="3" t="s">
        <v>55</v>
      </c>
      <c r="G44">
        <v>0</v>
      </c>
      <c r="I44">
        <f>IF(COUNTIF(Sheet3!A:A,F44)&gt;0,VLOOKUP(F44,Sheet3!A:B,2,FALSE),"Not Found")</f>
        <v>0</v>
      </c>
      <c r="J44" s="5" t="str">
        <f t="shared" si="0"/>
        <v>Matching</v>
      </c>
    </row>
    <row r="45" spans="1:10" x14ac:dyDescent="0.35">
      <c r="A45" t="s">
        <v>63</v>
      </c>
      <c r="B45">
        <v>9771</v>
      </c>
      <c r="C45" t="s">
        <v>62</v>
      </c>
      <c r="D45">
        <v>20</v>
      </c>
      <c r="F45" s="3" t="s">
        <v>48</v>
      </c>
      <c r="G45">
        <v>0</v>
      </c>
      <c r="I45">
        <f>IF(COUNTIF(Sheet3!A:A,F45)&gt;0,VLOOKUP(F45,Sheet3!A:B,2,FALSE),"Not Found")</f>
        <v>0</v>
      </c>
      <c r="J45" s="5" t="str">
        <f t="shared" si="0"/>
        <v>Matching</v>
      </c>
    </row>
    <row r="46" spans="1:10" x14ac:dyDescent="0.35">
      <c r="A46" t="s">
        <v>64</v>
      </c>
      <c r="B46">
        <v>17</v>
      </c>
      <c r="C46" t="s">
        <v>65</v>
      </c>
      <c r="D46">
        <v>8</v>
      </c>
      <c r="F46" s="3" t="s">
        <v>53</v>
      </c>
      <c r="G46">
        <v>0</v>
      </c>
      <c r="I46">
        <f>IF(COUNTIF(Sheet3!A:A,F46)&gt;0,VLOOKUP(F46,Sheet3!A:B,2,FALSE),"Not Found")</f>
        <v>0</v>
      </c>
      <c r="J46" s="5" t="str">
        <f t="shared" si="0"/>
        <v>Matching</v>
      </c>
    </row>
    <row r="47" spans="1:10" x14ac:dyDescent="0.35">
      <c r="A47" t="s">
        <v>66</v>
      </c>
      <c r="B47">
        <v>8</v>
      </c>
      <c r="C47" t="s">
        <v>65</v>
      </c>
      <c r="D47">
        <v>8</v>
      </c>
      <c r="F47" s="3" t="s">
        <v>36</v>
      </c>
      <c r="G47">
        <v>0</v>
      </c>
      <c r="I47">
        <f>IF(COUNTIF(Sheet3!A:A,F47)&gt;0,VLOOKUP(F47,Sheet3!A:B,2,FALSE),"Not Found")</f>
        <v>0</v>
      </c>
      <c r="J47" s="5" t="str">
        <f t="shared" si="0"/>
        <v>Matching</v>
      </c>
    </row>
    <row r="48" spans="1:10" x14ac:dyDescent="0.35">
      <c r="A48" t="s">
        <v>67</v>
      </c>
      <c r="B48">
        <v>2328246</v>
      </c>
      <c r="C48" t="s">
        <v>68</v>
      </c>
      <c r="D48">
        <v>10</v>
      </c>
      <c r="F48" s="3" t="s">
        <v>6</v>
      </c>
      <c r="G48">
        <v>0</v>
      </c>
      <c r="I48">
        <f>IF(COUNTIF(Sheet3!A:A,F48)&gt;0,VLOOKUP(F48,Sheet3!A:B,2,FALSE),"Not Found")</f>
        <v>0</v>
      </c>
      <c r="J48" s="5" t="str">
        <f t="shared" si="0"/>
        <v>Matching</v>
      </c>
    </row>
    <row r="49" spans="1:10" x14ac:dyDescent="0.35">
      <c r="A49" t="s">
        <v>69</v>
      </c>
      <c r="B49">
        <v>0</v>
      </c>
      <c r="C49" t="s">
        <v>13</v>
      </c>
      <c r="D49">
        <v>23</v>
      </c>
      <c r="F49" s="3" t="s">
        <v>38</v>
      </c>
      <c r="G49">
        <v>0</v>
      </c>
      <c r="I49">
        <f>IF(COUNTIF(Sheet3!A:A,F49)&gt;0,VLOOKUP(F49,Sheet3!A:B,2,FALSE),"Not Found")</f>
        <v>0</v>
      </c>
      <c r="J49" s="5" t="str">
        <f t="shared" si="0"/>
        <v>Matching</v>
      </c>
    </row>
    <row r="50" spans="1:10" x14ac:dyDescent="0.35">
      <c r="A50" t="s">
        <v>70</v>
      </c>
      <c r="B50">
        <v>0</v>
      </c>
      <c r="C50" t="s">
        <v>29</v>
      </c>
      <c r="D50">
        <v>22</v>
      </c>
      <c r="F50" s="3" t="s">
        <v>81</v>
      </c>
      <c r="G50">
        <v>0</v>
      </c>
      <c r="I50">
        <f>IF(COUNTIF(Sheet3!A:A,F50)&gt;0,VLOOKUP(F50,Sheet3!A:B,2,FALSE),"Not Found")</f>
        <v>0</v>
      </c>
      <c r="J50" s="5" t="str">
        <f t="shared" si="0"/>
        <v>Matching</v>
      </c>
    </row>
    <row r="51" spans="1:10" x14ac:dyDescent="0.35">
      <c r="A51" t="s">
        <v>71</v>
      </c>
      <c r="B51">
        <v>0</v>
      </c>
      <c r="C51" t="s">
        <v>17</v>
      </c>
      <c r="D51">
        <v>27</v>
      </c>
      <c r="F51" s="3" t="s">
        <v>90</v>
      </c>
      <c r="G51">
        <v>0</v>
      </c>
      <c r="I51">
        <f>IF(COUNTIF(Sheet3!A:A,F51)&gt;0,VLOOKUP(F51,Sheet3!A:B,2,FALSE),"Not Found")</f>
        <v>0</v>
      </c>
      <c r="J51" s="5" t="str">
        <f t="shared" si="0"/>
        <v>Matching</v>
      </c>
    </row>
    <row r="52" spans="1:10" x14ac:dyDescent="0.35">
      <c r="A52" t="s">
        <v>72</v>
      </c>
      <c r="B52">
        <v>0</v>
      </c>
      <c r="C52" t="s">
        <v>49</v>
      </c>
      <c r="D52">
        <v>16</v>
      </c>
      <c r="F52" s="3" t="s">
        <v>39</v>
      </c>
      <c r="G52">
        <v>0</v>
      </c>
      <c r="I52">
        <f>IF(COUNTIF(Sheet3!A:A,F52)&gt;0,VLOOKUP(F52,Sheet3!A:B,2,FALSE),"Not Found")</f>
        <v>0</v>
      </c>
      <c r="J52" s="5" t="str">
        <f t="shared" si="0"/>
        <v>Matching</v>
      </c>
    </row>
    <row r="53" spans="1:10" x14ac:dyDescent="0.35">
      <c r="A53" t="s">
        <v>73</v>
      </c>
      <c r="B53">
        <v>9</v>
      </c>
      <c r="C53" t="s">
        <v>59</v>
      </c>
      <c r="D53">
        <v>17</v>
      </c>
      <c r="F53" s="3" t="s">
        <v>100</v>
      </c>
      <c r="G53">
        <v>0</v>
      </c>
      <c r="I53">
        <f>IF(COUNTIF(Sheet3!A:A,F53)&gt;0,VLOOKUP(F53,Sheet3!A:B,2,FALSE),"Not Found")</f>
        <v>0</v>
      </c>
      <c r="J53" s="5" t="str">
        <f t="shared" si="0"/>
        <v>Matching</v>
      </c>
    </row>
    <row r="54" spans="1:10" x14ac:dyDescent="0.35">
      <c r="A54" t="s">
        <v>74</v>
      </c>
      <c r="B54">
        <v>0</v>
      </c>
      <c r="C54" t="s">
        <v>75</v>
      </c>
      <c r="D54">
        <v>19</v>
      </c>
      <c r="F54" s="3" t="s">
        <v>63</v>
      </c>
      <c r="G54">
        <v>9771</v>
      </c>
      <c r="I54">
        <f>IF(COUNTIF(Sheet3!A:A,F54)&gt;0,VLOOKUP(F54,Sheet3!A:B,2,FALSE),"Not Found")</f>
        <v>9771</v>
      </c>
      <c r="J54" s="5" t="str">
        <f t="shared" si="0"/>
        <v>Matching</v>
      </c>
    </row>
    <row r="55" spans="1:10" x14ac:dyDescent="0.35">
      <c r="A55" t="s">
        <v>76</v>
      </c>
      <c r="B55">
        <v>9739782</v>
      </c>
      <c r="C55" t="s">
        <v>77</v>
      </c>
      <c r="D55">
        <v>18</v>
      </c>
      <c r="F55" s="3" t="s">
        <v>102</v>
      </c>
      <c r="G55">
        <v>10125</v>
      </c>
      <c r="I55">
        <f>IF(COUNTIF(Sheet3!A:A,F55)&gt;0,VLOOKUP(F55,Sheet3!A:B,2,FALSE),"Not Found")</f>
        <v>10125</v>
      </c>
      <c r="J55" s="5" t="str">
        <f t="shared" si="0"/>
        <v>Matching</v>
      </c>
    </row>
    <row r="56" spans="1:10" x14ac:dyDescent="0.35">
      <c r="A56" t="s">
        <v>78</v>
      </c>
      <c r="B56">
        <v>14</v>
      </c>
      <c r="C56" t="s">
        <v>79</v>
      </c>
      <c r="D56">
        <v>7</v>
      </c>
      <c r="F56" s="3" t="s">
        <v>61</v>
      </c>
      <c r="G56">
        <v>18178</v>
      </c>
      <c r="I56">
        <f>IF(COUNTIF(Sheet3!A:A,F56)&gt;0,VLOOKUP(F56,Sheet3!A:B,2,FALSE),"Not Found")</f>
        <v>18178</v>
      </c>
      <c r="J56" s="5" t="str">
        <f t="shared" si="0"/>
        <v>Matching</v>
      </c>
    </row>
    <row r="57" spans="1:10" x14ac:dyDescent="0.35">
      <c r="A57" t="s">
        <v>80</v>
      </c>
      <c r="B57">
        <v>0</v>
      </c>
      <c r="C57" t="s">
        <v>7</v>
      </c>
      <c r="D57">
        <v>6</v>
      </c>
      <c r="F57" s="3" t="s">
        <v>101</v>
      </c>
      <c r="G57">
        <v>8919</v>
      </c>
      <c r="I57">
        <f>IF(COUNTIF(Sheet3!A:A,F57)&gt;0,VLOOKUP(F57,Sheet3!A:B,2,FALSE),"Not Found")</f>
        <v>8919</v>
      </c>
      <c r="J57" s="5" t="str">
        <f t="shared" si="0"/>
        <v>Matching</v>
      </c>
    </row>
    <row r="58" spans="1:10" x14ac:dyDescent="0.35">
      <c r="A58" t="s">
        <v>81</v>
      </c>
      <c r="B58">
        <v>0</v>
      </c>
      <c r="C58" t="s">
        <v>7</v>
      </c>
      <c r="D58">
        <v>6</v>
      </c>
      <c r="F58" s="3" t="s">
        <v>56</v>
      </c>
      <c r="G58">
        <v>0</v>
      </c>
      <c r="I58">
        <f>IF(COUNTIF(Sheet3!A:A,F58)&gt;0,VLOOKUP(F58,Sheet3!A:B,2,FALSE),"Not Found")</f>
        <v>0</v>
      </c>
      <c r="J58" s="5" t="str">
        <f t="shared" si="0"/>
        <v>Matching</v>
      </c>
    </row>
    <row r="59" spans="1:10" x14ac:dyDescent="0.35">
      <c r="A59" t="s">
        <v>82</v>
      </c>
      <c r="B59">
        <v>0</v>
      </c>
      <c r="C59" t="s">
        <v>29</v>
      </c>
      <c r="D59">
        <v>22</v>
      </c>
      <c r="F59" s="3" t="s">
        <v>108</v>
      </c>
      <c r="G59">
        <v>0</v>
      </c>
      <c r="I59">
        <f>IF(COUNTIF(Sheet3!A:A,F59)&gt;0,VLOOKUP(F59,Sheet3!A:B,2,FALSE),"Not Found")</f>
        <v>0</v>
      </c>
      <c r="J59" s="5" t="str">
        <f t="shared" si="0"/>
        <v>Matching</v>
      </c>
    </row>
    <row r="60" spans="1:10" x14ac:dyDescent="0.35">
      <c r="A60" t="s">
        <v>83</v>
      </c>
      <c r="B60">
        <v>10695168</v>
      </c>
      <c r="C60" t="s">
        <v>59</v>
      </c>
      <c r="D60">
        <v>17</v>
      </c>
      <c r="F60" s="3" t="s">
        <v>92</v>
      </c>
      <c r="G60">
        <v>0</v>
      </c>
      <c r="I60">
        <f>IF(COUNTIF(Sheet3!A:A,F60)&gt;0,VLOOKUP(F60,Sheet3!A:B,2,FALSE),"Not Found")</f>
        <v>0</v>
      </c>
      <c r="J60" s="5" t="str">
        <f t="shared" si="0"/>
        <v>Matching</v>
      </c>
    </row>
    <row r="61" spans="1:10" x14ac:dyDescent="0.35">
      <c r="A61" t="s">
        <v>84</v>
      </c>
      <c r="B61">
        <v>542088</v>
      </c>
      <c r="C61" t="s">
        <v>77</v>
      </c>
      <c r="D61">
        <v>18</v>
      </c>
      <c r="F61" s="3" t="s">
        <v>106</v>
      </c>
      <c r="G61">
        <v>0</v>
      </c>
      <c r="I61">
        <f>IF(COUNTIF(Sheet3!A:A,F61)&gt;0,VLOOKUP(F61,Sheet3!A:B,2,FALSE),"Not Found")</f>
        <v>0</v>
      </c>
      <c r="J61" s="5" t="str">
        <f t="shared" si="0"/>
        <v>Matching</v>
      </c>
    </row>
    <row r="62" spans="1:10" x14ac:dyDescent="0.35">
      <c r="A62" t="s">
        <v>85</v>
      </c>
      <c r="B62">
        <v>0</v>
      </c>
      <c r="C62" t="s">
        <v>86</v>
      </c>
      <c r="D62">
        <v>25</v>
      </c>
      <c r="F62" s="3" t="s">
        <v>12</v>
      </c>
      <c r="G62">
        <v>0</v>
      </c>
      <c r="I62">
        <f>IF(COUNTIF(Sheet3!A:A,F62)&gt;0,VLOOKUP(F62,Sheet3!A:B,2,FALSE),"Not Found")</f>
        <v>0</v>
      </c>
      <c r="J62" s="5" t="str">
        <f t="shared" si="0"/>
        <v>Matching</v>
      </c>
    </row>
    <row r="63" spans="1:10" x14ac:dyDescent="0.35">
      <c r="A63" t="s">
        <v>87</v>
      </c>
      <c r="B63">
        <v>42</v>
      </c>
      <c r="C63" t="s">
        <v>79</v>
      </c>
      <c r="D63">
        <v>7</v>
      </c>
      <c r="F63" s="3" t="s">
        <v>105</v>
      </c>
      <c r="G63">
        <v>0</v>
      </c>
      <c r="I63">
        <f>IF(COUNTIF(Sheet3!A:A,F63)&gt;0,VLOOKUP(F63,Sheet3!A:B,2,FALSE),"Not Found")</f>
        <v>0</v>
      </c>
      <c r="J63" s="5" t="str">
        <f t="shared" si="0"/>
        <v>Matching</v>
      </c>
    </row>
    <row r="64" spans="1:10" x14ac:dyDescent="0.35">
      <c r="A64" t="s">
        <v>88</v>
      </c>
      <c r="B64">
        <v>0</v>
      </c>
      <c r="C64" t="s">
        <v>51</v>
      </c>
      <c r="D64">
        <v>21</v>
      </c>
      <c r="F64" s="3" t="s">
        <v>69</v>
      </c>
      <c r="G64">
        <v>0</v>
      </c>
      <c r="I64">
        <f>IF(COUNTIF(Sheet3!A:A,F64)&gt;0,VLOOKUP(F64,Sheet3!A:B,2,FALSE),"Not Found")</f>
        <v>0</v>
      </c>
      <c r="J64" s="5" t="str">
        <f t="shared" si="0"/>
        <v>Matching</v>
      </c>
    </row>
    <row r="65" spans="1:10" x14ac:dyDescent="0.35">
      <c r="A65" t="s">
        <v>89</v>
      </c>
      <c r="B65">
        <v>1932723</v>
      </c>
      <c r="C65" t="s">
        <v>23</v>
      </c>
      <c r="D65">
        <v>3</v>
      </c>
      <c r="F65" s="3" t="s">
        <v>40</v>
      </c>
      <c r="G65">
        <v>0</v>
      </c>
      <c r="I65">
        <f>IF(COUNTIF(Sheet3!A:A,F65)&gt;0,VLOOKUP(F65,Sheet3!A:B,2,FALSE),"Not Found")</f>
        <v>0</v>
      </c>
      <c r="J65" s="5" t="str">
        <f t="shared" si="0"/>
        <v>Matching</v>
      </c>
    </row>
    <row r="66" spans="1:10" x14ac:dyDescent="0.35">
      <c r="A66" t="s">
        <v>90</v>
      </c>
      <c r="B66">
        <v>0</v>
      </c>
      <c r="C66" t="s">
        <v>7</v>
      </c>
      <c r="D66">
        <v>6</v>
      </c>
      <c r="F66" s="3" t="s">
        <v>67</v>
      </c>
      <c r="G66">
        <v>2328246</v>
      </c>
      <c r="I66">
        <f>IF(COUNTIF(Sheet3!A:A,F66)&gt;0,VLOOKUP(F66,Sheet3!A:B,2,FALSE),"Not Found")</f>
        <v>2328246</v>
      </c>
      <c r="J66" s="5" t="str">
        <f t="shared" si="0"/>
        <v>Matching</v>
      </c>
    </row>
    <row r="67" spans="1:10" x14ac:dyDescent="0.35">
      <c r="A67" t="s">
        <v>91</v>
      </c>
      <c r="B67">
        <v>0</v>
      </c>
      <c r="C67" t="s">
        <v>27</v>
      </c>
      <c r="D67">
        <v>13</v>
      </c>
      <c r="F67" s="3" t="s">
        <v>70</v>
      </c>
      <c r="G67">
        <v>0</v>
      </c>
      <c r="I67">
        <f>IF(COUNTIF(Sheet3!A:A,F67)&gt;0,VLOOKUP(F67,Sheet3!A:B,2,FALSE),"Not Found")</f>
        <v>0</v>
      </c>
      <c r="J67" s="5" t="str">
        <f t="shared" ref="J67:J87" si="1">IF(G67=I67,"Matching","Mis Match")</f>
        <v>Matching</v>
      </c>
    </row>
    <row r="68" spans="1:10" x14ac:dyDescent="0.35">
      <c r="A68" t="s">
        <v>92</v>
      </c>
      <c r="B68">
        <v>0</v>
      </c>
      <c r="C68" t="s">
        <v>13</v>
      </c>
      <c r="D68">
        <v>23</v>
      </c>
      <c r="F68" s="3" t="s">
        <v>47</v>
      </c>
      <c r="G68">
        <v>0</v>
      </c>
      <c r="I68">
        <f>IF(COUNTIF(Sheet3!A:A,F68)&gt;0,VLOOKUP(F68,Sheet3!A:B,2,FALSE),"Not Found")</f>
        <v>0</v>
      </c>
      <c r="J68" s="5" t="str">
        <f t="shared" si="1"/>
        <v>Matching</v>
      </c>
    </row>
    <row r="69" spans="1:10" x14ac:dyDescent="0.35">
      <c r="A69" t="s">
        <v>93</v>
      </c>
      <c r="B69">
        <v>0</v>
      </c>
      <c r="C69" t="s">
        <v>29</v>
      </c>
      <c r="D69">
        <v>22</v>
      </c>
      <c r="F69" s="3" t="s">
        <v>0</v>
      </c>
      <c r="G69">
        <v>0</v>
      </c>
      <c r="I69">
        <f>IF(COUNTIF(Sheet3!A:A,F69)&gt;0,VLOOKUP(F69,Sheet3!A:B,2,FALSE),"Not Found")</f>
        <v>0</v>
      </c>
      <c r="J69" s="5" t="str">
        <f t="shared" si="1"/>
        <v>Matching</v>
      </c>
    </row>
    <row r="70" spans="1:10" x14ac:dyDescent="0.35">
      <c r="A70" t="s">
        <v>94</v>
      </c>
      <c r="B70">
        <v>0</v>
      </c>
      <c r="C70" t="s">
        <v>29</v>
      </c>
      <c r="D70">
        <v>22</v>
      </c>
      <c r="F70" s="3" t="s">
        <v>20</v>
      </c>
      <c r="G70">
        <v>0</v>
      </c>
      <c r="I70">
        <f>IF(COUNTIF(Sheet3!A:A,F70)&gt;0,VLOOKUP(F70,Sheet3!A:B,2,FALSE),"Not Found")</f>
        <v>0</v>
      </c>
      <c r="J70" s="5" t="str">
        <f t="shared" si="1"/>
        <v>Matching</v>
      </c>
    </row>
    <row r="71" spans="1:10" x14ac:dyDescent="0.35">
      <c r="A71" t="s">
        <v>95</v>
      </c>
      <c r="B71">
        <v>0</v>
      </c>
      <c r="C71" t="s">
        <v>96</v>
      </c>
      <c r="D71">
        <v>15</v>
      </c>
      <c r="F71" s="3" t="s">
        <v>52</v>
      </c>
      <c r="G71">
        <v>0</v>
      </c>
      <c r="I71">
        <f>IF(COUNTIF(Sheet3!A:A,F71)&gt;0,VLOOKUP(F71,Sheet3!A:B,2,FALSE),"Not Found")</f>
        <v>0</v>
      </c>
      <c r="J71" s="5" t="str">
        <f t="shared" si="1"/>
        <v>Matching</v>
      </c>
    </row>
    <row r="72" spans="1:10" x14ac:dyDescent="0.35">
      <c r="A72" t="s">
        <v>97</v>
      </c>
      <c r="B72">
        <v>6757145</v>
      </c>
      <c r="C72" t="s">
        <v>59</v>
      </c>
      <c r="D72">
        <v>17</v>
      </c>
      <c r="F72" s="3" t="s">
        <v>95</v>
      </c>
      <c r="G72">
        <v>0</v>
      </c>
      <c r="I72">
        <f>IF(COUNTIF(Sheet3!A:A,F72)&gt;0,VLOOKUP(F72,Sheet3!A:B,2,FALSE),"Not Found")</f>
        <v>0</v>
      </c>
      <c r="J72" s="5" t="str">
        <f t="shared" si="1"/>
        <v>Matching</v>
      </c>
    </row>
    <row r="73" spans="1:10" x14ac:dyDescent="0.35">
      <c r="A73" t="s">
        <v>98</v>
      </c>
      <c r="B73">
        <v>4</v>
      </c>
      <c r="C73" t="s">
        <v>51</v>
      </c>
      <c r="D73">
        <v>21</v>
      </c>
      <c r="F73" s="3" t="s">
        <v>60</v>
      </c>
      <c r="G73">
        <v>0</v>
      </c>
      <c r="I73">
        <f>IF(COUNTIF(Sheet3!A:A,F73)&gt;0,VLOOKUP(F73,Sheet3!A:B,2,FALSE),"Not Found")</f>
        <v>0</v>
      </c>
      <c r="J73" s="5" t="str">
        <f t="shared" si="1"/>
        <v>Matching</v>
      </c>
    </row>
    <row r="74" spans="1:10" x14ac:dyDescent="0.35">
      <c r="A74" t="s">
        <v>99</v>
      </c>
      <c r="B74">
        <v>0</v>
      </c>
      <c r="C74" t="s">
        <v>7</v>
      </c>
      <c r="D74">
        <v>6</v>
      </c>
      <c r="F74" s="3" t="s">
        <v>82</v>
      </c>
      <c r="G74">
        <v>0</v>
      </c>
      <c r="I74">
        <f>IF(COUNTIF(Sheet3!A:A,F74)&gt;0,VLOOKUP(F74,Sheet3!A:B,2,FALSE),"Not Found")</f>
        <v>0</v>
      </c>
      <c r="J74" s="5" t="str">
        <f t="shared" si="1"/>
        <v>Matching</v>
      </c>
    </row>
    <row r="75" spans="1:10" x14ac:dyDescent="0.35">
      <c r="A75" t="s">
        <v>100</v>
      </c>
      <c r="B75">
        <v>0</v>
      </c>
      <c r="C75" t="s">
        <v>7</v>
      </c>
      <c r="D75">
        <v>6</v>
      </c>
      <c r="F75" s="3" t="s">
        <v>110</v>
      </c>
      <c r="G75">
        <v>369</v>
      </c>
      <c r="I75">
        <f>IF(COUNTIF(Sheet3!A:A,F75)&gt;0,VLOOKUP(F75,Sheet3!A:B,2,FALSE),"Not Found")</f>
        <v>369</v>
      </c>
      <c r="J75" s="5" t="str">
        <f t="shared" si="1"/>
        <v>Matching</v>
      </c>
    </row>
    <row r="76" spans="1:10" x14ac:dyDescent="0.35">
      <c r="A76" t="s">
        <v>101</v>
      </c>
      <c r="B76">
        <v>8919</v>
      </c>
      <c r="C76" t="s">
        <v>62</v>
      </c>
      <c r="D76">
        <v>20</v>
      </c>
      <c r="F76" s="3" t="s">
        <v>72</v>
      </c>
      <c r="G76">
        <v>0</v>
      </c>
      <c r="I76">
        <f>IF(COUNTIF(Sheet3!A:A,F76)&gt;0,VLOOKUP(F76,Sheet3!A:B,2,FALSE),"Not Found")</f>
        <v>0</v>
      </c>
      <c r="J76" s="5" t="str">
        <f t="shared" si="1"/>
        <v>Matching</v>
      </c>
    </row>
    <row r="77" spans="1:10" x14ac:dyDescent="0.35">
      <c r="A77" t="s">
        <v>102</v>
      </c>
      <c r="B77">
        <v>10125</v>
      </c>
      <c r="C77" t="s">
        <v>62</v>
      </c>
      <c r="D77">
        <v>20</v>
      </c>
      <c r="F77" s="3" t="s">
        <v>35</v>
      </c>
      <c r="G77">
        <v>657246</v>
      </c>
      <c r="I77">
        <f>IF(COUNTIF(Sheet3!A:A,F77)&gt;0,VLOOKUP(F77,Sheet3!A:B,2,FALSE),"Not Found")</f>
        <v>657246</v>
      </c>
      <c r="J77" s="5" t="str">
        <f t="shared" si="1"/>
        <v>Matching</v>
      </c>
    </row>
    <row r="78" spans="1:10" x14ac:dyDescent="0.35">
      <c r="A78" t="s">
        <v>103</v>
      </c>
      <c r="B78">
        <v>2</v>
      </c>
      <c r="C78" t="s">
        <v>65</v>
      </c>
      <c r="D78">
        <v>8</v>
      </c>
      <c r="F78" s="3" t="s">
        <v>21</v>
      </c>
      <c r="G78">
        <v>0</v>
      </c>
      <c r="I78">
        <f>IF(COUNTIF(Sheet3!A:A,F78)&gt;0,VLOOKUP(F78,Sheet3!A:B,2,FALSE),"Not Found")</f>
        <v>0</v>
      </c>
      <c r="J78" s="5" t="str">
        <f t="shared" si="1"/>
        <v>Matching</v>
      </c>
    </row>
    <row r="79" spans="1:10" x14ac:dyDescent="0.35">
      <c r="A79" t="s">
        <v>104</v>
      </c>
      <c r="B79">
        <v>664</v>
      </c>
      <c r="C79" t="s">
        <v>25</v>
      </c>
      <c r="D79">
        <v>12</v>
      </c>
      <c r="F79" s="3" t="s">
        <v>103</v>
      </c>
      <c r="G79">
        <v>2</v>
      </c>
      <c r="I79">
        <f>IF(COUNTIF(Sheet3!A:A,F79)&gt;0,VLOOKUP(F79,Sheet3!A:B,2,FALSE),"Not Found")</f>
        <v>2</v>
      </c>
      <c r="J79" s="5" t="str">
        <f t="shared" si="1"/>
        <v>Matching</v>
      </c>
    </row>
    <row r="80" spans="1:10" x14ac:dyDescent="0.35">
      <c r="A80" t="s">
        <v>105</v>
      </c>
      <c r="B80">
        <v>0</v>
      </c>
      <c r="C80" t="s">
        <v>13</v>
      </c>
      <c r="D80">
        <v>23</v>
      </c>
      <c r="F80" s="3" t="s">
        <v>10</v>
      </c>
      <c r="G80">
        <v>1733</v>
      </c>
      <c r="I80">
        <f>IF(COUNTIF(Sheet3!A:A,F80)&gt;0,VLOOKUP(F80,Sheet3!A:B,2,FALSE),"Not Found")</f>
        <v>1733</v>
      </c>
      <c r="J80" s="5" t="str">
        <f t="shared" si="1"/>
        <v>Matching</v>
      </c>
    </row>
    <row r="81" spans="1:10" x14ac:dyDescent="0.35">
      <c r="A81" t="s">
        <v>106</v>
      </c>
      <c r="B81">
        <v>0</v>
      </c>
      <c r="C81" t="s">
        <v>13</v>
      </c>
      <c r="D81">
        <v>23</v>
      </c>
      <c r="F81" s="3" t="s">
        <v>64</v>
      </c>
      <c r="G81">
        <v>17</v>
      </c>
      <c r="I81">
        <f>IF(COUNTIF(Sheet3!A:A,F81)&gt;0,VLOOKUP(F81,Sheet3!A:B,2,FALSE),"Not Found")</f>
        <v>17</v>
      </c>
      <c r="J81" s="5" t="str">
        <f t="shared" si="1"/>
        <v>Matching</v>
      </c>
    </row>
    <row r="82" spans="1:10" x14ac:dyDescent="0.35">
      <c r="A82" t="s">
        <v>107</v>
      </c>
      <c r="B82">
        <v>0</v>
      </c>
      <c r="C82" t="s">
        <v>29</v>
      </c>
      <c r="D82">
        <v>22</v>
      </c>
      <c r="F82" s="3" t="s">
        <v>66</v>
      </c>
      <c r="G82">
        <v>8</v>
      </c>
      <c r="I82">
        <f>IF(COUNTIF(Sheet3!A:A,F82)&gt;0,VLOOKUP(F82,Sheet3!A:B,2,FALSE),"Not Found")</f>
        <v>8</v>
      </c>
      <c r="J82" s="5" t="str">
        <f t="shared" si="1"/>
        <v>Matching</v>
      </c>
    </row>
    <row r="83" spans="1:10" x14ac:dyDescent="0.35">
      <c r="A83" t="s">
        <v>108</v>
      </c>
      <c r="B83">
        <v>0</v>
      </c>
      <c r="C83" t="s">
        <v>29</v>
      </c>
      <c r="D83">
        <v>22</v>
      </c>
      <c r="F83" s="3" t="s">
        <v>41</v>
      </c>
      <c r="G83">
        <v>61</v>
      </c>
      <c r="I83">
        <f>IF(COUNTIF(Sheet3!A:A,F83)&gt;0,VLOOKUP(F83,Sheet3!A:B,2,FALSE),"Not Found")</f>
        <v>61</v>
      </c>
      <c r="J83" s="5" t="str">
        <f t="shared" si="1"/>
        <v>Matching</v>
      </c>
    </row>
    <row r="84" spans="1:10" x14ac:dyDescent="0.35">
      <c r="A84" t="s">
        <v>109</v>
      </c>
      <c r="B84">
        <v>0</v>
      </c>
      <c r="C84" t="s">
        <v>17</v>
      </c>
      <c r="D84">
        <v>27</v>
      </c>
      <c r="F84" s="3" t="s">
        <v>89</v>
      </c>
      <c r="G84">
        <v>1932723</v>
      </c>
      <c r="I84">
        <f>IF(COUNTIF(Sheet3!A:A,F84)&gt;0,VLOOKUP(F84,Sheet3!A:B,2,FALSE),"Not Found")</f>
        <v>1932723</v>
      </c>
      <c r="J84" s="5" t="str">
        <f t="shared" si="1"/>
        <v>Matching</v>
      </c>
    </row>
    <row r="85" spans="1:10" x14ac:dyDescent="0.35">
      <c r="A85" t="s">
        <v>110</v>
      </c>
      <c r="B85">
        <v>369</v>
      </c>
      <c r="C85" t="s">
        <v>49</v>
      </c>
      <c r="D85">
        <v>16</v>
      </c>
      <c r="F85" s="3" t="s">
        <v>111</v>
      </c>
      <c r="G85">
        <v>0</v>
      </c>
      <c r="I85">
        <f>IF(COUNTIF(Sheet3!A:A,F85)&gt;0,VLOOKUP(F85,Sheet3!A:B,2,FALSE),"Not Found")</f>
        <v>0</v>
      </c>
      <c r="J85" s="5" t="str">
        <f t="shared" si="1"/>
        <v>Matching</v>
      </c>
    </row>
    <row r="86" spans="1:10" x14ac:dyDescent="0.35">
      <c r="A86" t="s">
        <v>111</v>
      </c>
      <c r="B86">
        <v>0</v>
      </c>
      <c r="C86" t="s">
        <v>112</v>
      </c>
      <c r="D86">
        <v>5</v>
      </c>
      <c r="F86" s="3" t="s">
        <v>74</v>
      </c>
      <c r="G86">
        <v>0</v>
      </c>
      <c r="I86">
        <f>IF(COUNTIF(Sheet3!A:A,F86)&gt;0,VLOOKUP(F86,Sheet3!A:B,2,FALSE),"Not Found")</f>
        <v>0</v>
      </c>
      <c r="J86" s="5" t="str">
        <f t="shared" si="1"/>
        <v>Matching</v>
      </c>
    </row>
    <row r="87" spans="1:10" x14ac:dyDescent="0.35">
      <c r="F87" s="3" t="s">
        <v>117</v>
      </c>
      <c r="I87">
        <f>IF(COUNTIF(Sheet3!A:A,F87)&gt;0,VLOOKUP(F87,Sheet3!A:B,2,FALSE),"Not Found")</f>
        <v>0</v>
      </c>
      <c r="J87" s="5" t="str">
        <f t="shared" si="1"/>
        <v>Matching</v>
      </c>
    </row>
    <row r="88" spans="1:10" x14ac:dyDescent="0.35">
      <c r="F88" s="3" t="s">
        <v>118</v>
      </c>
      <c r="G88">
        <v>69548242</v>
      </c>
    </row>
  </sheetData>
  <autoFilter ref="I1:J87" xr:uid="{4872F0F4-04B9-4358-B2BC-B7FFAA8EFB5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982D-2368-4CDF-A108-21B566A0CA90}">
  <dimension ref="A1:F88"/>
  <sheetViews>
    <sheetView workbookViewId="0">
      <selection activeCell="J12" sqref="J12"/>
    </sheetView>
  </sheetViews>
  <sheetFormatPr defaultRowHeight="14.5" x14ac:dyDescent="0.35"/>
  <cols>
    <col min="1" max="1" width="21.36328125" bestFit="1" customWidth="1"/>
    <col min="2" max="2" width="15.26953125" customWidth="1"/>
    <col min="5" max="5" width="30.1796875" hidden="1" customWidth="1"/>
    <col min="6" max="6" width="8.81640625" hidden="1" customWidth="1"/>
  </cols>
  <sheetData>
    <row r="1" spans="1:6" x14ac:dyDescent="0.35">
      <c r="A1" s="4" t="s">
        <v>154</v>
      </c>
      <c r="B1" t="s">
        <v>155</v>
      </c>
      <c r="E1" t="s">
        <v>113</v>
      </c>
      <c r="F1" t="s">
        <v>114</v>
      </c>
    </row>
    <row r="2" spans="1:6" x14ac:dyDescent="0.35">
      <c r="A2" s="3" t="s">
        <v>16</v>
      </c>
      <c r="B2" s="6">
        <v>0</v>
      </c>
      <c r="E2" t="s">
        <v>85</v>
      </c>
      <c r="F2">
        <v>0</v>
      </c>
    </row>
    <row r="3" spans="1:6" x14ac:dyDescent="0.35">
      <c r="A3" s="3" t="s">
        <v>33</v>
      </c>
      <c r="B3" s="6">
        <v>0</v>
      </c>
      <c r="E3" t="s">
        <v>87</v>
      </c>
      <c r="F3">
        <v>42</v>
      </c>
    </row>
    <row r="4" spans="1:6" x14ac:dyDescent="0.35">
      <c r="A4" s="3" t="s">
        <v>104</v>
      </c>
      <c r="B4" s="6">
        <v>664</v>
      </c>
      <c r="E4" t="s">
        <v>78</v>
      </c>
      <c r="F4">
        <v>14</v>
      </c>
    </row>
    <row r="5" spans="1:6" x14ac:dyDescent="0.35">
      <c r="A5" s="3" t="s">
        <v>2</v>
      </c>
      <c r="B5" s="6">
        <v>8706</v>
      </c>
      <c r="E5" t="s">
        <v>18</v>
      </c>
      <c r="F5">
        <v>481505</v>
      </c>
    </row>
    <row r="6" spans="1:6" x14ac:dyDescent="0.35">
      <c r="A6" s="3" t="s">
        <v>22</v>
      </c>
      <c r="B6" s="6">
        <v>1932752</v>
      </c>
      <c r="E6" t="s">
        <v>98</v>
      </c>
      <c r="F6">
        <v>4</v>
      </c>
    </row>
    <row r="7" spans="1:6" x14ac:dyDescent="0.35">
      <c r="A7" s="3" t="s">
        <v>8</v>
      </c>
      <c r="B7" s="6">
        <v>5664102</v>
      </c>
      <c r="E7" t="s">
        <v>50</v>
      </c>
      <c r="F7">
        <v>2</v>
      </c>
    </row>
    <row r="8" spans="1:6" x14ac:dyDescent="0.35">
      <c r="A8" s="3" t="s">
        <v>24</v>
      </c>
      <c r="B8" s="6">
        <v>3490352</v>
      </c>
      <c r="E8" t="s">
        <v>88</v>
      </c>
      <c r="F8">
        <v>0</v>
      </c>
    </row>
    <row r="9" spans="1:6" x14ac:dyDescent="0.35">
      <c r="A9" s="3" t="s">
        <v>34</v>
      </c>
      <c r="B9" s="6">
        <v>17823</v>
      </c>
      <c r="E9" t="s">
        <v>52</v>
      </c>
      <c r="F9">
        <v>0</v>
      </c>
    </row>
    <row r="10" spans="1:6" x14ac:dyDescent="0.35">
      <c r="A10" s="3" t="s">
        <v>46</v>
      </c>
      <c r="B10" s="6">
        <v>0</v>
      </c>
      <c r="E10" t="s">
        <v>0</v>
      </c>
      <c r="F10">
        <v>0</v>
      </c>
    </row>
    <row r="11" spans="1:6" x14ac:dyDescent="0.35">
      <c r="A11" s="3" t="s">
        <v>57</v>
      </c>
      <c r="B11" s="6">
        <v>0</v>
      </c>
      <c r="E11" t="s">
        <v>20</v>
      </c>
      <c r="F11">
        <v>0</v>
      </c>
    </row>
    <row r="12" spans="1:6" x14ac:dyDescent="0.35">
      <c r="A12" s="3" t="s">
        <v>109</v>
      </c>
      <c r="B12" s="6">
        <v>0</v>
      </c>
      <c r="E12" t="s">
        <v>34</v>
      </c>
      <c r="F12">
        <v>17823</v>
      </c>
    </row>
    <row r="13" spans="1:6" x14ac:dyDescent="0.35">
      <c r="A13" s="3" t="s">
        <v>85</v>
      </c>
      <c r="B13" s="6">
        <v>0</v>
      </c>
      <c r="E13" t="s">
        <v>2</v>
      </c>
      <c r="F13">
        <v>8706</v>
      </c>
    </row>
    <row r="14" spans="1:6" x14ac:dyDescent="0.35">
      <c r="A14" s="3" t="s">
        <v>71</v>
      </c>
      <c r="B14" s="6">
        <v>0</v>
      </c>
      <c r="E14" t="s">
        <v>21</v>
      </c>
      <c r="F14">
        <v>0</v>
      </c>
    </row>
    <row r="15" spans="1:6" x14ac:dyDescent="0.35">
      <c r="A15" s="3" t="s">
        <v>18</v>
      </c>
      <c r="B15" s="6">
        <v>481505</v>
      </c>
      <c r="E15" t="s">
        <v>60</v>
      </c>
      <c r="F15">
        <v>0</v>
      </c>
    </row>
    <row r="16" spans="1:6" x14ac:dyDescent="0.35">
      <c r="A16" s="3" t="s">
        <v>44</v>
      </c>
      <c r="B16" s="6">
        <v>18577010</v>
      </c>
      <c r="E16" t="s">
        <v>4</v>
      </c>
      <c r="F16">
        <v>0</v>
      </c>
    </row>
    <row r="17" spans="1:6" x14ac:dyDescent="0.35">
      <c r="A17" s="3" t="s">
        <v>83</v>
      </c>
      <c r="B17" s="6">
        <v>10695168</v>
      </c>
      <c r="E17" t="s">
        <v>22</v>
      </c>
      <c r="F17">
        <v>1932752</v>
      </c>
    </row>
    <row r="18" spans="1:6" x14ac:dyDescent="0.35">
      <c r="A18" s="3" t="s">
        <v>58</v>
      </c>
      <c r="B18" s="6">
        <v>6673676</v>
      </c>
      <c r="E18" t="s">
        <v>89</v>
      </c>
      <c r="F18">
        <v>1932723</v>
      </c>
    </row>
    <row r="19" spans="1:6" x14ac:dyDescent="0.35">
      <c r="A19" s="3" t="s">
        <v>97</v>
      </c>
      <c r="B19" s="6">
        <v>6757145</v>
      </c>
      <c r="E19" t="s">
        <v>35</v>
      </c>
      <c r="F19">
        <v>657246</v>
      </c>
    </row>
    <row r="20" spans="1:6" x14ac:dyDescent="0.35">
      <c r="A20" s="3" t="s">
        <v>73</v>
      </c>
      <c r="B20" s="6">
        <v>9</v>
      </c>
      <c r="E20" t="s">
        <v>36</v>
      </c>
      <c r="F20">
        <v>0</v>
      </c>
    </row>
    <row r="21" spans="1:6" x14ac:dyDescent="0.35">
      <c r="A21" s="3" t="s">
        <v>84</v>
      </c>
      <c r="B21" s="6">
        <v>542088</v>
      </c>
      <c r="E21" t="s">
        <v>90</v>
      </c>
      <c r="F21">
        <v>0</v>
      </c>
    </row>
    <row r="22" spans="1:6" x14ac:dyDescent="0.35">
      <c r="A22" s="3" t="s">
        <v>76</v>
      </c>
      <c r="B22" s="6">
        <v>9739782</v>
      </c>
      <c r="E22" t="s">
        <v>81</v>
      </c>
      <c r="F22">
        <v>0</v>
      </c>
    </row>
    <row r="23" spans="1:6" x14ac:dyDescent="0.35">
      <c r="A23" s="3" t="s">
        <v>50</v>
      </c>
      <c r="B23" s="6">
        <v>2</v>
      </c>
      <c r="E23" t="s">
        <v>37</v>
      </c>
      <c r="F23">
        <v>0</v>
      </c>
    </row>
    <row r="24" spans="1:6" x14ac:dyDescent="0.35">
      <c r="A24" s="3" t="s">
        <v>88</v>
      </c>
      <c r="B24" s="6">
        <v>0</v>
      </c>
      <c r="E24" t="s">
        <v>6</v>
      </c>
      <c r="F24">
        <v>0</v>
      </c>
    </row>
    <row r="25" spans="1:6" x14ac:dyDescent="0.35">
      <c r="A25" s="3" t="s">
        <v>98</v>
      </c>
      <c r="B25" s="6">
        <v>4</v>
      </c>
      <c r="E25" t="s">
        <v>80</v>
      </c>
      <c r="F25">
        <v>0</v>
      </c>
    </row>
    <row r="26" spans="1:6" x14ac:dyDescent="0.35">
      <c r="A26" s="3" t="s">
        <v>28</v>
      </c>
      <c r="B26" s="6">
        <v>0</v>
      </c>
      <c r="E26" t="s">
        <v>38</v>
      </c>
      <c r="F26">
        <v>0</v>
      </c>
    </row>
    <row r="27" spans="1:6" x14ac:dyDescent="0.35">
      <c r="A27" s="3" t="s">
        <v>37</v>
      </c>
      <c r="B27" s="6">
        <v>0</v>
      </c>
      <c r="E27" t="s">
        <v>100</v>
      </c>
      <c r="F27">
        <v>0</v>
      </c>
    </row>
    <row r="28" spans="1:6" x14ac:dyDescent="0.35">
      <c r="A28" s="3" t="s">
        <v>99</v>
      </c>
      <c r="B28" s="6">
        <v>0</v>
      </c>
      <c r="E28" t="s">
        <v>99</v>
      </c>
      <c r="F28">
        <v>0</v>
      </c>
    </row>
    <row r="29" spans="1:6" x14ac:dyDescent="0.35">
      <c r="A29" s="3" t="s">
        <v>80</v>
      </c>
      <c r="B29" s="6">
        <v>0</v>
      </c>
      <c r="E29" t="s">
        <v>53</v>
      </c>
      <c r="F29">
        <v>0</v>
      </c>
    </row>
    <row r="30" spans="1:6" x14ac:dyDescent="0.35">
      <c r="A30" s="3" t="s">
        <v>87</v>
      </c>
      <c r="B30" s="6">
        <v>42</v>
      </c>
      <c r="E30" t="s">
        <v>39</v>
      </c>
      <c r="F30">
        <v>0</v>
      </c>
    </row>
    <row r="31" spans="1:6" x14ac:dyDescent="0.35">
      <c r="A31" s="3" t="s">
        <v>78</v>
      </c>
      <c r="B31" s="6">
        <v>14</v>
      </c>
      <c r="E31" t="s">
        <v>63</v>
      </c>
      <c r="F31">
        <v>9771</v>
      </c>
    </row>
    <row r="32" spans="1:6" x14ac:dyDescent="0.35">
      <c r="A32" s="3" t="s">
        <v>43</v>
      </c>
      <c r="B32" s="6">
        <v>0</v>
      </c>
      <c r="E32" t="s">
        <v>101</v>
      </c>
      <c r="F32">
        <v>8919</v>
      </c>
    </row>
    <row r="33" spans="1:6" x14ac:dyDescent="0.35">
      <c r="A33" s="3" t="s">
        <v>54</v>
      </c>
      <c r="B33" s="6">
        <v>0</v>
      </c>
      <c r="E33" t="s">
        <v>102</v>
      </c>
      <c r="F33">
        <v>10125</v>
      </c>
    </row>
    <row r="34" spans="1:6" x14ac:dyDescent="0.35">
      <c r="A34" s="3" t="s">
        <v>30</v>
      </c>
      <c r="B34" s="6">
        <v>0</v>
      </c>
      <c r="E34" t="s">
        <v>61</v>
      </c>
      <c r="F34">
        <v>18178</v>
      </c>
    </row>
    <row r="35" spans="1:6" x14ac:dyDescent="0.35">
      <c r="A35" s="3" t="s">
        <v>107</v>
      </c>
      <c r="B35" s="6">
        <v>0</v>
      </c>
      <c r="E35" t="s">
        <v>64</v>
      </c>
      <c r="F35">
        <v>17</v>
      </c>
    </row>
    <row r="36" spans="1:6" x14ac:dyDescent="0.35">
      <c r="A36" s="3" t="s">
        <v>93</v>
      </c>
      <c r="B36" s="6">
        <v>0</v>
      </c>
      <c r="E36" t="s">
        <v>66</v>
      </c>
      <c r="F36">
        <v>8</v>
      </c>
    </row>
    <row r="37" spans="1:6" x14ac:dyDescent="0.35">
      <c r="A37" s="3" t="s">
        <v>4</v>
      </c>
      <c r="B37" s="6">
        <v>0</v>
      </c>
      <c r="E37" t="s">
        <v>103</v>
      </c>
      <c r="F37">
        <v>2</v>
      </c>
    </row>
    <row r="38" spans="1:6" x14ac:dyDescent="0.35">
      <c r="A38" s="3" t="s">
        <v>14</v>
      </c>
      <c r="B38" s="6">
        <v>0</v>
      </c>
      <c r="E38" t="s">
        <v>8</v>
      </c>
      <c r="F38">
        <v>5664102</v>
      </c>
    </row>
    <row r="39" spans="1:6" x14ac:dyDescent="0.35">
      <c r="A39" s="3" t="s">
        <v>26</v>
      </c>
      <c r="B39" s="6">
        <v>0</v>
      </c>
      <c r="E39" t="s">
        <v>67</v>
      </c>
      <c r="F39">
        <v>2328246</v>
      </c>
    </row>
    <row r="40" spans="1:6" x14ac:dyDescent="0.35">
      <c r="A40" s="3" t="s">
        <v>91</v>
      </c>
      <c r="B40" s="6">
        <v>0</v>
      </c>
      <c r="E40" t="s">
        <v>10</v>
      </c>
      <c r="F40">
        <v>1733</v>
      </c>
    </row>
    <row r="41" spans="1:6" x14ac:dyDescent="0.35">
      <c r="A41" s="3" t="s">
        <v>32</v>
      </c>
      <c r="B41" s="6">
        <v>0</v>
      </c>
      <c r="E41" t="s">
        <v>104</v>
      </c>
      <c r="F41">
        <v>664</v>
      </c>
    </row>
    <row r="42" spans="1:6" x14ac:dyDescent="0.35">
      <c r="A42" s="3" t="s">
        <v>94</v>
      </c>
      <c r="B42" s="6">
        <v>0</v>
      </c>
      <c r="E42" t="s">
        <v>24</v>
      </c>
      <c r="F42">
        <v>3490352</v>
      </c>
    </row>
    <row r="43" spans="1:6" x14ac:dyDescent="0.35">
      <c r="A43" s="3" t="s">
        <v>31</v>
      </c>
      <c r="B43" s="6">
        <v>0</v>
      </c>
      <c r="E43" t="s">
        <v>91</v>
      </c>
      <c r="F43">
        <v>0</v>
      </c>
    </row>
    <row r="44" spans="1:6" x14ac:dyDescent="0.35">
      <c r="A44" s="3" t="s">
        <v>55</v>
      </c>
      <c r="B44" s="6">
        <v>0</v>
      </c>
      <c r="E44" t="s">
        <v>26</v>
      </c>
      <c r="F44">
        <v>0</v>
      </c>
    </row>
    <row r="45" spans="1:6" x14ac:dyDescent="0.35">
      <c r="A45" s="3" t="s">
        <v>48</v>
      </c>
      <c r="B45" s="6">
        <v>0</v>
      </c>
      <c r="E45" t="s">
        <v>92</v>
      </c>
      <c r="F45">
        <v>0</v>
      </c>
    </row>
    <row r="46" spans="1:6" x14ac:dyDescent="0.35">
      <c r="A46" s="3" t="s">
        <v>53</v>
      </c>
      <c r="B46" s="6">
        <v>0</v>
      </c>
      <c r="E46" t="s">
        <v>106</v>
      </c>
      <c r="F46">
        <v>0</v>
      </c>
    </row>
    <row r="47" spans="1:6" x14ac:dyDescent="0.35">
      <c r="A47" s="3" t="s">
        <v>36</v>
      </c>
      <c r="B47" s="6">
        <v>0</v>
      </c>
      <c r="E47" t="s">
        <v>12</v>
      </c>
      <c r="F47">
        <v>0</v>
      </c>
    </row>
    <row r="48" spans="1:6" x14ac:dyDescent="0.35">
      <c r="A48" s="3" t="s">
        <v>6</v>
      </c>
      <c r="B48" s="6">
        <v>0</v>
      </c>
      <c r="E48" t="s">
        <v>105</v>
      </c>
      <c r="F48">
        <v>0</v>
      </c>
    </row>
    <row r="49" spans="1:6" x14ac:dyDescent="0.35">
      <c r="A49" s="3" t="s">
        <v>38</v>
      </c>
      <c r="B49" s="6">
        <v>0</v>
      </c>
      <c r="E49" t="s">
        <v>69</v>
      </c>
      <c r="F49">
        <v>0</v>
      </c>
    </row>
    <row r="50" spans="1:6" x14ac:dyDescent="0.35">
      <c r="A50" s="3" t="s">
        <v>81</v>
      </c>
      <c r="B50" s="6">
        <v>0</v>
      </c>
      <c r="E50" t="s">
        <v>40</v>
      </c>
      <c r="F50">
        <v>0</v>
      </c>
    </row>
    <row r="51" spans="1:6" x14ac:dyDescent="0.35">
      <c r="A51" s="3" t="s">
        <v>90</v>
      </c>
      <c r="B51" s="6">
        <v>0</v>
      </c>
      <c r="E51" t="s">
        <v>14</v>
      </c>
      <c r="F51">
        <v>0</v>
      </c>
    </row>
    <row r="52" spans="1:6" x14ac:dyDescent="0.35">
      <c r="A52" s="3" t="s">
        <v>39</v>
      </c>
      <c r="B52" s="6">
        <v>0</v>
      </c>
      <c r="E52" t="s">
        <v>41</v>
      </c>
      <c r="F52">
        <v>61</v>
      </c>
    </row>
    <row r="53" spans="1:6" x14ac:dyDescent="0.35">
      <c r="A53" s="3" t="s">
        <v>100</v>
      </c>
      <c r="B53" s="6">
        <v>0</v>
      </c>
      <c r="E53" t="s">
        <v>28</v>
      </c>
      <c r="F53">
        <v>0</v>
      </c>
    </row>
    <row r="54" spans="1:6" x14ac:dyDescent="0.35">
      <c r="A54" s="3" t="s">
        <v>63</v>
      </c>
      <c r="B54" s="6">
        <v>9771</v>
      </c>
      <c r="E54" t="s">
        <v>43</v>
      </c>
      <c r="F54">
        <v>0</v>
      </c>
    </row>
    <row r="55" spans="1:6" x14ac:dyDescent="0.35">
      <c r="A55" s="3" t="s">
        <v>102</v>
      </c>
      <c r="B55" s="6">
        <v>10125</v>
      </c>
      <c r="E55" t="s">
        <v>54</v>
      </c>
      <c r="F55">
        <v>0</v>
      </c>
    </row>
    <row r="56" spans="1:6" x14ac:dyDescent="0.35">
      <c r="A56" s="3" t="s">
        <v>61</v>
      </c>
      <c r="B56" s="6">
        <v>18178</v>
      </c>
      <c r="E56" t="s">
        <v>30</v>
      </c>
      <c r="F56">
        <v>0</v>
      </c>
    </row>
    <row r="57" spans="1:6" x14ac:dyDescent="0.35">
      <c r="A57" s="3" t="s">
        <v>101</v>
      </c>
      <c r="B57" s="6">
        <v>8919</v>
      </c>
      <c r="E57" t="s">
        <v>107</v>
      </c>
      <c r="F57">
        <v>0</v>
      </c>
    </row>
    <row r="58" spans="1:6" x14ac:dyDescent="0.35">
      <c r="A58" s="3" t="s">
        <v>56</v>
      </c>
      <c r="B58" s="6">
        <v>0</v>
      </c>
      <c r="E58" t="s">
        <v>93</v>
      </c>
      <c r="F58">
        <v>0</v>
      </c>
    </row>
    <row r="59" spans="1:6" x14ac:dyDescent="0.35">
      <c r="A59" s="3" t="s">
        <v>108</v>
      </c>
      <c r="B59" s="6">
        <v>0</v>
      </c>
      <c r="E59" t="s">
        <v>94</v>
      </c>
      <c r="F59">
        <v>0</v>
      </c>
    </row>
    <row r="60" spans="1:6" x14ac:dyDescent="0.35">
      <c r="A60" s="3" t="s">
        <v>92</v>
      </c>
      <c r="B60" s="6">
        <v>0</v>
      </c>
      <c r="E60" t="s">
        <v>31</v>
      </c>
      <c r="F60">
        <v>0</v>
      </c>
    </row>
    <row r="61" spans="1:6" x14ac:dyDescent="0.35">
      <c r="A61" s="3" t="s">
        <v>106</v>
      </c>
      <c r="B61" s="6">
        <v>0</v>
      </c>
      <c r="E61" t="s">
        <v>55</v>
      </c>
      <c r="F61">
        <v>0</v>
      </c>
    </row>
    <row r="62" spans="1:6" x14ac:dyDescent="0.35">
      <c r="A62" s="3" t="s">
        <v>12</v>
      </c>
      <c r="B62" s="6">
        <v>0</v>
      </c>
      <c r="E62" t="s">
        <v>32</v>
      </c>
      <c r="F62">
        <v>0</v>
      </c>
    </row>
    <row r="63" spans="1:6" x14ac:dyDescent="0.35">
      <c r="A63" s="3" t="s">
        <v>105</v>
      </c>
      <c r="B63" s="6">
        <v>0</v>
      </c>
      <c r="E63" t="s">
        <v>56</v>
      </c>
      <c r="F63">
        <v>0</v>
      </c>
    </row>
    <row r="64" spans="1:6" x14ac:dyDescent="0.35">
      <c r="A64" s="3" t="s">
        <v>69</v>
      </c>
      <c r="B64" s="6">
        <v>0</v>
      </c>
      <c r="E64" t="s">
        <v>108</v>
      </c>
      <c r="F64">
        <v>0</v>
      </c>
    </row>
    <row r="65" spans="1:6" x14ac:dyDescent="0.35">
      <c r="A65" s="3" t="s">
        <v>40</v>
      </c>
      <c r="B65" s="6">
        <v>0</v>
      </c>
      <c r="E65" t="s">
        <v>70</v>
      </c>
      <c r="F65">
        <v>0</v>
      </c>
    </row>
    <row r="66" spans="1:6" x14ac:dyDescent="0.35">
      <c r="A66" s="3" t="s">
        <v>67</v>
      </c>
      <c r="B66" s="6">
        <v>2328246</v>
      </c>
      <c r="E66" t="s">
        <v>82</v>
      </c>
      <c r="F66">
        <v>0</v>
      </c>
    </row>
    <row r="67" spans="1:6" x14ac:dyDescent="0.35">
      <c r="A67" s="3" t="s">
        <v>70</v>
      </c>
      <c r="B67" s="6">
        <v>0</v>
      </c>
      <c r="E67" t="s">
        <v>44</v>
      </c>
      <c r="F67">
        <v>18577010</v>
      </c>
    </row>
    <row r="68" spans="1:6" x14ac:dyDescent="0.35">
      <c r="A68" s="3" t="s">
        <v>47</v>
      </c>
      <c r="B68" s="6">
        <v>0</v>
      </c>
      <c r="E68" t="s">
        <v>16</v>
      </c>
      <c r="F68">
        <v>0</v>
      </c>
    </row>
    <row r="69" spans="1:6" x14ac:dyDescent="0.35">
      <c r="A69" s="3" t="s">
        <v>0</v>
      </c>
      <c r="B69" s="6">
        <v>0</v>
      </c>
      <c r="E69" t="s">
        <v>109</v>
      </c>
      <c r="F69">
        <v>0</v>
      </c>
    </row>
    <row r="70" spans="1:6" x14ac:dyDescent="0.35">
      <c r="A70" s="3" t="s">
        <v>20</v>
      </c>
      <c r="B70" s="6">
        <v>0</v>
      </c>
      <c r="E70" t="s">
        <v>57</v>
      </c>
      <c r="F70">
        <v>0</v>
      </c>
    </row>
    <row r="71" spans="1:6" x14ac:dyDescent="0.35">
      <c r="A71" s="3" t="s">
        <v>52</v>
      </c>
      <c r="B71" s="6">
        <v>0</v>
      </c>
      <c r="E71" t="s">
        <v>46</v>
      </c>
      <c r="F71">
        <v>0</v>
      </c>
    </row>
    <row r="72" spans="1:6" x14ac:dyDescent="0.35">
      <c r="A72" s="3" t="s">
        <v>95</v>
      </c>
      <c r="B72" s="6">
        <v>0</v>
      </c>
      <c r="E72" t="s">
        <v>71</v>
      </c>
      <c r="F72">
        <v>0</v>
      </c>
    </row>
    <row r="73" spans="1:6" x14ac:dyDescent="0.35">
      <c r="A73" s="3" t="s">
        <v>60</v>
      </c>
      <c r="B73" s="6">
        <v>0</v>
      </c>
      <c r="E73" t="s">
        <v>33</v>
      </c>
      <c r="F73">
        <v>0</v>
      </c>
    </row>
    <row r="74" spans="1:6" x14ac:dyDescent="0.35">
      <c r="A74" s="3" t="s">
        <v>82</v>
      </c>
      <c r="B74" s="6">
        <v>0</v>
      </c>
      <c r="E74" t="s">
        <v>47</v>
      </c>
      <c r="F74">
        <v>0</v>
      </c>
    </row>
    <row r="75" spans="1:6" x14ac:dyDescent="0.35">
      <c r="A75" s="3" t="s">
        <v>110</v>
      </c>
      <c r="B75" s="6">
        <v>369</v>
      </c>
      <c r="E75" t="s">
        <v>95</v>
      </c>
      <c r="F75">
        <v>0</v>
      </c>
    </row>
    <row r="76" spans="1:6" x14ac:dyDescent="0.35">
      <c r="A76" s="3" t="s">
        <v>72</v>
      </c>
      <c r="B76" s="6">
        <v>0</v>
      </c>
      <c r="E76" t="s">
        <v>72</v>
      </c>
      <c r="F76">
        <v>0</v>
      </c>
    </row>
    <row r="77" spans="1:6" x14ac:dyDescent="0.35">
      <c r="A77" s="3" t="s">
        <v>35</v>
      </c>
      <c r="B77" s="6">
        <v>657246</v>
      </c>
      <c r="E77" t="s">
        <v>48</v>
      </c>
      <c r="F77">
        <v>0</v>
      </c>
    </row>
    <row r="78" spans="1:6" x14ac:dyDescent="0.35">
      <c r="A78" s="3" t="s">
        <v>21</v>
      </c>
      <c r="B78" s="6">
        <v>0</v>
      </c>
      <c r="E78" t="s">
        <v>110</v>
      </c>
      <c r="F78">
        <v>369</v>
      </c>
    </row>
    <row r="79" spans="1:6" x14ac:dyDescent="0.35">
      <c r="A79" s="3" t="s">
        <v>103</v>
      </c>
      <c r="B79" s="6">
        <v>2</v>
      </c>
      <c r="E79" t="s">
        <v>111</v>
      </c>
      <c r="F79">
        <v>0</v>
      </c>
    </row>
    <row r="80" spans="1:6" x14ac:dyDescent="0.35">
      <c r="A80" s="3" t="s">
        <v>10</v>
      </c>
      <c r="B80" s="6">
        <v>1733</v>
      </c>
      <c r="E80" t="s">
        <v>74</v>
      </c>
      <c r="F80">
        <v>0</v>
      </c>
    </row>
    <row r="81" spans="1:6" x14ac:dyDescent="0.35">
      <c r="A81" s="3" t="s">
        <v>64</v>
      </c>
      <c r="B81" s="6">
        <v>17</v>
      </c>
      <c r="E81" t="s">
        <v>83</v>
      </c>
      <c r="F81">
        <v>10695168</v>
      </c>
    </row>
    <row r="82" spans="1:6" x14ac:dyDescent="0.35">
      <c r="A82" s="3" t="s">
        <v>66</v>
      </c>
      <c r="B82" s="6">
        <v>8</v>
      </c>
      <c r="E82" t="s">
        <v>73</v>
      </c>
      <c r="F82">
        <v>9</v>
      </c>
    </row>
    <row r="83" spans="1:6" x14ac:dyDescent="0.35">
      <c r="A83" s="3" t="s">
        <v>41</v>
      </c>
      <c r="B83" s="6">
        <v>61</v>
      </c>
      <c r="E83" t="s">
        <v>58</v>
      </c>
      <c r="F83">
        <v>6673676</v>
      </c>
    </row>
    <row r="84" spans="1:6" x14ac:dyDescent="0.35">
      <c r="A84" s="3" t="s">
        <v>89</v>
      </c>
      <c r="B84" s="6">
        <v>1932723</v>
      </c>
      <c r="E84" t="s">
        <v>97</v>
      </c>
      <c r="F84">
        <v>6757145</v>
      </c>
    </row>
    <row r="85" spans="1:6" x14ac:dyDescent="0.35">
      <c r="A85" s="3" t="s">
        <v>111</v>
      </c>
      <c r="B85" s="6">
        <v>0</v>
      </c>
      <c r="E85" t="s">
        <v>76</v>
      </c>
      <c r="F85">
        <v>9739782</v>
      </c>
    </row>
    <row r="86" spans="1:6" x14ac:dyDescent="0.35">
      <c r="A86" s="3" t="s">
        <v>74</v>
      </c>
      <c r="B86" s="6">
        <v>0</v>
      </c>
      <c r="E86" t="s">
        <v>84</v>
      </c>
      <c r="F86">
        <v>542088</v>
      </c>
    </row>
    <row r="87" spans="1:6" x14ac:dyDescent="0.35">
      <c r="A87" s="3" t="s">
        <v>117</v>
      </c>
      <c r="B87" s="6"/>
    </row>
    <row r="88" spans="1:6" x14ac:dyDescent="0.35">
      <c r="A88" s="3" t="s">
        <v>118</v>
      </c>
      <c r="B88" s="6">
        <v>69548242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CC7B-7581-4E09-989A-770B73D88E03}">
  <dimension ref="A1:L88"/>
  <sheetViews>
    <sheetView tabSelected="1" topLeftCell="C1" workbookViewId="0">
      <selection activeCell="K8" sqref="K8"/>
    </sheetView>
  </sheetViews>
  <sheetFormatPr defaultRowHeight="14.5" x14ac:dyDescent="0.35"/>
  <cols>
    <col min="1" max="1" width="21.36328125" hidden="1" customWidth="1"/>
    <col min="2" max="2" width="11.1796875" hidden="1" customWidth="1"/>
    <col min="3" max="3" width="9.453125" bestFit="1" customWidth="1"/>
    <col min="5" max="5" width="10.6328125" hidden="1" customWidth="1"/>
    <col min="6" max="6" width="2.81640625" hidden="1" customWidth="1"/>
    <col min="7" max="7" width="2" bestFit="1" customWidth="1"/>
    <col min="8" max="8" width="21.36328125" bestFit="1" customWidth="1"/>
    <col min="9" max="9" width="17.81640625" bestFit="1" customWidth="1"/>
    <col min="11" max="11" width="14.26953125" bestFit="1" customWidth="1"/>
    <col min="12" max="12" width="13.6328125" bestFit="1" customWidth="1"/>
  </cols>
  <sheetData>
    <row r="1" spans="1:12" s="7" customFormat="1" x14ac:dyDescent="0.35">
      <c r="A1" s="7" t="s">
        <v>113</v>
      </c>
      <c r="B1" s="7" t="s">
        <v>151</v>
      </c>
      <c r="H1" s="8" t="s">
        <v>153</v>
      </c>
      <c r="I1" s="7" t="s">
        <v>152</v>
      </c>
      <c r="K1" s="7" t="s">
        <v>156</v>
      </c>
      <c r="L1" s="7" t="s">
        <v>122</v>
      </c>
    </row>
    <row r="2" spans="1:12" x14ac:dyDescent="0.35">
      <c r="A2" t="s">
        <v>0</v>
      </c>
      <c r="B2">
        <v>0</v>
      </c>
      <c r="E2" t="s">
        <v>123</v>
      </c>
      <c r="F2">
        <v>28</v>
      </c>
      <c r="H2" s="3" t="s">
        <v>16</v>
      </c>
      <c r="I2" s="6">
        <v>0</v>
      </c>
      <c r="K2">
        <f>IF(COUNTIF(Sheet3!A:A,H2)&gt;0,VLOOKUP(H2,Sheet3!A:B,2,FALSE),"Not Found")</f>
        <v>0</v>
      </c>
      <c r="L2" t="str">
        <f>IF(I2=K2,"Match","Mis Match")</f>
        <v>Match</v>
      </c>
    </row>
    <row r="3" spans="1:12" x14ac:dyDescent="0.35">
      <c r="A3" t="s">
        <v>2</v>
      </c>
      <c r="B3">
        <v>8706</v>
      </c>
      <c r="E3" t="s">
        <v>124</v>
      </c>
      <c r="F3">
        <v>2</v>
      </c>
      <c r="H3" s="3" t="s">
        <v>33</v>
      </c>
      <c r="I3" s="6">
        <v>0</v>
      </c>
      <c r="K3">
        <f>IF(COUNTIF(Sheet3!A:A,H3)&gt;0,VLOOKUP(H3,Sheet3!A:B,2,FALSE),"Not Found")</f>
        <v>0</v>
      </c>
      <c r="L3" t="str">
        <f t="shared" ref="L3:L66" si="0">IF(I3=K3,"Match","Mis Match")</f>
        <v>Match</v>
      </c>
    </row>
    <row r="4" spans="1:12" x14ac:dyDescent="0.35">
      <c r="A4" t="s">
        <v>4</v>
      </c>
      <c r="B4">
        <v>0</v>
      </c>
      <c r="E4" t="s">
        <v>125</v>
      </c>
      <c r="F4">
        <v>26</v>
      </c>
      <c r="H4" s="3" t="s">
        <v>104</v>
      </c>
      <c r="I4" s="6">
        <v>664</v>
      </c>
      <c r="K4">
        <f>IF(COUNTIF(Sheet3!A:A,H4)&gt;0,VLOOKUP(H4,Sheet3!A:B,2,FALSE),"Not Found")</f>
        <v>664</v>
      </c>
      <c r="L4" t="str">
        <f t="shared" si="0"/>
        <v>Match</v>
      </c>
    </row>
    <row r="5" spans="1:12" x14ac:dyDescent="0.35">
      <c r="A5" t="s">
        <v>6</v>
      </c>
      <c r="B5">
        <v>0</v>
      </c>
      <c r="E5" t="s">
        <v>126</v>
      </c>
      <c r="F5">
        <v>6</v>
      </c>
      <c r="H5" s="3" t="s">
        <v>2</v>
      </c>
      <c r="I5" s="6">
        <v>8706</v>
      </c>
      <c r="K5">
        <f>IF(COUNTIF(Sheet3!A:A,H5)&gt;0,VLOOKUP(H5,Sheet3!A:B,2,FALSE),"Not Found")</f>
        <v>8706</v>
      </c>
      <c r="L5" t="str">
        <f t="shared" si="0"/>
        <v>Match</v>
      </c>
    </row>
    <row r="6" spans="1:12" x14ac:dyDescent="0.35">
      <c r="A6" t="s">
        <v>8</v>
      </c>
      <c r="B6">
        <v>5664102</v>
      </c>
      <c r="E6" t="s">
        <v>127</v>
      </c>
      <c r="F6">
        <v>9</v>
      </c>
      <c r="H6" s="3" t="s">
        <v>22</v>
      </c>
      <c r="I6" s="6">
        <v>1932752</v>
      </c>
      <c r="K6">
        <f>IF(COUNTIF(Sheet3!A:A,H6)&gt;0,VLOOKUP(H6,Sheet3!A:B,2,FALSE),"Not Found")</f>
        <v>1932752</v>
      </c>
      <c r="L6" t="str">
        <f t="shared" si="0"/>
        <v>Match</v>
      </c>
    </row>
    <row r="7" spans="1:12" x14ac:dyDescent="0.35">
      <c r="A7" t="s">
        <v>10</v>
      </c>
      <c r="B7">
        <v>1733</v>
      </c>
      <c r="E7" t="s">
        <v>128</v>
      </c>
      <c r="F7">
        <v>11</v>
      </c>
      <c r="H7" s="3" t="s">
        <v>8</v>
      </c>
      <c r="I7" s="6">
        <v>5664102</v>
      </c>
      <c r="K7">
        <f>IF(COUNTIF(Sheet3!A:A,H7)&gt;0,VLOOKUP(H7,Sheet3!A:B,2,FALSE),"Not Found")</f>
        <v>5664102</v>
      </c>
      <c r="L7" t="str">
        <f t="shared" si="0"/>
        <v>Match</v>
      </c>
    </row>
    <row r="8" spans="1:12" x14ac:dyDescent="0.35">
      <c r="A8" t="s">
        <v>12</v>
      </c>
      <c r="B8">
        <v>0</v>
      </c>
      <c r="E8" t="s">
        <v>129</v>
      </c>
      <c r="F8">
        <v>23</v>
      </c>
      <c r="H8" s="3" t="s">
        <v>24</v>
      </c>
      <c r="I8" s="6">
        <v>3490352</v>
      </c>
      <c r="K8">
        <f>IF(COUNTIF(Sheet3!A:A,H8)&gt;0,VLOOKUP(H8,Sheet3!A:B,2,FALSE),"Not Found")</f>
        <v>3490352</v>
      </c>
      <c r="L8" t="str">
        <f t="shared" si="0"/>
        <v>Match</v>
      </c>
    </row>
    <row r="9" spans="1:12" x14ac:dyDescent="0.35">
      <c r="A9" t="s">
        <v>14</v>
      </c>
      <c r="B9">
        <v>0</v>
      </c>
      <c r="E9" t="s">
        <v>130</v>
      </c>
      <c r="F9">
        <v>24</v>
      </c>
      <c r="H9" s="3" t="s">
        <v>34</v>
      </c>
      <c r="I9" s="6">
        <v>17823</v>
      </c>
      <c r="K9">
        <f>IF(COUNTIF(Sheet3!A:A,H9)&gt;0,VLOOKUP(H9,Sheet3!A:B,2,FALSE),"Not Found")</f>
        <v>17823</v>
      </c>
      <c r="L9" t="str">
        <f t="shared" si="0"/>
        <v>Match</v>
      </c>
    </row>
    <row r="10" spans="1:12" x14ac:dyDescent="0.35">
      <c r="A10" t="s">
        <v>16</v>
      </c>
      <c r="B10">
        <v>0</v>
      </c>
      <c r="E10" t="s">
        <v>131</v>
      </c>
      <c r="F10">
        <v>27</v>
      </c>
      <c r="H10" s="3" t="s">
        <v>46</v>
      </c>
      <c r="I10" s="6">
        <v>0</v>
      </c>
      <c r="K10">
        <f>IF(COUNTIF(Sheet3!A:A,H10)&gt;0,VLOOKUP(H10,Sheet3!A:B,2,FALSE),"Not Found")</f>
        <v>0</v>
      </c>
      <c r="L10" t="str">
        <f t="shared" si="0"/>
        <v>Match</v>
      </c>
    </row>
    <row r="11" spans="1:12" x14ac:dyDescent="0.35">
      <c r="A11" t="s">
        <v>18</v>
      </c>
      <c r="B11">
        <v>481505</v>
      </c>
      <c r="E11" t="s">
        <v>132</v>
      </c>
      <c r="F11">
        <v>1</v>
      </c>
      <c r="H11" s="3" t="s">
        <v>57</v>
      </c>
      <c r="I11" s="6">
        <v>0</v>
      </c>
      <c r="K11">
        <f>IF(COUNTIF(Sheet3!A:A,H11)&gt;0,VLOOKUP(H11,Sheet3!A:B,2,FALSE),"Not Found")</f>
        <v>0</v>
      </c>
      <c r="L11" t="str">
        <f t="shared" si="0"/>
        <v>Match</v>
      </c>
    </row>
    <row r="12" spans="1:12" x14ac:dyDescent="0.35">
      <c r="A12" t="s">
        <v>20</v>
      </c>
      <c r="B12">
        <v>0</v>
      </c>
      <c r="E12" t="s">
        <v>123</v>
      </c>
      <c r="F12">
        <v>28</v>
      </c>
      <c r="H12" s="3" t="s">
        <v>109</v>
      </c>
      <c r="I12" s="6">
        <v>0</v>
      </c>
      <c r="K12">
        <f>IF(COUNTIF(Sheet3!A:A,H12)&gt;0,VLOOKUP(H12,Sheet3!A:B,2,FALSE),"Not Found")</f>
        <v>0</v>
      </c>
      <c r="L12" t="str">
        <f t="shared" si="0"/>
        <v>Match</v>
      </c>
    </row>
    <row r="13" spans="1:12" x14ac:dyDescent="0.35">
      <c r="A13" t="s">
        <v>21</v>
      </c>
      <c r="B13">
        <v>0</v>
      </c>
      <c r="E13" t="s">
        <v>125</v>
      </c>
      <c r="F13">
        <v>26</v>
      </c>
      <c r="H13" s="3" t="s">
        <v>85</v>
      </c>
      <c r="I13" s="6">
        <v>0</v>
      </c>
      <c r="K13">
        <f>IF(COUNTIF(Sheet3!A:A,H13)&gt;0,VLOOKUP(H13,Sheet3!A:B,2,FALSE),"Not Found")</f>
        <v>0</v>
      </c>
      <c r="L13" t="str">
        <f t="shared" si="0"/>
        <v>Match</v>
      </c>
    </row>
    <row r="14" spans="1:12" x14ac:dyDescent="0.35">
      <c r="A14" t="s">
        <v>22</v>
      </c>
      <c r="B14">
        <v>1932752</v>
      </c>
      <c r="E14" t="s">
        <v>133</v>
      </c>
      <c r="F14">
        <v>3</v>
      </c>
      <c r="H14" s="3" t="s">
        <v>71</v>
      </c>
      <c r="I14" s="6">
        <v>0</v>
      </c>
      <c r="K14">
        <f>IF(COUNTIF(Sheet3!A:A,H14)&gt;0,VLOOKUP(H14,Sheet3!A:B,2,FALSE),"Not Found")</f>
        <v>0</v>
      </c>
      <c r="L14" t="str">
        <f t="shared" si="0"/>
        <v>Match</v>
      </c>
    </row>
    <row r="15" spans="1:12" x14ac:dyDescent="0.35">
      <c r="A15" t="s">
        <v>24</v>
      </c>
      <c r="B15">
        <v>3490352</v>
      </c>
      <c r="E15" t="s">
        <v>134</v>
      </c>
      <c r="F15">
        <v>12</v>
      </c>
      <c r="H15" s="3" t="s">
        <v>18</v>
      </c>
      <c r="I15" s="6">
        <v>481505</v>
      </c>
      <c r="K15">
        <f>IF(COUNTIF(Sheet3!A:A,H15)&gt;0,VLOOKUP(H15,Sheet3!A:B,2,FALSE),"Not Found")</f>
        <v>481505</v>
      </c>
      <c r="L15" t="str">
        <f t="shared" si="0"/>
        <v>Match</v>
      </c>
    </row>
    <row r="16" spans="1:12" x14ac:dyDescent="0.35">
      <c r="A16" t="s">
        <v>26</v>
      </c>
      <c r="B16">
        <v>0</v>
      </c>
      <c r="E16" t="s">
        <v>135</v>
      </c>
      <c r="F16">
        <v>13</v>
      </c>
      <c r="H16" s="3" t="s">
        <v>44</v>
      </c>
      <c r="I16" s="6">
        <v>18577010</v>
      </c>
      <c r="K16">
        <f>IF(COUNTIF(Sheet3!A:A,H16)&gt;0,VLOOKUP(H16,Sheet3!A:B,2,FALSE),"Not Found")</f>
        <v>18577010</v>
      </c>
      <c r="L16" t="str">
        <f t="shared" si="0"/>
        <v>Match</v>
      </c>
    </row>
    <row r="17" spans="1:12" x14ac:dyDescent="0.35">
      <c r="A17" t="s">
        <v>28</v>
      </c>
      <c r="B17">
        <v>0</v>
      </c>
      <c r="E17" t="s">
        <v>136</v>
      </c>
      <c r="F17">
        <v>22</v>
      </c>
      <c r="H17" s="3" t="s">
        <v>83</v>
      </c>
      <c r="I17" s="6">
        <v>10695168</v>
      </c>
      <c r="K17">
        <f>IF(COUNTIF(Sheet3!A:A,H17)&gt;0,VLOOKUP(H17,Sheet3!A:B,2,FALSE),"Not Found")</f>
        <v>10695168</v>
      </c>
      <c r="L17" t="str">
        <f t="shared" si="0"/>
        <v>Match</v>
      </c>
    </row>
    <row r="18" spans="1:12" x14ac:dyDescent="0.35">
      <c r="A18" t="s">
        <v>30</v>
      </c>
      <c r="B18">
        <v>0</v>
      </c>
      <c r="E18" t="s">
        <v>136</v>
      </c>
      <c r="F18">
        <v>22</v>
      </c>
      <c r="H18" s="3" t="s">
        <v>58</v>
      </c>
      <c r="I18" s="6">
        <v>6673676</v>
      </c>
      <c r="K18">
        <f>IF(COUNTIF(Sheet3!A:A,H18)&gt;0,VLOOKUP(H18,Sheet3!A:B,2,FALSE),"Not Found")</f>
        <v>6673676</v>
      </c>
      <c r="L18" t="str">
        <f t="shared" si="0"/>
        <v>Match</v>
      </c>
    </row>
    <row r="19" spans="1:12" x14ac:dyDescent="0.35">
      <c r="A19" t="s">
        <v>31</v>
      </c>
      <c r="B19">
        <v>0</v>
      </c>
      <c r="E19" t="s">
        <v>136</v>
      </c>
      <c r="F19">
        <v>22</v>
      </c>
      <c r="H19" s="3" t="s">
        <v>97</v>
      </c>
      <c r="I19" s="6">
        <v>6757145</v>
      </c>
      <c r="K19">
        <f>IF(COUNTIF(Sheet3!A:A,H19)&gt;0,VLOOKUP(H19,Sheet3!A:B,2,FALSE),"Not Found")</f>
        <v>6757145</v>
      </c>
      <c r="L19" t="str">
        <f t="shared" si="0"/>
        <v>Match</v>
      </c>
    </row>
    <row r="20" spans="1:12" x14ac:dyDescent="0.35">
      <c r="A20" t="s">
        <v>32</v>
      </c>
      <c r="B20">
        <v>0</v>
      </c>
      <c r="E20" t="s">
        <v>136</v>
      </c>
      <c r="F20">
        <v>22</v>
      </c>
      <c r="H20" s="3" t="s">
        <v>73</v>
      </c>
      <c r="I20" s="6">
        <v>9</v>
      </c>
      <c r="K20">
        <f>IF(COUNTIF(Sheet3!A:A,H20)&gt;0,VLOOKUP(H20,Sheet3!A:B,2,FALSE),"Not Found")</f>
        <v>9</v>
      </c>
      <c r="L20" t="str">
        <f t="shared" si="0"/>
        <v>Match</v>
      </c>
    </row>
    <row r="21" spans="1:12" x14ac:dyDescent="0.35">
      <c r="A21" t="s">
        <v>33</v>
      </c>
      <c r="B21">
        <v>0</v>
      </c>
      <c r="E21" t="s">
        <v>131</v>
      </c>
      <c r="F21">
        <v>27</v>
      </c>
      <c r="H21" s="3" t="s">
        <v>84</v>
      </c>
      <c r="I21" s="6">
        <v>542088</v>
      </c>
      <c r="K21">
        <f>IF(COUNTIF(Sheet3!A:A,H21)&gt;0,VLOOKUP(H21,Sheet3!A:B,2,FALSE),"Not Found")</f>
        <v>542088</v>
      </c>
      <c r="L21" t="str">
        <f t="shared" si="0"/>
        <v>Match</v>
      </c>
    </row>
    <row r="22" spans="1:12" x14ac:dyDescent="0.35">
      <c r="A22" t="s">
        <v>34</v>
      </c>
      <c r="B22">
        <v>17823</v>
      </c>
      <c r="E22" t="s">
        <v>124</v>
      </c>
      <c r="F22">
        <v>2</v>
      </c>
      <c r="H22" s="3" t="s">
        <v>76</v>
      </c>
      <c r="I22" s="6">
        <v>9739782</v>
      </c>
      <c r="K22">
        <f>IF(COUNTIF(Sheet3!A:A,H22)&gt;0,VLOOKUP(H22,Sheet3!A:B,2,FALSE),"Not Found")</f>
        <v>9739782</v>
      </c>
      <c r="L22" t="str">
        <f t="shared" si="0"/>
        <v>Match</v>
      </c>
    </row>
    <row r="23" spans="1:12" x14ac:dyDescent="0.35">
      <c r="A23" t="s">
        <v>35</v>
      </c>
      <c r="B23">
        <v>657246</v>
      </c>
      <c r="E23" t="s">
        <v>133</v>
      </c>
      <c r="F23">
        <v>3</v>
      </c>
      <c r="H23" s="3" t="s">
        <v>50</v>
      </c>
      <c r="I23" s="6">
        <v>2</v>
      </c>
      <c r="K23">
        <f>IF(COUNTIF(Sheet3!A:A,H23)&gt;0,VLOOKUP(H23,Sheet3!A:B,2,FALSE),"Not Found")</f>
        <v>2</v>
      </c>
      <c r="L23" t="str">
        <f t="shared" si="0"/>
        <v>Match</v>
      </c>
    </row>
    <row r="24" spans="1:12" x14ac:dyDescent="0.35">
      <c r="A24" t="s">
        <v>36</v>
      </c>
      <c r="B24">
        <v>0</v>
      </c>
      <c r="E24" t="s">
        <v>126</v>
      </c>
      <c r="F24">
        <v>6</v>
      </c>
      <c r="H24" s="3" t="s">
        <v>88</v>
      </c>
      <c r="I24" s="6">
        <v>0</v>
      </c>
      <c r="K24">
        <f>IF(COUNTIF(Sheet3!A:A,H24)&gt;0,VLOOKUP(H24,Sheet3!A:B,2,FALSE),"Not Found")</f>
        <v>0</v>
      </c>
      <c r="L24" t="str">
        <f t="shared" si="0"/>
        <v>Match</v>
      </c>
    </row>
    <row r="25" spans="1:12" x14ac:dyDescent="0.35">
      <c r="A25" t="s">
        <v>37</v>
      </c>
      <c r="B25">
        <v>0</v>
      </c>
      <c r="E25" t="s">
        <v>126</v>
      </c>
      <c r="F25">
        <v>6</v>
      </c>
      <c r="H25" s="3" t="s">
        <v>98</v>
      </c>
      <c r="I25" s="6">
        <v>4</v>
      </c>
      <c r="K25">
        <f>IF(COUNTIF(Sheet3!A:A,H25)&gt;0,VLOOKUP(H25,Sheet3!A:B,2,FALSE),"Not Found")</f>
        <v>4</v>
      </c>
      <c r="L25" t="str">
        <f t="shared" si="0"/>
        <v>Match</v>
      </c>
    </row>
    <row r="26" spans="1:12" x14ac:dyDescent="0.35">
      <c r="A26" t="s">
        <v>38</v>
      </c>
      <c r="B26">
        <v>0</v>
      </c>
      <c r="E26" t="s">
        <v>126</v>
      </c>
      <c r="F26">
        <v>6</v>
      </c>
      <c r="H26" s="3" t="s">
        <v>28</v>
      </c>
      <c r="I26" s="6">
        <v>0</v>
      </c>
      <c r="K26">
        <f>IF(COUNTIF(Sheet3!A:A,H26)&gt;0,VLOOKUP(H26,Sheet3!A:B,2,FALSE),"Not Found")</f>
        <v>0</v>
      </c>
      <c r="L26" t="str">
        <f t="shared" si="0"/>
        <v>Match</v>
      </c>
    </row>
    <row r="27" spans="1:12" x14ac:dyDescent="0.35">
      <c r="A27" t="s">
        <v>39</v>
      </c>
      <c r="B27">
        <v>0</v>
      </c>
      <c r="E27" t="s">
        <v>126</v>
      </c>
      <c r="F27">
        <v>6</v>
      </c>
      <c r="H27" s="3" t="s">
        <v>37</v>
      </c>
      <c r="I27" s="6">
        <v>0</v>
      </c>
      <c r="K27">
        <f>IF(COUNTIF(Sheet3!A:A,H27)&gt;0,VLOOKUP(H27,Sheet3!A:B,2,FALSE),"Not Found")</f>
        <v>0</v>
      </c>
      <c r="L27" t="str">
        <f t="shared" si="0"/>
        <v>Match</v>
      </c>
    </row>
    <row r="28" spans="1:12" x14ac:dyDescent="0.35">
      <c r="A28" t="s">
        <v>40</v>
      </c>
      <c r="B28">
        <v>0</v>
      </c>
      <c r="E28" t="s">
        <v>129</v>
      </c>
      <c r="F28">
        <v>23</v>
      </c>
      <c r="H28" s="3" t="s">
        <v>99</v>
      </c>
      <c r="I28" s="6">
        <v>0</v>
      </c>
      <c r="K28">
        <f>IF(COUNTIF(Sheet3!A:A,H28)&gt;0,VLOOKUP(H28,Sheet3!A:B,2,FALSE),"Not Found")</f>
        <v>0</v>
      </c>
      <c r="L28" t="str">
        <f t="shared" si="0"/>
        <v>Match</v>
      </c>
    </row>
    <row r="29" spans="1:12" x14ac:dyDescent="0.35">
      <c r="A29" t="s">
        <v>41</v>
      </c>
      <c r="B29">
        <v>61</v>
      </c>
      <c r="E29" t="s">
        <v>137</v>
      </c>
      <c r="F29">
        <v>14</v>
      </c>
      <c r="H29" s="3" t="s">
        <v>80</v>
      </c>
      <c r="I29" s="6">
        <v>0</v>
      </c>
      <c r="K29">
        <f>IF(COUNTIF(Sheet3!A:A,H29)&gt;0,VLOOKUP(H29,Sheet3!A:B,2,FALSE),"Not Found")</f>
        <v>0</v>
      </c>
      <c r="L29" t="str">
        <f t="shared" si="0"/>
        <v>Match</v>
      </c>
    </row>
    <row r="30" spans="1:12" x14ac:dyDescent="0.35">
      <c r="A30" t="s">
        <v>43</v>
      </c>
      <c r="B30">
        <v>0</v>
      </c>
      <c r="E30" t="s">
        <v>136</v>
      </c>
      <c r="F30">
        <v>22</v>
      </c>
      <c r="H30" s="3" t="s">
        <v>87</v>
      </c>
      <c r="I30" s="6">
        <v>42</v>
      </c>
      <c r="K30">
        <f>IF(COUNTIF(Sheet3!A:A,H30)&gt;0,VLOOKUP(H30,Sheet3!A:B,2,FALSE),"Not Found")</f>
        <v>42</v>
      </c>
      <c r="L30" t="str">
        <f t="shared" si="0"/>
        <v>Match</v>
      </c>
    </row>
    <row r="31" spans="1:12" x14ac:dyDescent="0.35">
      <c r="A31" t="s">
        <v>44</v>
      </c>
      <c r="B31">
        <v>18577010</v>
      </c>
      <c r="E31" t="s">
        <v>138</v>
      </c>
      <c r="F31">
        <v>4</v>
      </c>
      <c r="H31" s="3" t="s">
        <v>78</v>
      </c>
      <c r="I31" s="6">
        <v>14</v>
      </c>
      <c r="K31">
        <f>IF(COUNTIF(Sheet3!A:A,H31)&gt;0,VLOOKUP(H31,Sheet3!A:B,2,FALSE),"Not Found")</f>
        <v>14</v>
      </c>
      <c r="L31" t="str">
        <f t="shared" si="0"/>
        <v>Match</v>
      </c>
    </row>
    <row r="32" spans="1:12" x14ac:dyDescent="0.35">
      <c r="A32" t="s">
        <v>46</v>
      </c>
      <c r="B32">
        <v>0</v>
      </c>
      <c r="E32" t="s">
        <v>131</v>
      </c>
      <c r="F32">
        <v>27</v>
      </c>
      <c r="H32" s="3" t="s">
        <v>43</v>
      </c>
      <c r="I32" s="6">
        <v>0</v>
      </c>
      <c r="K32">
        <f>IF(COUNTIF(Sheet3!A:A,H32)&gt;0,VLOOKUP(H32,Sheet3!A:B,2,FALSE),"Not Found")</f>
        <v>0</v>
      </c>
      <c r="L32" t="str">
        <f t="shared" si="0"/>
        <v>Match</v>
      </c>
    </row>
    <row r="33" spans="1:12" x14ac:dyDescent="0.35">
      <c r="A33" t="s">
        <v>47</v>
      </c>
      <c r="B33">
        <v>0</v>
      </c>
      <c r="E33" t="s">
        <v>131</v>
      </c>
      <c r="F33">
        <v>27</v>
      </c>
      <c r="H33" s="3" t="s">
        <v>54</v>
      </c>
      <c r="I33" s="6">
        <v>0</v>
      </c>
      <c r="K33">
        <f>IF(COUNTIF(Sheet3!A:A,H33)&gt;0,VLOOKUP(H33,Sheet3!A:B,2,FALSE),"Not Found")</f>
        <v>0</v>
      </c>
      <c r="L33" t="str">
        <f t="shared" si="0"/>
        <v>Match</v>
      </c>
    </row>
    <row r="34" spans="1:12" x14ac:dyDescent="0.35">
      <c r="A34" t="s">
        <v>48</v>
      </c>
      <c r="B34">
        <v>0</v>
      </c>
      <c r="E34" t="s">
        <v>139</v>
      </c>
      <c r="F34">
        <v>16</v>
      </c>
      <c r="H34" s="3" t="s">
        <v>30</v>
      </c>
      <c r="I34" s="6">
        <v>0</v>
      </c>
      <c r="K34">
        <f>IF(COUNTIF(Sheet3!A:A,H34)&gt;0,VLOOKUP(H34,Sheet3!A:B,2,FALSE),"Not Found")</f>
        <v>0</v>
      </c>
      <c r="L34" t="str">
        <f t="shared" si="0"/>
        <v>Match</v>
      </c>
    </row>
    <row r="35" spans="1:12" x14ac:dyDescent="0.35">
      <c r="A35" t="s">
        <v>50</v>
      </c>
      <c r="B35">
        <v>2</v>
      </c>
      <c r="E35" t="s">
        <v>140</v>
      </c>
      <c r="F35">
        <v>21</v>
      </c>
      <c r="H35" s="3" t="s">
        <v>107</v>
      </c>
      <c r="I35" s="6">
        <v>0</v>
      </c>
      <c r="K35">
        <f>IF(COUNTIF(Sheet3!A:A,H35)&gt;0,VLOOKUP(H35,Sheet3!A:B,2,FALSE),"Not Found")</f>
        <v>0</v>
      </c>
      <c r="L35" t="str">
        <f t="shared" si="0"/>
        <v>Match</v>
      </c>
    </row>
    <row r="36" spans="1:12" x14ac:dyDescent="0.35">
      <c r="A36" t="s">
        <v>52</v>
      </c>
      <c r="B36">
        <v>0</v>
      </c>
      <c r="E36" t="s">
        <v>123</v>
      </c>
      <c r="F36">
        <v>28</v>
      </c>
      <c r="H36" s="3" t="s">
        <v>93</v>
      </c>
      <c r="I36" s="6">
        <v>0</v>
      </c>
      <c r="K36">
        <f>IF(COUNTIF(Sheet3!A:A,H36)&gt;0,VLOOKUP(H36,Sheet3!A:B,2,FALSE),"Not Found")</f>
        <v>0</v>
      </c>
      <c r="L36" t="str">
        <f t="shared" si="0"/>
        <v>Match</v>
      </c>
    </row>
    <row r="37" spans="1:12" x14ac:dyDescent="0.35">
      <c r="A37" t="s">
        <v>53</v>
      </c>
      <c r="B37">
        <v>0</v>
      </c>
      <c r="E37" t="s">
        <v>126</v>
      </c>
      <c r="F37">
        <v>6</v>
      </c>
      <c r="H37" s="3" t="s">
        <v>4</v>
      </c>
      <c r="I37" s="6">
        <v>0</v>
      </c>
      <c r="K37">
        <f>IF(COUNTIF(Sheet3!A:A,H37)&gt;0,VLOOKUP(H37,Sheet3!A:B,2,FALSE),"Not Found")</f>
        <v>0</v>
      </c>
      <c r="L37" t="str">
        <f t="shared" si="0"/>
        <v>Match</v>
      </c>
    </row>
    <row r="38" spans="1:12" x14ac:dyDescent="0.35">
      <c r="A38" t="s">
        <v>54</v>
      </c>
      <c r="B38">
        <v>0</v>
      </c>
      <c r="E38" t="s">
        <v>136</v>
      </c>
      <c r="F38">
        <v>22</v>
      </c>
      <c r="H38" s="3" t="s">
        <v>14</v>
      </c>
      <c r="I38" s="6">
        <v>0</v>
      </c>
      <c r="K38">
        <f>IF(COUNTIF(Sheet3!A:A,H38)&gt;0,VLOOKUP(H38,Sheet3!A:B,2,FALSE),"Not Found")</f>
        <v>0</v>
      </c>
      <c r="L38" t="str">
        <f t="shared" si="0"/>
        <v>Match</v>
      </c>
    </row>
    <row r="39" spans="1:12" x14ac:dyDescent="0.35">
      <c r="A39" t="s">
        <v>55</v>
      </c>
      <c r="B39">
        <v>0</v>
      </c>
      <c r="E39" t="s">
        <v>136</v>
      </c>
      <c r="F39">
        <v>22</v>
      </c>
      <c r="H39" s="3" t="s">
        <v>26</v>
      </c>
      <c r="I39" s="6">
        <v>0</v>
      </c>
      <c r="K39">
        <f>IF(COUNTIF(Sheet3!A:A,H39)&gt;0,VLOOKUP(H39,Sheet3!A:B,2,FALSE),"Not Found")</f>
        <v>0</v>
      </c>
      <c r="L39" t="str">
        <f t="shared" si="0"/>
        <v>Match</v>
      </c>
    </row>
    <row r="40" spans="1:12" x14ac:dyDescent="0.35">
      <c r="A40" t="s">
        <v>56</v>
      </c>
      <c r="B40">
        <v>0</v>
      </c>
      <c r="E40" t="s">
        <v>136</v>
      </c>
      <c r="F40">
        <v>22</v>
      </c>
      <c r="H40" s="3" t="s">
        <v>91</v>
      </c>
      <c r="I40" s="6">
        <v>0</v>
      </c>
      <c r="K40">
        <f>IF(COUNTIF(Sheet3!A:A,H40)&gt;0,VLOOKUP(H40,Sheet3!A:B,2,FALSE),"Not Found")</f>
        <v>0</v>
      </c>
      <c r="L40" t="str">
        <f t="shared" si="0"/>
        <v>Match</v>
      </c>
    </row>
    <row r="41" spans="1:12" x14ac:dyDescent="0.35">
      <c r="A41" t="s">
        <v>57</v>
      </c>
      <c r="B41">
        <v>0</v>
      </c>
      <c r="E41" t="s">
        <v>131</v>
      </c>
      <c r="F41">
        <v>27</v>
      </c>
      <c r="H41" s="3" t="s">
        <v>32</v>
      </c>
      <c r="I41" s="6">
        <v>0</v>
      </c>
      <c r="K41">
        <f>IF(COUNTIF(Sheet3!A:A,H41)&gt;0,VLOOKUP(H41,Sheet3!A:B,2,FALSE),"Not Found")</f>
        <v>0</v>
      </c>
      <c r="L41" t="str">
        <f t="shared" si="0"/>
        <v>Match</v>
      </c>
    </row>
    <row r="42" spans="1:12" x14ac:dyDescent="0.35">
      <c r="A42" t="s">
        <v>58</v>
      </c>
      <c r="B42">
        <v>6673676</v>
      </c>
      <c r="E42" t="s">
        <v>141</v>
      </c>
      <c r="F42">
        <v>17</v>
      </c>
      <c r="H42" s="3" t="s">
        <v>94</v>
      </c>
      <c r="I42" s="6">
        <v>0</v>
      </c>
      <c r="K42">
        <f>IF(COUNTIF(Sheet3!A:A,H42)&gt;0,VLOOKUP(H42,Sheet3!A:B,2,FALSE),"Not Found")</f>
        <v>0</v>
      </c>
      <c r="L42" t="str">
        <f t="shared" si="0"/>
        <v>Match</v>
      </c>
    </row>
    <row r="43" spans="1:12" x14ac:dyDescent="0.35">
      <c r="A43" t="s">
        <v>60</v>
      </c>
      <c r="B43">
        <v>0</v>
      </c>
      <c r="E43" t="s">
        <v>125</v>
      </c>
      <c r="F43">
        <v>26</v>
      </c>
      <c r="H43" s="3" t="s">
        <v>31</v>
      </c>
      <c r="I43" s="6">
        <v>0</v>
      </c>
      <c r="K43">
        <f>IF(COUNTIF(Sheet3!A:A,H43)&gt;0,VLOOKUP(H43,Sheet3!A:B,2,FALSE),"Not Found")</f>
        <v>0</v>
      </c>
      <c r="L43" t="str">
        <f t="shared" si="0"/>
        <v>Match</v>
      </c>
    </row>
    <row r="44" spans="1:12" x14ac:dyDescent="0.35">
      <c r="A44" t="s">
        <v>61</v>
      </c>
      <c r="B44">
        <v>18178</v>
      </c>
      <c r="E44" t="s">
        <v>142</v>
      </c>
      <c r="F44">
        <v>20</v>
      </c>
      <c r="H44" s="3" t="s">
        <v>55</v>
      </c>
      <c r="I44" s="6">
        <v>0</v>
      </c>
      <c r="K44">
        <f>IF(COUNTIF(Sheet3!A:A,H44)&gt;0,VLOOKUP(H44,Sheet3!A:B,2,FALSE),"Not Found")</f>
        <v>0</v>
      </c>
      <c r="L44" t="str">
        <f t="shared" si="0"/>
        <v>Match</v>
      </c>
    </row>
    <row r="45" spans="1:12" x14ac:dyDescent="0.35">
      <c r="A45" t="s">
        <v>63</v>
      </c>
      <c r="B45">
        <v>9771</v>
      </c>
      <c r="E45" t="s">
        <v>142</v>
      </c>
      <c r="F45">
        <v>20</v>
      </c>
      <c r="H45" s="3" t="s">
        <v>48</v>
      </c>
      <c r="I45" s="6">
        <v>0</v>
      </c>
      <c r="K45">
        <f>IF(COUNTIF(Sheet3!A:A,H45)&gt;0,VLOOKUP(H45,Sheet3!A:B,2,FALSE),"Not Found")</f>
        <v>0</v>
      </c>
      <c r="L45" t="str">
        <f t="shared" si="0"/>
        <v>Match</v>
      </c>
    </row>
    <row r="46" spans="1:12" x14ac:dyDescent="0.35">
      <c r="A46" t="s">
        <v>64</v>
      </c>
      <c r="B46">
        <v>17</v>
      </c>
      <c r="E46" t="s">
        <v>143</v>
      </c>
      <c r="F46">
        <v>8</v>
      </c>
      <c r="H46" s="3" t="s">
        <v>53</v>
      </c>
      <c r="I46" s="6">
        <v>0</v>
      </c>
      <c r="K46">
        <f>IF(COUNTIF(Sheet3!A:A,H46)&gt;0,VLOOKUP(H46,Sheet3!A:B,2,FALSE),"Not Found")</f>
        <v>0</v>
      </c>
      <c r="L46" t="str">
        <f t="shared" si="0"/>
        <v>Match</v>
      </c>
    </row>
    <row r="47" spans="1:12" x14ac:dyDescent="0.35">
      <c r="A47" t="s">
        <v>66</v>
      </c>
      <c r="B47">
        <v>8</v>
      </c>
      <c r="E47" t="s">
        <v>143</v>
      </c>
      <c r="F47">
        <v>8</v>
      </c>
      <c r="H47" s="3" t="s">
        <v>36</v>
      </c>
      <c r="I47" s="6">
        <v>0</v>
      </c>
      <c r="K47">
        <f>IF(COUNTIF(Sheet3!A:A,H47)&gt;0,VLOOKUP(H47,Sheet3!A:B,2,FALSE),"Not Found")</f>
        <v>0</v>
      </c>
      <c r="L47" t="str">
        <f t="shared" si="0"/>
        <v>Match</v>
      </c>
    </row>
    <row r="48" spans="1:12" x14ac:dyDescent="0.35">
      <c r="A48" t="s">
        <v>67</v>
      </c>
      <c r="B48">
        <v>2328246</v>
      </c>
      <c r="E48" t="s">
        <v>144</v>
      </c>
      <c r="F48">
        <v>10</v>
      </c>
      <c r="H48" s="3" t="s">
        <v>6</v>
      </c>
      <c r="I48" s="6">
        <v>0</v>
      </c>
      <c r="K48">
        <f>IF(COUNTIF(Sheet3!A:A,H48)&gt;0,VLOOKUP(H48,Sheet3!A:B,2,FALSE),"Not Found")</f>
        <v>0</v>
      </c>
      <c r="L48" t="str">
        <f t="shared" si="0"/>
        <v>Match</v>
      </c>
    </row>
    <row r="49" spans="1:12" x14ac:dyDescent="0.35">
      <c r="A49" t="s">
        <v>69</v>
      </c>
      <c r="B49">
        <v>0</v>
      </c>
      <c r="E49" t="s">
        <v>129</v>
      </c>
      <c r="F49">
        <v>23</v>
      </c>
      <c r="H49" s="3" t="s">
        <v>38</v>
      </c>
      <c r="I49" s="6">
        <v>0</v>
      </c>
      <c r="K49">
        <f>IF(COUNTIF(Sheet3!A:A,H49)&gt;0,VLOOKUP(H49,Sheet3!A:B,2,FALSE),"Not Found")</f>
        <v>0</v>
      </c>
      <c r="L49" t="str">
        <f t="shared" si="0"/>
        <v>Match</v>
      </c>
    </row>
    <row r="50" spans="1:12" x14ac:dyDescent="0.35">
      <c r="A50" t="s">
        <v>70</v>
      </c>
      <c r="B50">
        <v>0</v>
      </c>
      <c r="E50" t="s">
        <v>136</v>
      </c>
      <c r="F50">
        <v>22</v>
      </c>
      <c r="H50" s="3" t="s">
        <v>81</v>
      </c>
      <c r="I50" s="6">
        <v>0</v>
      </c>
      <c r="K50">
        <f>IF(COUNTIF(Sheet3!A:A,H50)&gt;0,VLOOKUP(H50,Sheet3!A:B,2,FALSE),"Not Found")</f>
        <v>0</v>
      </c>
      <c r="L50" t="str">
        <f t="shared" si="0"/>
        <v>Match</v>
      </c>
    </row>
    <row r="51" spans="1:12" x14ac:dyDescent="0.35">
      <c r="A51" t="s">
        <v>71</v>
      </c>
      <c r="B51">
        <v>0</v>
      </c>
      <c r="E51" t="s">
        <v>131</v>
      </c>
      <c r="F51">
        <v>27</v>
      </c>
      <c r="H51" s="3" t="s">
        <v>90</v>
      </c>
      <c r="I51" s="6">
        <v>0</v>
      </c>
      <c r="K51">
        <f>IF(COUNTIF(Sheet3!A:A,H51)&gt;0,VLOOKUP(H51,Sheet3!A:B,2,FALSE),"Not Found")</f>
        <v>0</v>
      </c>
      <c r="L51" t="str">
        <f t="shared" si="0"/>
        <v>Match</v>
      </c>
    </row>
    <row r="52" spans="1:12" x14ac:dyDescent="0.35">
      <c r="A52" t="s">
        <v>72</v>
      </c>
      <c r="B52">
        <v>0</v>
      </c>
      <c r="E52" t="s">
        <v>139</v>
      </c>
      <c r="F52">
        <v>16</v>
      </c>
      <c r="H52" s="3" t="s">
        <v>39</v>
      </c>
      <c r="I52" s="6">
        <v>0</v>
      </c>
      <c r="K52">
        <f>IF(COUNTIF(Sheet3!A:A,H52)&gt;0,VLOOKUP(H52,Sheet3!A:B,2,FALSE),"Not Found")</f>
        <v>0</v>
      </c>
      <c r="L52" t="str">
        <f t="shared" si="0"/>
        <v>Match</v>
      </c>
    </row>
    <row r="53" spans="1:12" x14ac:dyDescent="0.35">
      <c r="A53" t="s">
        <v>73</v>
      </c>
      <c r="B53">
        <v>9</v>
      </c>
      <c r="E53" t="s">
        <v>141</v>
      </c>
      <c r="F53">
        <v>17</v>
      </c>
      <c r="H53" s="3" t="s">
        <v>100</v>
      </c>
      <c r="I53" s="6">
        <v>0</v>
      </c>
      <c r="K53">
        <f>IF(COUNTIF(Sheet3!A:A,H53)&gt;0,VLOOKUP(H53,Sheet3!A:B,2,FALSE),"Not Found")</f>
        <v>0</v>
      </c>
      <c r="L53" t="str">
        <f t="shared" si="0"/>
        <v>Match</v>
      </c>
    </row>
    <row r="54" spans="1:12" x14ac:dyDescent="0.35">
      <c r="A54" t="s">
        <v>74</v>
      </c>
      <c r="B54">
        <v>0</v>
      </c>
      <c r="E54" t="s">
        <v>145</v>
      </c>
      <c r="F54">
        <v>19</v>
      </c>
      <c r="H54" s="3" t="s">
        <v>63</v>
      </c>
      <c r="I54" s="6">
        <v>9771</v>
      </c>
      <c r="K54">
        <f>IF(COUNTIF(Sheet3!A:A,H54)&gt;0,VLOOKUP(H54,Sheet3!A:B,2,FALSE),"Not Found")</f>
        <v>9771</v>
      </c>
      <c r="L54" t="str">
        <f t="shared" si="0"/>
        <v>Match</v>
      </c>
    </row>
    <row r="55" spans="1:12" x14ac:dyDescent="0.35">
      <c r="A55" t="s">
        <v>76</v>
      </c>
      <c r="B55">
        <v>9739782</v>
      </c>
      <c r="E55" t="s">
        <v>146</v>
      </c>
      <c r="F55">
        <v>18</v>
      </c>
      <c r="H55" s="3" t="s">
        <v>102</v>
      </c>
      <c r="I55" s="6">
        <v>10125</v>
      </c>
      <c r="K55">
        <f>IF(COUNTIF(Sheet3!A:A,H55)&gt;0,VLOOKUP(H55,Sheet3!A:B,2,FALSE),"Not Found")</f>
        <v>10125</v>
      </c>
      <c r="L55" t="str">
        <f t="shared" si="0"/>
        <v>Match</v>
      </c>
    </row>
    <row r="56" spans="1:12" x14ac:dyDescent="0.35">
      <c r="A56" t="s">
        <v>78</v>
      </c>
      <c r="B56">
        <v>14</v>
      </c>
      <c r="E56" t="s">
        <v>147</v>
      </c>
      <c r="F56">
        <v>7</v>
      </c>
      <c r="H56" s="3" t="s">
        <v>61</v>
      </c>
      <c r="I56" s="6">
        <v>18178</v>
      </c>
      <c r="K56">
        <f>IF(COUNTIF(Sheet3!A:A,H56)&gt;0,VLOOKUP(H56,Sheet3!A:B,2,FALSE),"Not Found")</f>
        <v>18178</v>
      </c>
      <c r="L56" t="str">
        <f t="shared" si="0"/>
        <v>Match</v>
      </c>
    </row>
    <row r="57" spans="1:12" x14ac:dyDescent="0.35">
      <c r="A57" t="s">
        <v>80</v>
      </c>
      <c r="B57">
        <v>0</v>
      </c>
      <c r="E57" t="s">
        <v>126</v>
      </c>
      <c r="F57">
        <v>6</v>
      </c>
      <c r="H57" s="3" t="s">
        <v>101</v>
      </c>
      <c r="I57" s="6">
        <v>8919</v>
      </c>
      <c r="K57">
        <f>IF(COUNTIF(Sheet3!A:A,H57)&gt;0,VLOOKUP(H57,Sheet3!A:B,2,FALSE),"Not Found")</f>
        <v>8919</v>
      </c>
      <c r="L57" t="str">
        <f t="shared" si="0"/>
        <v>Match</v>
      </c>
    </row>
    <row r="58" spans="1:12" x14ac:dyDescent="0.35">
      <c r="A58" t="s">
        <v>81</v>
      </c>
      <c r="B58">
        <v>0</v>
      </c>
      <c r="E58" t="s">
        <v>126</v>
      </c>
      <c r="F58">
        <v>6</v>
      </c>
      <c r="H58" s="3" t="s">
        <v>56</v>
      </c>
      <c r="I58" s="6">
        <v>0</v>
      </c>
      <c r="K58">
        <f>IF(COUNTIF(Sheet3!A:A,H58)&gt;0,VLOOKUP(H58,Sheet3!A:B,2,FALSE),"Not Found")</f>
        <v>0</v>
      </c>
      <c r="L58" t="str">
        <f t="shared" si="0"/>
        <v>Match</v>
      </c>
    </row>
    <row r="59" spans="1:12" x14ac:dyDescent="0.35">
      <c r="A59" t="s">
        <v>82</v>
      </c>
      <c r="B59">
        <v>0</v>
      </c>
      <c r="E59" t="s">
        <v>136</v>
      </c>
      <c r="F59">
        <v>22</v>
      </c>
      <c r="H59" s="3" t="s">
        <v>108</v>
      </c>
      <c r="I59" s="6">
        <v>0</v>
      </c>
      <c r="K59">
        <f>IF(COUNTIF(Sheet3!A:A,H59)&gt;0,VLOOKUP(H59,Sheet3!A:B,2,FALSE),"Not Found")</f>
        <v>0</v>
      </c>
      <c r="L59" t="str">
        <f t="shared" si="0"/>
        <v>Match</v>
      </c>
    </row>
    <row r="60" spans="1:12" x14ac:dyDescent="0.35">
      <c r="A60" t="s">
        <v>83</v>
      </c>
      <c r="B60">
        <v>10695168</v>
      </c>
      <c r="E60" t="s">
        <v>141</v>
      </c>
      <c r="F60">
        <v>17</v>
      </c>
      <c r="H60" s="3" t="s">
        <v>92</v>
      </c>
      <c r="I60" s="6">
        <v>0</v>
      </c>
      <c r="K60">
        <f>IF(COUNTIF(Sheet3!A:A,H60)&gt;0,VLOOKUP(H60,Sheet3!A:B,2,FALSE),"Not Found")</f>
        <v>0</v>
      </c>
      <c r="L60" t="str">
        <f t="shared" si="0"/>
        <v>Match</v>
      </c>
    </row>
    <row r="61" spans="1:12" x14ac:dyDescent="0.35">
      <c r="A61" t="s">
        <v>84</v>
      </c>
      <c r="B61">
        <v>542088</v>
      </c>
      <c r="E61" t="s">
        <v>146</v>
      </c>
      <c r="F61">
        <v>18</v>
      </c>
      <c r="H61" s="3" t="s">
        <v>106</v>
      </c>
      <c r="I61" s="6">
        <v>0</v>
      </c>
      <c r="K61">
        <f>IF(COUNTIF(Sheet3!A:A,H61)&gt;0,VLOOKUP(H61,Sheet3!A:B,2,FALSE),"Not Found")</f>
        <v>0</v>
      </c>
      <c r="L61" t="str">
        <f t="shared" si="0"/>
        <v>Match</v>
      </c>
    </row>
    <row r="62" spans="1:12" x14ac:dyDescent="0.35">
      <c r="A62" t="s">
        <v>85</v>
      </c>
      <c r="B62">
        <v>0</v>
      </c>
      <c r="E62" t="s">
        <v>148</v>
      </c>
      <c r="F62">
        <v>25</v>
      </c>
      <c r="H62" s="3" t="s">
        <v>12</v>
      </c>
      <c r="I62" s="6">
        <v>0</v>
      </c>
      <c r="K62">
        <f>IF(COUNTIF(Sheet3!A:A,H62)&gt;0,VLOOKUP(H62,Sheet3!A:B,2,FALSE),"Not Found")</f>
        <v>0</v>
      </c>
      <c r="L62" t="str">
        <f t="shared" si="0"/>
        <v>Match</v>
      </c>
    </row>
    <row r="63" spans="1:12" x14ac:dyDescent="0.35">
      <c r="A63" t="s">
        <v>87</v>
      </c>
      <c r="B63">
        <v>42</v>
      </c>
      <c r="E63" t="s">
        <v>147</v>
      </c>
      <c r="F63">
        <v>7</v>
      </c>
      <c r="H63" s="3" t="s">
        <v>105</v>
      </c>
      <c r="I63" s="6">
        <v>0</v>
      </c>
      <c r="K63">
        <f>IF(COUNTIF(Sheet3!A:A,H63)&gt;0,VLOOKUP(H63,Sheet3!A:B,2,FALSE),"Not Found")</f>
        <v>0</v>
      </c>
      <c r="L63" t="str">
        <f t="shared" si="0"/>
        <v>Match</v>
      </c>
    </row>
    <row r="64" spans="1:12" x14ac:dyDescent="0.35">
      <c r="A64" t="s">
        <v>88</v>
      </c>
      <c r="B64">
        <v>0</v>
      </c>
      <c r="E64" t="s">
        <v>140</v>
      </c>
      <c r="F64">
        <v>21</v>
      </c>
      <c r="H64" s="3" t="s">
        <v>69</v>
      </c>
      <c r="I64" s="6">
        <v>0</v>
      </c>
      <c r="K64">
        <f>IF(COUNTIF(Sheet3!A:A,H64)&gt;0,VLOOKUP(H64,Sheet3!A:B,2,FALSE),"Not Found")</f>
        <v>0</v>
      </c>
      <c r="L64" t="str">
        <f t="shared" si="0"/>
        <v>Match</v>
      </c>
    </row>
    <row r="65" spans="1:12" x14ac:dyDescent="0.35">
      <c r="A65" t="s">
        <v>89</v>
      </c>
      <c r="B65">
        <v>1932723</v>
      </c>
      <c r="E65" t="s">
        <v>133</v>
      </c>
      <c r="F65">
        <v>3</v>
      </c>
      <c r="H65" s="3" t="s">
        <v>40</v>
      </c>
      <c r="I65" s="6">
        <v>0</v>
      </c>
      <c r="K65">
        <f>IF(COUNTIF(Sheet3!A:A,H65)&gt;0,VLOOKUP(H65,Sheet3!A:B,2,FALSE),"Not Found")</f>
        <v>0</v>
      </c>
      <c r="L65" t="str">
        <f t="shared" si="0"/>
        <v>Match</v>
      </c>
    </row>
    <row r="66" spans="1:12" x14ac:dyDescent="0.35">
      <c r="A66" t="s">
        <v>90</v>
      </c>
      <c r="B66">
        <v>0</v>
      </c>
      <c r="E66" t="s">
        <v>126</v>
      </c>
      <c r="F66">
        <v>6</v>
      </c>
      <c r="H66" s="3" t="s">
        <v>67</v>
      </c>
      <c r="I66" s="6">
        <v>2328246</v>
      </c>
      <c r="K66">
        <f>IF(COUNTIF(Sheet3!A:A,H66)&gt;0,VLOOKUP(H66,Sheet3!A:B,2,FALSE),"Not Found")</f>
        <v>2328246</v>
      </c>
      <c r="L66" t="str">
        <f t="shared" si="0"/>
        <v>Match</v>
      </c>
    </row>
    <row r="67" spans="1:12" x14ac:dyDescent="0.35">
      <c r="A67" t="s">
        <v>91</v>
      </c>
      <c r="B67">
        <v>0</v>
      </c>
      <c r="E67" t="s">
        <v>135</v>
      </c>
      <c r="F67">
        <v>13</v>
      </c>
      <c r="H67" s="3" t="s">
        <v>70</v>
      </c>
      <c r="I67" s="6">
        <v>0</v>
      </c>
      <c r="K67">
        <f>IF(COUNTIF(Sheet3!A:A,H67)&gt;0,VLOOKUP(H67,Sheet3!A:B,2,FALSE),"Not Found")</f>
        <v>0</v>
      </c>
      <c r="L67" t="str">
        <f t="shared" ref="L67:L87" si="1">IF(I67=K67,"Match","Mis Match")</f>
        <v>Match</v>
      </c>
    </row>
    <row r="68" spans="1:12" x14ac:dyDescent="0.35">
      <c r="A68" t="s">
        <v>92</v>
      </c>
      <c r="B68">
        <v>0</v>
      </c>
      <c r="E68" t="s">
        <v>129</v>
      </c>
      <c r="F68">
        <v>23</v>
      </c>
      <c r="H68" s="3" t="s">
        <v>47</v>
      </c>
      <c r="I68" s="6">
        <v>0</v>
      </c>
      <c r="K68">
        <f>IF(COUNTIF(Sheet3!A:A,H68)&gt;0,VLOOKUP(H68,Sheet3!A:B,2,FALSE),"Not Found")</f>
        <v>0</v>
      </c>
      <c r="L68" t="str">
        <f t="shared" si="1"/>
        <v>Match</v>
      </c>
    </row>
    <row r="69" spans="1:12" x14ac:dyDescent="0.35">
      <c r="A69" t="s">
        <v>93</v>
      </c>
      <c r="B69">
        <v>0</v>
      </c>
      <c r="E69" t="s">
        <v>136</v>
      </c>
      <c r="F69">
        <v>22</v>
      </c>
      <c r="H69" s="3" t="s">
        <v>0</v>
      </c>
      <c r="I69" s="6">
        <v>0</v>
      </c>
      <c r="K69">
        <f>IF(COUNTIF(Sheet3!A:A,H69)&gt;0,VLOOKUP(H69,Sheet3!A:B,2,FALSE),"Not Found")</f>
        <v>0</v>
      </c>
      <c r="L69" t="str">
        <f t="shared" si="1"/>
        <v>Match</v>
      </c>
    </row>
    <row r="70" spans="1:12" x14ac:dyDescent="0.35">
      <c r="A70" t="s">
        <v>94</v>
      </c>
      <c r="B70">
        <v>0</v>
      </c>
      <c r="E70" t="s">
        <v>136</v>
      </c>
      <c r="F70">
        <v>22</v>
      </c>
      <c r="H70" s="3" t="s">
        <v>20</v>
      </c>
      <c r="I70" s="6">
        <v>0</v>
      </c>
      <c r="K70">
        <f>IF(COUNTIF(Sheet3!A:A,H70)&gt;0,VLOOKUP(H70,Sheet3!A:B,2,FALSE),"Not Found")</f>
        <v>0</v>
      </c>
      <c r="L70" t="str">
        <f t="shared" si="1"/>
        <v>Match</v>
      </c>
    </row>
    <row r="71" spans="1:12" x14ac:dyDescent="0.35">
      <c r="A71" t="s">
        <v>95</v>
      </c>
      <c r="B71">
        <v>0</v>
      </c>
      <c r="E71" t="s">
        <v>149</v>
      </c>
      <c r="F71">
        <v>15</v>
      </c>
      <c r="H71" s="3" t="s">
        <v>52</v>
      </c>
      <c r="I71" s="6">
        <v>0</v>
      </c>
      <c r="K71">
        <f>IF(COUNTIF(Sheet3!A:A,H71)&gt;0,VLOOKUP(H71,Sheet3!A:B,2,FALSE),"Not Found")</f>
        <v>0</v>
      </c>
      <c r="L71" t="str">
        <f t="shared" si="1"/>
        <v>Match</v>
      </c>
    </row>
    <row r="72" spans="1:12" x14ac:dyDescent="0.35">
      <c r="A72" t="s">
        <v>97</v>
      </c>
      <c r="B72">
        <v>6757145</v>
      </c>
      <c r="E72" t="s">
        <v>141</v>
      </c>
      <c r="F72">
        <v>17</v>
      </c>
      <c r="H72" s="3" t="s">
        <v>95</v>
      </c>
      <c r="I72" s="6">
        <v>0</v>
      </c>
      <c r="K72">
        <f>IF(COUNTIF(Sheet3!A:A,H72)&gt;0,VLOOKUP(H72,Sheet3!A:B,2,FALSE),"Not Found")</f>
        <v>0</v>
      </c>
      <c r="L72" t="str">
        <f t="shared" si="1"/>
        <v>Match</v>
      </c>
    </row>
    <row r="73" spans="1:12" x14ac:dyDescent="0.35">
      <c r="A73" t="s">
        <v>98</v>
      </c>
      <c r="B73">
        <v>4</v>
      </c>
      <c r="E73" t="s">
        <v>140</v>
      </c>
      <c r="F73">
        <v>21</v>
      </c>
      <c r="H73" s="3" t="s">
        <v>60</v>
      </c>
      <c r="I73" s="6">
        <v>0</v>
      </c>
      <c r="K73">
        <f>IF(COUNTIF(Sheet3!A:A,H73)&gt;0,VLOOKUP(H73,Sheet3!A:B,2,FALSE),"Not Found")</f>
        <v>0</v>
      </c>
      <c r="L73" t="str">
        <f t="shared" si="1"/>
        <v>Match</v>
      </c>
    </row>
    <row r="74" spans="1:12" x14ac:dyDescent="0.35">
      <c r="A74" t="s">
        <v>99</v>
      </c>
      <c r="B74">
        <v>0</v>
      </c>
      <c r="E74" t="s">
        <v>126</v>
      </c>
      <c r="F74">
        <v>6</v>
      </c>
      <c r="H74" s="3" t="s">
        <v>82</v>
      </c>
      <c r="I74" s="6">
        <v>0</v>
      </c>
      <c r="K74">
        <f>IF(COUNTIF(Sheet3!A:A,H74)&gt;0,VLOOKUP(H74,Sheet3!A:B,2,FALSE),"Not Found")</f>
        <v>0</v>
      </c>
      <c r="L74" t="str">
        <f t="shared" si="1"/>
        <v>Match</v>
      </c>
    </row>
    <row r="75" spans="1:12" x14ac:dyDescent="0.35">
      <c r="A75" t="s">
        <v>100</v>
      </c>
      <c r="B75">
        <v>0</v>
      </c>
      <c r="E75" t="s">
        <v>126</v>
      </c>
      <c r="F75">
        <v>6</v>
      </c>
      <c r="H75" s="3" t="s">
        <v>110</v>
      </c>
      <c r="I75" s="6">
        <v>369</v>
      </c>
      <c r="K75">
        <f>IF(COUNTIF(Sheet3!A:A,H75)&gt;0,VLOOKUP(H75,Sheet3!A:B,2,FALSE),"Not Found")</f>
        <v>369</v>
      </c>
      <c r="L75" t="str">
        <f t="shared" si="1"/>
        <v>Match</v>
      </c>
    </row>
    <row r="76" spans="1:12" x14ac:dyDescent="0.35">
      <c r="A76" t="s">
        <v>101</v>
      </c>
      <c r="B76">
        <v>8919</v>
      </c>
      <c r="E76" t="s">
        <v>142</v>
      </c>
      <c r="F76">
        <v>20</v>
      </c>
      <c r="H76" s="3" t="s">
        <v>72</v>
      </c>
      <c r="I76" s="6">
        <v>0</v>
      </c>
      <c r="K76">
        <f>IF(COUNTIF(Sheet3!A:A,H76)&gt;0,VLOOKUP(H76,Sheet3!A:B,2,FALSE),"Not Found")</f>
        <v>0</v>
      </c>
      <c r="L76" t="str">
        <f t="shared" si="1"/>
        <v>Match</v>
      </c>
    </row>
    <row r="77" spans="1:12" x14ac:dyDescent="0.35">
      <c r="A77" t="s">
        <v>102</v>
      </c>
      <c r="B77">
        <v>10125</v>
      </c>
      <c r="E77" t="s">
        <v>142</v>
      </c>
      <c r="F77">
        <v>20</v>
      </c>
      <c r="H77" s="3" t="s">
        <v>35</v>
      </c>
      <c r="I77" s="6">
        <v>657246</v>
      </c>
      <c r="K77">
        <f>IF(COUNTIF(Sheet3!A:A,H77)&gt;0,VLOOKUP(H77,Sheet3!A:B,2,FALSE),"Not Found")</f>
        <v>657246</v>
      </c>
      <c r="L77" t="str">
        <f t="shared" si="1"/>
        <v>Match</v>
      </c>
    </row>
    <row r="78" spans="1:12" x14ac:dyDescent="0.35">
      <c r="A78" t="s">
        <v>103</v>
      </c>
      <c r="B78">
        <v>2</v>
      </c>
      <c r="E78" t="s">
        <v>143</v>
      </c>
      <c r="F78">
        <v>8</v>
      </c>
      <c r="H78" s="3" t="s">
        <v>21</v>
      </c>
      <c r="I78" s="6">
        <v>0</v>
      </c>
      <c r="K78">
        <f>IF(COUNTIF(Sheet3!A:A,H78)&gt;0,VLOOKUP(H78,Sheet3!A:B,2,FALSE),"Not Found")</f>
        <v>0</v>
      </c>
      <c r="L78" t="str">
        <f t="shared" si="1"/>
        <v>Match</v>
      </c>
    </row>
    <row r="79" spans="1:12" x14ac:dyDescent="0.35">
      <c r="A79" t="s">
        <v>104</v>
      </c>
      <c r="B79">
        <v>664</v>
      </c>
      <c r="E79" t="s">
        <v>134</v>
      </c>
      <c r="F79">
        <v>12</v>
      </c>
      <c r="H79" s="3" t="s">
        <v>103</v>
      </c>
      <c r="I79" s="6">
        <v>2</v>
      </c>
      <c r="K79">
        <f>IF(COUNTIF(Sheet3!A:A,H79)&gt;0,VLOOKUP(H79,Sheet3!A:B,2,FALSE),"Not Found")</f>
        <v>2</v>
      </c>
      <c r="L79" t="str">
        <f t="shared" si="1"/>
        <v>Match</v>
      </c>
    </row>
    <row r="80" spans="1:12" x14ac:dyDescent="0.35">
      <c r="A80" t="s">
        <v>105</v>
      </c>
      <c r="B80">
        <v>0</v>
      </c>
      <c r="E80" t="s">
        <v>129</v>
      </c>
      <c r="F80">
        <v>23</v>
      </c>
      <c r="H80" s="3" t="s">
        <v>10</v>
      </c>
      <c r="I80" s="6">
        <v>1733</v>
      </c>
      <c r="K80">
        <f>IF(COUNTIF(Sheet3!A:A,H80)&gt;0,VLOOKUP(H80,Sheet3!A:B,2,FALSE),"Not Found")</f>
        <v>1733</v>
      </c>
      <c r="L80" t="str">
        <f t="shared" si="1"/>
        <v>Match</v>
      </c>
    </row>
    <row r="81" spans="1:12" x14ac:dyDescent="0.35">
      <c r="A81" t="s">
        <v>106</v>
      </c>
      <c r="B81">
        <v>0</v>
      </c>
      <c r="E81" t="s">
        <v>129</v>
      </c>
      <c r="F81">
        <v>23</v>
      </c>
      <c r="H81" s="3" t="s">
        <v>64</v>
      </c>
      <c r="I81" s="6">
        <v>17</v>
      </c>
      <c r="K81">
        <f>IF(COUNTIF(Sheet3!A:A,H81)&gt;0,VLOOKUP(H81,Sheet3!A:B,2,FALSE),"Not Found")</f>
        <v>17</v>
      </c>
      <c r="L81" t="str">
        <f t="shared" si="1"/>
        <v>Match</v>
      </c>
    </row>
    <row r="82" spans="1:12" x14ac:dyDescent="0.35">
      <c r="A82" t="s">
        <v>107</v>
      </c>
      <c r="B82">
        <v>0</v>
      </c>
      <c r="E82" t="s">
        <v>136</v>
      </c>
      <c r="F82">
        <v>22</v>
      </c>
      <c r="H82" s="3" t="s">
        <v>66</v>
      </c>
      <c r="I82" s="6">
        <v>8</v>
      </c>
      <c r="K82">
        <f>IF(COUNTIF(Sheet3!A:A,H82)&gt;0,VLOOKUP(H82,Sheet3!A:B,2,FALSE),"Not Found")</f>
        <v>8</v>
      </c>
      <c r="L82" t="str">
        <f t="shared" si="1"/>
        <v>Match</v>
      </c>
    </row>
    <row r="83" spans="1:12" x14ac:dyDescent="0.35">
      <c r="A83" t="s">
        <v>108</v>
      </c>
      <c r="B83">
        <v>0</v>
      </c>
      <c r="E83" t="s">
        <v>136</v>
      </c>
      <c r="F83">
        <v>22</v>
      </c>
      <c r="H83" s="3" t="s">
        <v>41</v>
      </c>
      <c r="I83" s="6">
        <v>61</v>
      </c>
      <c r="K83">
        <f>IF(COUNTIF(Sheet3!A:A,H83)&gt;0,VLOOKUP(H83,Sheet3!A:B,2,FALSE),"Not Found")</f>
        <v>61</v>
      </c>
      <c r="L83" t="str">
        <f t="shared" si="1"/>
        <v>Match</v>
      </c>
    </row>
    <row r="84" spans="1:12" x14ac:dyDescent="0.35">
      <c r="A84" t="s">
        <v>109</v>
      </c>
      <c r="B84">
        <v>0</v>
      </c>
      <c r="E84" t="s">
        <v>131</v>
      </c>
      <c r="F84">
        <v>27</v>
      </c>
      <c r="H84" s="3" t="s">
        <v>89</v>
      </c>
      <c r="I84" s="6">
        <v>1932723</v>
      </c>
      <c r="K84">
        <f>IF(COUNTIF(Sheet3!A:A,H84)&gt;0,VLOOKUP(H84,Sheet3!A:B,2,FALSE),"Not Found")</f>
        <v>1932723</v>
      </c>
      <c r="L84" t="str">
        <f t="shared" si="1"/>
        <v>Match</v>
      </c>
    </row>
    <row r="85" spans="1:12" x14ac:dyDescent="0.35">
      <c r="A85" t="s">
        <v>110</v>
      </c>
      <c r="B85">
        <v>369</v>
      </c>
      <c r="E85" t="s">
        <v>139</v>
      </c>
      <c r="F85">
        <v>16</v>
      </c>
      <c r="H85" s="3" t="s">
        <v>111</v>
      </c>
      <c r="I85" s="6">
        <v>0</v>
      </c>
      <c r="K85">
        <f>IF(COUNTIF(Sheet3!A:A,H85)&gt;0,VLOOKUP(H85,Sheet3!A:B,2,FALSE),"Not Found")</f>
        <v>0</v>
      </c>
      <c r="L85" t="str">
        <f t="shared" si="1"/>
        <v>Match</v>
      </c>
    </row>
    <row r="86" spans="1:12" x14ac:dyDescent="0.35">
      <c r="A86" t="s">
        <v>111</v>
      </c>
      <c r="B86">
        <v>0</v>
      </c>
      <c r="E86" t="s">
        <v>150</v>
      </c>
      <c r="F86">
        <v>5</v>
      </c>
      <c r="H86" s="3" t="s">
        <v>74</v>
      </c>
      <c r="I86" s="6">
        <v>0</v>
      </c>
      <c r="K86">
        <f>IF(COUNTIF(Sheet3!A:A,H86)&gt;0,VLOOKUP(H86,Sheet3!A:B,2,FALSE),"Not Found")</f>
        <v>0</v>
      </c>
      <c r="L86" t="str">
        <f t="shared" si="1"/>
        <v>Match</v>
      </c>
    </row>
    <row r="87" spans="1:12" x14ac:dyDescent="0.35">
      <c r="H87" s="3" t="s">
        <v>117</v>
      </c>
      <c r="I87" s="6"/>
      <c r="K87">
        <f>IF(COUNTIF(Sheet3!A:A,H87)&gt;0,VLOOKUP(H87,Sheet3!A:B,2,FALSE),"Not Found")</f>
        <v>0</v>
      </c>
      <c r="L87" t="str">
        <f t="shared" si="1"/>
        <v>Match</v>
      </c>
    </row>
    <row r="88" spans="1:12" x14ac:dyDescent="0.35">
      <c r="H88" s="3" t="s">
        <v>118</v>
      </c>
      <c r="I88" s="6">
        <v>69548242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Generic 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Anandmohan</dc:creator>
  <cp:lastModifiedBy>Singh, Anandmohan</cp:lastModifiedBy>
  <dcterms:created xsi:type="dcterms:W3CDTF">2026-01-09T07:36:55Z</dcterms:created>
  <dcterms:modified xsi:type="dcterms:W3CDTF">2026-01-12T07:42:56Z</dcterms:modified>
</cp:coreProperties>
</file>