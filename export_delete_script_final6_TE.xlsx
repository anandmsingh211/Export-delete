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anandmohan_singh_capgemini_com/Documents/Desktop/Export Delete/"/>
    </mc:Choice>
  </mc:AlternateContent>
  <xr:revisionPtr revIDLastSave="2" documentId="8_{5ACD2C0A-AFB3-47BF-98B2-7F0A241DD133}" xr6:coauthVersionLast="47" xr6:coauthVersionMax="47" xr10:uidLastSave="{DE1B11EB-9CE1-4427-A9D4-F08867BC5A4D}"/>
  <bookViews>
    <workbookView xWindow="-110" yWindow="-110" windowWidth="19420" windowHeight="10300" activeTab="2" xr2:uid="{DD4F722B-367E-4867-A268-307600F62682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19" r:id="rId5"/>
    <pivotCache cacheId="2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F3" i="2" s="1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64" i="2"/>
  <c r="F64" i="2" s="1"/>
  <c r="D65" i="2"/>
  <c r="F65" i="2" s="1"/>
  <c r="D66" i="2"/>
  <c r="F66" i="2" s="1"/>
  <c r="D67" i="2"/>
  <c r="F67" i="2" s="1"/>
  <c r="D68" i="2"/>
  <c r="F68" i="2" s="1"/>
  <c r="D69" i="2"/>
  <c r="F69" i="2" s="1"/>
  <c r="D70" i="2"/>
  <c r="F70" i="2" s="1"/>
  <c r="D71" i="2"/>
  <c r="F71" i="2" s="1"/>
  <c r="D72" i="2"/>
  <c r="F72" i="2" s="1"/>
  <c r="D73" i="2"/>
  <c r="F73" i="2" s="1"/>
  <c r="D74" i="2"/>
  <c r="F74" i="2" s="1"/>
  <c r="D75" i="2"/>
  <c r="F75" i="2" s="1"/>
  <c r="D76" i="2"/>
  <c r="F76" i="2" s="1"/>
  <c r="D77" i="2"/>
  <c r="F77" i="2" s="1"/>
  <c r="D78" i="2"/>
  <c r="F78" i="2" s="1"/>
  <c r="D79" i="2"/>
  <c r="F79" i="2" s="1"/>
  <c r="D80" i="2"/>
  <c r="F80" i="2" s="1"/>
  <c r="D81" i="2"/>
  <c r="F81" i="2" s="1"/>
  <c r="D82" i="2"/>
  <c r="F82" i="2" s="1"/>
  <c r="D83" i="2"/>
  <c r="F83" i="2" s="1"/>
  <c r="D84" i="2"/>
  <c r="F84" i="2" s="1"/>
  <c r="D85" i="2"/>
  <c r="F85" i="2" s="1"/>
  <c r="D86" i="2"/>
  <c r="F86" i="2" s="1"/>
  <c r="D87" i="2"/>
  <c r="F87" i="2" s="1"/>
  <c r="D2" i="2"/>
  <c r="F2" i="2" s="1"/>
</calcChain>
</file>

<file path=xl/sharedStrings.xml><?xml version="1.0" encoding="utf-8"?>
<sst xmlns="http://schemas.openxmlformats.org/spreadsheetml/2006/main" count="441" uniqueCount="126">
  <si>
    <t>PS_TEJRTCHSTX_H_XX</t>
  </si>
  <si>
    <t>PS_CANTAXDATA_H_XX</t>
  </si>
  <si>
    <t>PS_PERSDATAEF_H_XX</t>
  </si>
  <si>
    <t>PS_PERS_NID_H_XX</t>
  </si>
  <si>
    <t>PS_CDMLISTHIS_H_XX</t>
  </si>
  <si>
    <t>PS_AHRPSPCTCM_H_XX</t>
  </si>
  <si>
    <t>PS_JRPOSDSX_H_XX</t>
  </si>
  <si>
    <t>PS_PMOASISTEC_H_XX</t>
  </si>
  <si>
    <t>PS_TEJRPOSHDX_H_XX</t>
  </si>
  <si>
    <t>PS_TECOUDFVALX_HXX</t>
  </si>
  <si>
    <t>PS_JOBREQ_H_XX</t>
  </si>
  <si>
    <t>PS_JOB_H_XX</t>
  </si>
  <si>
    <t>PS_JOB_XX_H_XX</t>
  </si>
  <si>
    <t>PS_STATETAXDA_H_XX</t>
  </si>
  <si>
    <t>PS_CDMAUTHIST_H_XX</t>
  </si>
  <si>
    <t>PS_CDMFILELIS_H_XX</t>
  </si>
  <si>
    <t>PS_PRCDISTHIS_H_XX</t>
  </si>
  <si>
    <t>PS_PRCRQSTFLE_H_XX</t>
  </si>
  <si>
    <t>PS_TEJOBRQPSX_H_XX</t>
  </si>
  <si>
    <t>PS_APYTMSUMM_H_XX</t>
  </si>
  <si>
    <t>PS_APYCOMMSUM_H_XX</t>
  </si>
  <si>
    <t>PS_AHRPSPCTDCM_HXX</t>
  </si>
  <si>
    <t>PS_PROJECT_H_XX</t>
  </si>
  <si>
    <t>PS_AHRSRVJBRT_H_XX</t>
  </si>
  <si>
    <t>PS_COMSCHDTLX_H_XX</t>
  </si>
  <si>
    <t>PS_TEPSASTNMX_H_XX</t>
  </si>
  <si>
    <t>PS_AHRCMHLDT_H_XX</t>
  </si>
  <si>
    <t>PS_APYTMBILL2_H_XX</t>
  </si>
  <si>
    <t>PS_APYTMBINEG_H_XX</t>
  </si>
  <si>
    <t>PS_AHRJBRQDPT_H_XX</t>
  </si>
  <si>
    <t>PS_PROJ_ACT_H_XX</t>
  </si>
  <si>
    <t>PS_TE_EMP_REG_H_XX</t>
  </si>
  <si>
    <t>PS_AHRSRVDISX_H_XX</t>
  </si>
  <si>
    <t>PS_PERSONALDA_H_XX</t>
  </si>
  <si>
    <t>PS_PERSONALPH_H_XX</t>
  </si>
  <si>
    <t>PS_TEPSASTDTX_H_XX</t>
  </si>
  <si>
    <t>PS_PRCPARMHIS_H_XX</t>
  </si>
  <si>
    <t>PS_PRCRQSTHIS_H_XX</t>
  </si>
  <si>
    <t>PS_PRCTEXTHIS_H_XX</t>
  </si>
  <si>
    <t>PS_PRCTXFRHIS_H_XX</t>
  </si>
  <si>
    <t>PS_APYTMBILL_H_XX</t>
  </si>
  <si>
    <t>PS_APYTMSUMADJ_HXX</t>
  </si>
  <si>
    <t>PS_PROJ_ACTST_H_XX</t>
  </si>
  <si>
    <t>PS_AHRPSBILPY_H_XX</t>
  </si>
  <si>
    <t>PS_CA_CNTRHDR_H_XX</t>
  </si>
  <si>
    <t>PS_ABICSTINVT_H_XX</t>
  </si>
  <si>
    <t>PS_AHRSRVNTX_H_XX</t>
  </si>
  <si>
    <t>PS_TECOUDFHDRX_HXX</t>
  </si>
  <si>
    <t>PS_EMAILADRS_H_XX</t>
  </si>
  <si>
    <t>PS_PURGEDATA_H_XX</t>
  </si>
  <si>
    <t>PS_PRCQUEHIST_H_XX</t>
  </si>
  <si>
    <t>PS_PRCRQSTSTR_H_XX</t>
  </si>
  <si>
    <t>PS_JRPOSDISCX_H_XX</t>
  </si>
  <si>
    <t>PS_TEJRPESMX_H_XX</t>
  </si>
  <si>
    <t>PS_TEBURDENX_H_XX</t>
  </si>
  <si>
    <t>PS_TEPSTERPTX_H_XX</t>
  </si>
  <si>
    <t>PS_TE_EMP_OBU_H_XX</t>
  </si>
  <si>
    <t>PS_TE_EMP_PRD_H_XX</t>
  </si>
  <si>
    <t>PS_JPMPROFILE_H_XX</t>
  </si>
  <si>
    <t>PS_TLHRTESTGX_H_XX</t>
  </si>
  <si>
    <t>PS_TEJOBREQX_H_XX</t>
  </si>
  <si>
    <t>PS_HREXTEMP_H_XX</t>
  </si>
  <si>
    <t>PS_JOB_JR_H_XX</t>
  </si>
  <si>
    <t>PS_TEJOBRPTXX_H_XX</t>
  </si>
  <si>
    <t>PS_TEPOSASTX_H_XX</t>
  </si>
  <si>
    <t>PS_APYTMBIDET_H_XX</t>
  </si>
  <si>
    <t>PS_APYSPREAD_H_XX</t>
  </si>
  <si>
    <t>PS_PROJ_STAT_H_XX</t>
  </si>
  <si>
    <t>PS_TE_EMP_HDR_H_XX</t>
  </si>
  <si>
    <t>PS_TESPRDSUMX_H_XX</t>
  </si>
  <si>
    <t>PS_CA_DT_PROJ_H_XX</t>
  </si>
  <si>
    <t>PS_AHRSRVDSX_H_XX</t>
  </si>
  <si>
    <t>PS_AHRSRVHDRT_H_XX</t>
  </si>
  <si>
    <t>PS_TECOUDFX_H_XX</t>
  </si>
  <si>
    <t>PS_COMSCHHDRX_H_XX</t>
  </si>
  <si>
    <t>PS_TEPSNCTEX_H_XX</t>
  </si>
  <si>
    <t>PS_TEJBRQDPTX_H_XX</t>
  </si>
  <si>
    <t>PS_TE_EMP_UP_H_XX</t>
  </si>
  <si>
    <t>PS_CA_DETAIL_H_XX</t>
  </si>
  <si>
    <t>PS_ABICSTINVSP_HXX</t>
  </si>
  <si>
    <t>PS_TECOMSBILX_H_XX</t>
  </si>
  <si>
    <t>PS_TECOMMISDR_H_XX</t>
  </si>
  <si>
    <t>PS_TEPOSCOMPX_H_XX</t>
  </si>
  <si>
    <t>PS_AHRJOBRQPS_H_XX</t>
  </si>
  <si>
    <t>PS_TE_EMP_CO_H_XX</t>
  </si>
  <si>
    <t>JOBRQ_XX</t>
  </si>
  <si>
    <t>PSPDA_XX</t>
  </si>
  <si>
    <t>PRCS_XX</t>
  </si>
  <si>
    <t>PSCOM_XX</t>
  </si>
  <si>
    <t>PSDSC_XX</t>
  </si>
  <si>
    <t>TEPOS_XX</t>
  </si>
  <si>
    <t>POSRQ_XX</t>
  </si>
  <si>
    <t>COUDF_XX</t>
  </si>
  <si>
    <t>TMSUM_XX</t>
  </si>
  <si>
    <t>CMSUM_XX</t>
  </si>
  <si>
    <t>DPTRQ_XX</t>
  </si>
  <si>
    <t>PRJCSTNG</t>
  </si>
  <si>
    <t>AJBRQ_XX</t>
  </si>
  <si>
    <t>CMSCH_XX</t>
  </si>
  <si>
    <t>PSAST_XX</t>
  </si>
  <si>
    <t>TMBID_XX</t>
  </si>
  <si>
    <t>PSHDR_XX</t>
  </si>
  <si>
    <t>SRVHD_XX</t>
  </si>
  <si>
    <t>PSBPY_XX</t>
  </si>
  <si>
    <t>CONTRCTS</t>
  </si>
  <si>
    <t>PSBUR_XX</t>
  </si>
  <si>
    <t>PSJPM_XX</t>
  </si>
  <si>
    <t>TLHR_XX</t>
  </si>
  <si>
    <t>SPRD_XX</t>
  </si>
  <si>
    <t>TESPD_XX</t>
  </si>
  <si>
    <t>PSNCT_XX</t>
  </si>
  <si>
    <t>TEDPT_XX</t>
  </si>
  <si>
    <t>PSCMP_XX</t>
  </si>
  <si>
    <t>Table name</t>
  </si>
  <si>
    <t>Count</t>
  </si>
  <si>
    <t>Template</t>
  </si>
  <si>
    <t>Batch no.</t>
  </si>
  <si>
    <t>(blank)</t>
  </si>
  <si>
    <t>Grand Total</t>
  </si>
  <si>
    <t>Sum of Count</t>
  </si>
  <si>
    <t>PRD EXP Table Name</t>
  </si>
  <si>
    <t>PRD EXP COUNT</t>
  </si>
  <si>
    <t>Count Compare</t>
  </si>
  <si>
    <t>Delete log TBL name</t>
  </si>
  <si>
    <t>Delete count</t>
  </si>
  <si>
    <t>Table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</si>
</sst>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0.67852523148" createdVersion="8" refreshedVersion="8" minRefreshableVersion="3" recordCount="86" xr:uid="{B949A4E0-C319-401B-94CE-4C5E3C7D1540}">
  <cacheSource type="worksheet">
    <worksheetSource ref="A1:B1048576" sheet="Sheet1"/>
  </cacheSource>
  <cacheFields count="2">
    <cacheField name="Table name" numFmtId="0">
      <sharedItems containsBlank="1" count="86">
        <s v="PS_TEJRTCHSTX_H_XX"/>
        <s v="PS_CANTAXDATA_H_XX"/>
        <s v="PS_PERSDATAEF_H_XX"/>
        <s v="PS_PERS_NID_H_XX"/>
        <s v="PS_CDMLISTHIS_H_XX"/>
        <s v="PS_AHRPSPCTCM_H_XX"/>
        <s v="PS_JRPOSDSX_H_XX"/>
        <s v="PS_PMOASISTEC_H_XX"/>
        <s v="PS_TEJRPOSHDX_H_XX"/>
        <s v="PS_TECOUDFVALX_HXX"/>
        <s v="PS_JOBREQ_H_XX"/>
        <s v="PS_JOB_H_XX"/>
        <s v="PS_JOB_XX_H_XX"/>
        <s v="PS_STATETAXDA_H_XX"/>
        <s v="PS_CDMAUTHIST_H_XX"/>
        <s v="PS_CDMFILELIS_H_XX"/>
        <s v="PS_PRCDISTHIS_H_XX"/>
        <s v="PS_PRCRQSTFLE_H_XX"/>
        <s v="PS_TEJOBRQPSX_H_XX"/>
        <s v="PS_APYTMSUMM_H_XX"/>
        <s v="PS_APYCOMMSUM_H_XX"/>
        <s v="PS_AHRPSPCTDCM_HXX"/>
        <s v="PS_PROJECT_H_XX"/>
        <s v="PS_AHRSRVJBRT_H_XX"/>
        <s v="PS_COMSCHDTLX_H_XX"/>
        <s v="PS_TEPSASTNMX_H_XX"/>
        <s v="PS_AHRCMHLDT_H_XX"/>
        <s v="PS_APYTMBILL2_H_XX"/>
        <s v="PS_APYTMBINEG_H_XX"/>
        <s v="PS_AHRJBRQDPT_H_XX"/>
        <s v="PS_PROJ_ACT_H_XX"/>
        <s v="PS_TE_EMP_REG_H_XX"/>
        <s v="PS_AHRSRVDISX_H_XX"/>
        <s v="PS_PERSONALDA_H_XX"/>
        <s v="PS_PERSONALPH_H_XX"/>
        <s v="PS_TEPSASTDTX_H_XX"/>
        <s v="PS_PRCPARMHIS_H_XX"/>
        <s v="PS_PRCRQSTHIS_H_XX"/>
        <s v="PS_PRCTEXTHIS_H_XX"/>
        <s v="PS_PRCTXFRHIS_H_XX"/>
        <s v="PS_APYTMBILL_H_XX"/>
        <s v="PS_APYTMSUMADJ_HXX"/>
        <s v="PS_PROJ_ACTST_H_XX"/>
        <s v="PS_AHRPSBILPY_H_XX"/>
        <s v="PS_CA_CNTRHDR_H_XX"/>
        <s v="PS_ABICSTINVT_H_XX"/>
        <s v="PS_AHRSRVNTX_H_XX"/>
        <s v="PS_TECOUDFHDRX_HXX"/>
        <s v="PS_EMAILADRS_H_XX"/>
        <s v="PS_PURGEDATA_H_XX"/>
        <s v="PS_PRCQUEHIST_H_XX"/>
        <s v="PS_PRCRQSTSTR_H_XX"/>
        <s v="PS_JRPOSDISCX_H_XX"/>
        <s v="PS_TEJRPESMX_H_XX"/>
        <s v="PS_TEBURDENX_H_XX"/>
        <s v="PS_TEPSTERPTX_H_XX"/>
        <s v="PS_TE_EMP_OBU_H_XX"/>
        <s v="PS_TE_EMP_PRD_H_XX"/>
        <s v="PS_JPMPROFILE_H_XX"/>
        <s v="PS_TLHRTESTGX_H_XX"/>
        <s v="PS_TEJOBREQX_H_XX"/>
        <s v="PS_HREXTEMP_H_XX"/>
        <s v="PS_JOB_JR_H_XX"/>
        <s v="PS_TEJOBRPTXX_H_XX"/>
        <s v="PS_TEPOSASTX_H_XX"/>
        <s v="PS_APYTMBIDET_H_XX"/>
        <s v="PS_APYSPREAD_H_XX"/>
        <s v="PS_PROJ_STAT_H_XX"/>
        <s v="PS_TE_EMP_HDR_H_XX"/>
        <s v="PS_TESPRDSUMX_H_XX"/>
        <s v="PS_CA_DT_PROJ_H_XX"/>
        <s v="PS_AHRSRVDSX_H_XX"/>
        <s v="PS_AHRSRVHDRT_H_XX"/>
        <s v="PS_TECOUDFX_H_XX"/>
        <s v="PS_COMSCHHDRX_H_XX"/>
        <s v="PS_TEPSNCTEX_H_XX"/>
        <s v="PS_TEJBRQDPTX_H_XX"/>
        <s v="PS_TE_EMP_UP_H_XX"/>
        <s v="PS_CA_DETAIL_H_XX"/>
        <s v="PS_ABICSTINVSP_HXX"/>
        <s v="PS_TECOMSBILX_H_XX"/>
        <s v="PS_TECOMMISDR_H_XX"/>
        <s v="PS_TEPOSCOMPX_H_XX"/>
        <s v="PS_AHRJOBRQPS_H_XX"/>
        <s v="PS_TE_EMP_CO_H_XX"/>
        <m/>
      </sharedItems>
    </cacheField>
    <cacheField name="Count" numFmtId="0">
      <sharedItems containsString="0" containsBlank="1" containsNumber="1" containsInteger="1" minValue="0" maxValue="185770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0.681759953703" createdVersion="8" refreshedVersion="8" minRefreshableVersion="3" recordCount="86" xr:uid="{55D8C4BC-6852-41AA-A87D-0B1C451CF685}">
  <cacheSource type="worksheet">
    <worksheetSource ref="A1:B1048576" sheet="Sheet3"/>
  </cacheSource>
  <cacheFields count="2">
    <cacheField name="PRD EXP Table Name" numFmtId="0">
      <sharedItems containsBlank="1" count="86">
        <s v="PS_AHRSRVJBRT_H_XX"/>
        <s v="PS_COMSCHDTLX_H_XX"/>
        <s v="PS_COMSCHHDRX_H_XX"/>
        <s v="PS_APYCOMMSUM_H_XX"/>
        <s v="PS_CA_DT_PROJ_H_XX"/>
        <s v="PS_CA_CNTRHDR_H_XX"/>
        <s v="PS_CA_DETAIL_H_XX"/>
        <s v="PS_TECOUDFX_H_XX"/>
        <s v="PS_TECOUDFHDRX_HXX"/>
        <s v="PS_TECOUDFVALX_HXX"/>
        <s v="PS_AHRPSPCTDCM_HXX"/>
        <s v="PS_AHRJBRQDPT_H_XX"/>
        <s v="PS_TEJRTCHSTX_H_XX"/>
        <s v="PS_TEJOBREQX_H_XX"/>
        <s v="PS_JOBREQ_H_XX"/>
        <s v="PS_AHRJOBRQPS_H_XX"/>
        <s v="PS_TEPSTERPTX_H_XX"/>
        <s v="PS_TEJRPOSHDX_H_XX"/>
        <s v="PS_PRCPARMHIS_H_XX"/>
        <s v="PS_PRCRQSTSTR_H_XX"/>
        <s v="PS_PRCRQSTHIS_H_XX"/>
        <s v="PS_CDMAUTHIST_H_XX"/>
        <s v="PS_PRCQUEHIST_H_XX"/>
        <s v="PS_CDMLISTHIS_H_XX"/>
        <s v="PS_PRCRQSTFLE_H_XX"/>
        <s v="PS_PRCTXFRHIS_H_XX"/>
        <s v="PS_CDMFILELIS_H_XX"/>
        <s v="PS_PRCDISTHIS_H_XX"/>
        <s v="PS_PRCTEXTHIS_H_XX"/>
        <s v="PS_PROJ_ACT_H_XX"/>
        <s v="PS_PROJECT_H_XX"/>
        <s v="PS_PROJ_ACTST_H_XX"/>
        <s v="PS_PROJ_STAT_H_XX"/>
        <s v="PS_TEPSASTDTX_H_XX"/>
        <s v="PS_TEPSASTNMX_H_XX"/>
        <s v="PS_TEPOSASTX_H_XX"/>
        <s v="PS_AHRPSBILPY_H_XX"/>
        <s v="PS_TEBURDENX_H_XX"/>
        <s v="PS_TEPOSCOMPX_H_XX"/>
        <s v="PS_AHRCMHLDT_H_XX"/>
        <s v="PS_AHRPSPCTCM_H_XX"/>
        <s v="PS_JRPOSDSX_H_XX"/>
        <s v="PS_JRPOSDISCX_H_XX"/>
        <s v="PS_TE_EMP_CO_H_XX"/>
        <s v="PS_TE_EMP_HDR_H_XX"/>
        <s v="PS_TE_EMP_OBU_H_XX"/>
        <s v="PS_TE_EMP_PRD_H_XX"/>
        <s v="PS_TE_EMP_REG_H_XX"/>
        <s v="PS_TE_EMP_UP_H_XX"/>
        <s v="PS_JPMPROFILE_H_XX"/>
        <s v="PS_TEPSNCTEX_H_XX"/>
        <s v="PS_CANTAXDATA_H_XX"/>
        <s v="PS_EMAILADRS_H_XX"/>
        <s v="PS_HREXTEMP_H_XX"/>
        <s v="PS_JOB_H_XX"/>
        <s v="PS_JOB_JR_H_XX"/>
        <s v="PS_JOB_XX_H_XX"/>
        <s v="PS_PERSDATAEF_H_XX"/>
        <s v="PS_PERSONALDA_H_XX"/>
        <s v="PS_PERSONALPH_H_XX"/>
        <s v="PS_PERS_NID_H_XX"/>
        <s v="PS_PURGEDATA_H_XX"/>
        <s v="PS_STATETAXDA_H_XX"/>
        <s v="PS_TECOMMISDR_H_XX"/>
        <s v="PS_TEJOBRPTXX_H_XX"/>
        <s v="PS_APYSPREAD_H_XX"/>
        <s v="PS_ABICSTINVSP_HXX"/>
        <s v="PS_AHRSRVHDRT_H_XX"/>
        <s v="PS_AHRSRVDSX_H_XX"/>
        <s v="PS_AHRSRVDISX_H_XX"/>
        <s v="PS_AHRSRVNTX_H_XX"/>
        <s v="PS_ABICSTINVT_H_XX"/>
        <s v="PS_TECOMSBILX_H_XX"/>
        <s v="PS_TEJBRQDPTX_H_XX"/>
        <s v="PS_TEJRPESMX_H_XX"/>
        <s v="PS_PMOASISTEC_H_XX"/>
        <s v="PS_TEJOBRQPSX_H_XX"/>
        <s v="PS_TESPRDSUMX_H_XX"/>
        <s v="PS_TLHRTESTGX_H_XX"/>
        <s v="PS_APYTMBIDET_H_XX"/>
        <s v="PS_APYTMBINEG_H_XX"/>
        <s v="PS_APYTMBILL_H_XX"/>
        <s v="PS_APYTMBILL2_H_XX"/>
        <s v="PS_APYTMSUMM_H_XX"/>
        <s v="PS_APYTMSUMADJ_HXX"/>
        <m/>
      </sharedItems>
    </cacheField>
    <cacheField name="Count" numFmtId="0">
      <sharedItems containsString="0" containsBlank="1" containsNumber="1" containsInteger="1" minValue="0" maxValue="97397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n v="0"/>
  </r>
  <r>
    <x v="1"/>
    <n v="0"/>
  </r>
  <r>
    <x v="2"/>
    <n v="0"/>
  </r>
  <r>
    <x v="3"/>
    <n v="0"/>
  </r>
  <r>
    <x v="4"/>
    <n v="0"/>
  </r>
  <r>
    <x v="5"/>
    <n v="3490352"/>
  </r>
  <r>
    <x v="6"/>
    <n v="0"/>
  </r>
  <r>
    <x v="7"/>
    <n v="0"/>
  </r>
  <r>
    <x v="8"/>
    <n v="657246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369"/>
  </r>
  <r>
    <x v="19"/>
    <n v="9739782"/>
  </r>
  <r>
    <x v="20"/>
    <n v="481505"/>
  </r>
  <r>
    <x v="21"/>
    <n v="17823"/>
  </r>
  <r>
    <x v="22"/>
    <n v="8919"/>
  </r>
  <r>
    <x v="23"/>
    <n v="0"/>
  </r>
  <r>
    <x v="24"/>
    <n v="42"/>
  </r>
  <r>
    <x v="25"/>
    <n v="8"/>
  </r>
  <r>
    <x v="26"/>
    <n v="664"/>
  </r>
  <r>
    <x v="27"/>
    <n v="6757145"/>
  </r>
  <r>
    <x v="28"/>
    <n v="9"/>
  </r>
  <r>
    <x v="29"/>
    <n v="8706"/>
  </r>
  <r>
    <x v="30"/>
    <n v="9771"/>
  </r>
  <r>
    <x v="31"/>
    <n v="0"/>
  </r>
  <r>
    <x v="32"/>
    <n v="0"/>
  </r>
  <r>
    <x v="33"/>
    <n v="0"/>
  </r>
  <r>
    <x v="34"/>
    <n v="0"/>
  </r>
  <r>
    <x v="35"/>
    <n v="17"/>
  </r>
  <r>
    <x v="36"/>
    <n v="0"/>
  </r>
  <r>
    <x v="37"/>
    <n v="0"/>
  </r>
  <r>
    <x v="38"/>
    <n v="0"/>
  </r>
  <r>
    <x v="39"/>
    <n v="0"/>
  </r>
  <r>
    <x v="40"/>
    <n v="6673676"/>
  </r>
  <r>
    <x v="41"/>
    <n v="542088"/>
  </r>
  <r>
    <x v="42"/>
    <n v="10125"/>
  </r>
  <r>
    <x v="43"/>
    <n v="5664102"/>
  </r>
  <r>
    <x v="44"/>
    <n v="2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2328246"/>
  </r>
  <r>
    <x v="55"/>
    <n v="1932723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2"/>
  </r>
  <r>
    <x v="65"/>
    <n v="10695168"/>
  </r>
  <r>
    <x v="66"/>
    <n v="18577010"/>
  </r>
  <r>
    <x v="67"/>
    <n v="18178"/>
  </r>
  <r>
    <x v="68"/>
    <n v="0"/>
  </r>
  <r>
    <x v="69"/>
    <n v="0"/>
  </r>
  <r>
    <x v="70"/>
    <n v="4"/>
  </r>
  <r>
    <x v="71"/>
    <n v="0"/>
  </r>
  <r>
    <x v="72"/>
    <n v="0"/>
  </r>
  <r>
    <x v="73"/>
    <n v="0"/>
  </r>
  <r>
    <x v="74"/>
    <n v="14"/>
  </r>
  <r>
    <x v="75"/>
    <n v="61"/>
  </r>
  <r>
    <x v="76"/>
    <n v="0"/>
  </r>
  <r>
    <x v="77"/>
    <n v="0"/>
  </r>
  <r>
    <x v="78"/>
    <n v="0"/>
  </r>
  <r>
    <x v="79"/>
    <n v="0"/>
  </r>
  <r>
    <x v="80"/>
    <n v="0"/>
  </r>
  <r>
    <x v="81"/>
    <n v="0"/>
  </r>
  <r>
    <x v="82"/>
    <n v="1733"/>
  </r>
  <r>
    <x v="83"/>
    <n v="1932752"/>
  </r>
  <r>
    <x v="84"/>
    <n v="0"/>
  </r>
  <r>
    <x v="8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n v="0"/>
  </r>
  <r>
    <x v="1"/>
    <n v="42"/>
  </r>
  <r>
    <x v="2"/>
    <n v="14"/>
  </r>
  <r>
    <x v="3"/>
    <n v="481505"/>
  </r>
  <r>
    <x v="4"/>
    <n v="4"/>
  </r>
  <r>
    <x v="5"/>
    <n v="2"/>
  </r>
  <r>
    <x v="6"/>
    <n v="0"/>
  </r>
  <r>
    <x v="7"/>
    <n v="0"/>
  </r>
  <r>
    <x v="8"/>
    <n v="0"/>
  </r>
  <r>
    <x v="9"/>
    <n v="0"/>
  </r>
  <r>
    <x v="10"/>
    <n v="17823"/>
  </r>
  <r>
    <x v="11"/>
    <n v="8706"/>
  </r>
  <r>
    <x v="12"/>
    <n v="0"/>
  </r>
  <r>
    <x v="13"/>
    <n v="0"/>
  </r>
  <r>
    <x v="14"/>
    <n v="0"/>
  </r>
  <r>
    <x v="15"/>
    <n v="1932752"/>
  </r>
  <r>
    <x v="16"/>
    <n v="1932723"/>
  </r>
  <r>
    <x v="17"/>
    <n v="657246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9771"/>
  </r>
  <r>
    <x v="30"/>
    <n v="8919"/>
  </r>
  <r>
    <x v="31"/>
    <n v="10125"/>
  </r>
  <r>
    <x v="32"/>
    <n v="18178"/>
  </r>
  <r>
    <x v="33"/>
    <n v="17"/>
  </r>
  <r>
    <x v="34"/>
    <n v="8"/>
  </r>
  <r>
    <x v="35"/>
    <n v="2"/>
  </r>
  <r>
    <x v="36"/>
    <n v="5664102"/>
  </r>
  <r>
    <x v="37"/>
    <n v="2328246"/>
  </r>
  <r>
    <x v="38"/>
    <n v="1733"/>
  </r>
  <r>
    <x v="39"/>
    <n v="664"/>
  </r>
  <r>
    <x v="40"/>
    <n v="3490352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61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1857701"/>
  </r>
  <r>
    <x v="66"/>
    <n v="0"/>
  </r>
  <r>
    <x v="67"/>
    <n v="0"/>
  </r>
  <r>
    <x v="68"/>
    <n v="0"/>
  </r>
  <r>
    <x v="69"/>
    <n v="0"/>
  </r>
  <r>
    <x v="70"/>
    <n v="0"/>
  </r>
  <r>
    <x v="71"/>
    <n v="0"/>
  </r>
  <r>
    <x v="72"/>
    <n v="0"/>
  </r>
  <r>
    <x v="73"/>
    <n v="0"/>
  </r>
  <r>
    <x v="74"/>
    <n v="0"/>
  </r>
  <r>
    <x v="75"/>
    <n v="0"/>
  </r>
  <r>
    <x v="76"/>
    <n v="369"/>
  </r>
  <r>
    <x v="77"/>
    <n v="0"/>
  </r>
  <r>
    <x v="78"/>
    <n v="0"/>
  </r>
  <r>
    <x v="79"/>
    <n v="1069516"/>
  </r>
  <r>
    <x v="80"/>
    <n v="9"/>
  </r>
  <r>
    <x v="81"/>
    <n v="6673676"/>
  </r>
  <r>
    <x v="82"/>
    <n v="6757145"/>
  </r>
  <r>
    <x v="83"/>
    <n v="9739782"/>
  </r>
  <r>
    <x v="84"/>
    <n v="542088"/>
  </r>
  <r>
    <x v="8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728E0-0A6B-421E-B03F-F4DBA4B38A45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lete log TBL name">
  <location ref="A1:B88" firstHeaderRow="1" firstDataRow="1" firstDataCol="1"/>
  <pivotFields count="2">
    <pivotField axis="axisRow" showAll="0">
      <items count="87">
        <item x="79"/>
        <item x="45"/>
        <item x="26"/>
        <item x="29"/>
        <item x="83"/>
        <item x="43"/>
        <item x="5"/>
        <item x="21"/>
        <item x="32"/>
        <item x="71"/>
        <item x="72"/>
        <item x="23"/>
        <item x="46"/>
        <item x="20"/>
        <item x="66"/>
        <item x="65"/>
        <item x="40"/>
        <item x="27"/>
        <item x="28"/>
        <item x="41"/>
        <item x="19"/>
        <item x="44"/>
        <item x="78"/>
        <item x="70"/>
        <item x="1"/>
        <item x="14"/>
        <item x="15"/>
        <item x="4"/>
        <item x="24"/>
        <item x="74"/>
        <item x="48"/>
        <item x="61"/>
        <item x="11"/>
        <item x="62"/>
        <item x="12"/>
        <item x="10"/>
        <item x="58"/>
        <item x="52"/>
        <item x="6"/>
        <item x="3"/>
        <item x="2"/>
        <item x="33"/>
        <item x="34"/>
        <item x="7"/>
        <item x="16"/>
        <item x="36"/>
        <item x="50"/>
        <item x="17"/>
        <item x="37"/>
        <item x="51"/>
        <item x="38"/>
        <item x="39"/>
        <item x="30"/>
        <item x="42"/>
        <item x="67"/>
        <item x="22"/>
        <item x="49"/>
        <item x="13"/>
        <item x="84"/>
        <item x="68"/>
        <item x="56"/>
        <item x="57"/>
        <item x="31"/>
        <item x="77"/>
        <item x="54"/>
        <item x="81"/>
        <item x="80"/>
        <item x="47"/>
        <item x="9"/>
        <item x="73"/>
        <item x="76"/>
        <item x="60"/>
        <item x="63"/>
        <item x="18"/>
        <item x="53"/>
        <item x="8"/>
        <item x="0"/>
        <item x="64"/>
        <item x="82"/>
        <item x="35"/>
        <item x="25"/>
        <item x="75"/>
        <item x="55"/>
        <item x="69"/>
        <item x="59"/>
        <item x="85"/>
        <item t="default"/>
      </items>
    </pivotField>
    <pivotField dataField="1" showAll="0"/>
  </pivotFields>
  <rowFields count="1">
    <field x="0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Delete count" fld="1" baseField="0" baseItem="0"/>
  </dataFields>
  <formats count="11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">
      <pivotArea dataOnly="0" labelOnly="1" fieldPosition="0">
        <references count="1">
          <reference field="0" count="3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</reference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field="0" type="button" dataOnly="0" labelOnly="1" outline="0" axis="axisRow" fieldPosition="0"/>
    </format>
    <format dxfId="24">
      <pivotArea dataOnly="0" labelOnly="1" outline="0" axis="axisValues" fieldPosition="0"/>
    </format>
    <format dxfId="23">
      <pivotArea field="0" type="button" dataOnly="0" labelOnly="1" outline="0" axis="axisRow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C3E16-7700-4A49-8E55-7B33736A4FC6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le Name">
  <location ref="A1:B88" firstHeaderRow="1" firstDataRow="1" firstDataCol="1"/>
  <pivotFields count="2">
    <pivotField axis="axisRow" showAll="0">
      <items count="87">
        <item x="66"/>
        <item x="71"/>
        <item x="39"/>
        <item x="11"/>
        <item x="15"/>
        <item x="36"/>
        <item x="40"/>
        <item x="10"/>
        <item x="69"/>
        <item x="68"/>
        <item x="67"/>
        <item x="0"/>
        <item x="70"/>
        <item x="3"/>
        <item x="65"/>
        <item x="79"/>
        <item x="81"/>
        <item x="82"/>
        <item x="80"/>
        <item x="84"/>
        <item x="83"/>
        <item x="5"/>
        <item x="6"/>
        <item x="4"/>
        <item x="51"/>
        <item x="21"/>
        <item x="26"/>
        <item x="23"/>
        <item x="1"/>
        <item x="2"/>
        <item x="52"/>
        <item x="53"/>
        <item x="54"/>
        <item x="55"/>
        <item x="56"/>
        <item x="14"/>
        <item x="49"/>
        <item x="42"/>
        <item x="41"/>
        <item x="60"/>
        <item x="57"/>
        <item x="58"/>
        <item x="59"/>
        <item x="75"/>
        <item x="27"/>
        <item x="18"/>
        <item x="22"/>
        <item x="24"/>
        <item x="20"/>
        <item x="19"/>
        <item x="28"/>
        <item x="25"/>
        <item x="29"/>
        <item x="31"/>
        <item x="32"/>
        <item x="30"/>
        <item x="61"/>
        <item x="62"/>
        <item x="43"/>
        <item x="44"/>
        <item x="45"/>
        <item x="46"/>
        <item x="47"/>
        <item x="48"/>
        <item x="37"/>
        <item x="63"/>
        <item x="72"/>
        <item x="8"/>
        <item x="9"/>
        <item x="7"/>
        <item x="73"/>
        <item x="13"/>
        <item x="64"/>
        <item x="76"/>
        <item x="74"/>
        <item x="17"/>
        <item x="12"/>
        <item x="35"/>
        <item x="38"/>
        <item x="33"/>
        <item x="34"/>
        <item x="50"/>
        <item x="16"/>
        <item x="77"/>
        <item x="78"/>
        <item x="85"/>
        <item t="default"/>
      </items>
    </pivotField>
    <pivotField dataField="1" showAll="0"/>
  </pivotFields>
  <rowFields count="1">
    <field x="0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Sum of Count" fld="1" baseField="0" baseItem="0"/>
  </dataFields>
  <formats count="7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">
      <pivotArea dataOnly="0" labelOnly="1" fieldPosition="0">
        <references count="1">
          <reference field="0" count="3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08EE-C1F4-41E4-9851-61EA28016336}">
  <dimension ref="A1:D86"/>
  <sheetViews>
    <sheetView workbookViewId="0">
      <selection sqref="A1:B1048576"/>
    </sheetView>
  </sheetViews>
  <sheetFormatPr defaultRowHeight="14.5" x14ac:dyDescent="0.35"/>
  <cols>
    <col min="1" max="1" width="21.36328125" bestFit="1" customWidth="1"/>
    <col min="2" max="2" width="8.81640625" bestFit="1" customWidth="1"/>
    <col min="3" max="3" width="10.6328125" bestFit="1" customWidth="1"/>
    <col min="4" max="4" width="12.90625" customWidth="1"/>
  </cols>
  <sheetData>
    <row r="1" spans="1:4" s="1" customFormat="1" x14ac:dyDescent="0.35">
      <c r="A1" s="1" t="s">
        <v>113</v>
      </c>
      <c r="B1" s="1" t="s">
        <v>114</v>
      </c>
      <c r="C1" s="1" t="s">
        <v>115</v>
      </c>
      <c r="D1" s="1" t="s">
        <v>116</v>
      </c>
    </row>
    <row r="2" spans="1:4" x14ac:dyDescent="0.35">
      <c r="A2" t="s">
        <v>0</v>
      </c>
      <c r="B2">
        <v>0</v>
      </c>
      <c r="C2" t="s">
        <v>85</v>
      </c>
      <c r="D2">
        <v>26</v>
      </c>
    </row>
    <row r="3" spans="1:4" x14ac:dyDescent="0.35">
      <c r="A3" t="s">
        <v>1</v>
      </c>
      <c r="B3">
        <v>0</v>
      </c>
      <c r="C3" t="s">
        <v>86</v>
      </c>
      <c r="D3">
        <v>22</v>
      </c>
    </row>
    <row r="4" spans="1:4" x14ac:dyDescent="0.35">
      <c r="A4" t="s">
        <v>2</v>
      </c>
      <c r="B4">
        <v>0</v>
      </c>
      <c r="C4" t="s">
        <v>86</v>
      </c>
      <c r="D4">
        <v>22</v>
      </c>
    </row>
    <row r="5" spans="1:4" x14ac:dyDescent="0.35">
      <c r="A5" t="s">
        <v>3</v>
      </c>
      <c r="B5">
        <v>0</v>
      </c>
      <c r="C5" t="s">
        <v>86</v>
      </c>
      <c r="D5">
        <v>22</v>
      </c>
    </row>
    <row r="6" spans="1:4" x14ac:dyDescent="0.35">
      <c r="A6" t="s">
        <v>4</v>
      </c>
      <c r="B6">
        <v>0</v>
      </c>
      <c r="C6" t="s">
        <v>87</v>
      </c>
      <c r="D6">
        <v>6</v>
      </c>
    </row>
    <row r="7" spans="1:4" x14ac:dyDescent="0.35">
      <c r="A7" t="s">
        <v>5</v>
      </c>
      <c r="B7">
        <v>3490352</v>
      </c>
      <c r="C7" t="s">
        <v>88</v>
      </c>
      <c r="D7">
        <v>12</v>
      </c>
    </row>
    <row r="8" spans="1:4" x14ac:dyDescent="0.35">
      <c r="A8" t="s">
        <v>6</v>
      </c>
      <c r="B8">
        <v>0</v>
      </c>
      <c r="C8" t="s">
        <v>89</v>
      </c>
      <c r="D8">
        <v>13</v>
      </c>
    </row>
    <row r="9" spans="1:4" x14ac:dyDescent="0.35">
      <c r="A9" t="s">
        <v>7</v>
      </c>
      <c r="B9">
        <v>0</v>
      </c>
      <c r="C9" t="s">
        <v>90</v>
      </c>
      <c r="D9">
        <v>16</v>
      </c>
    </row>
    <row r="10" spans="1:4" x14ac:dyDescent="0.35">
      <c r="A10" t="s">
        <v>8</v>
      </c>
      <c r="B10">
        <v>657246</v>
      </c>
      <c r="C10" t="s">
        <v>91</v>
      </c>
      <c r="D10">
        <v>3</v>
      </c>
    </row>
    <row r="11" spans="1:4" x14ac:dyDescent="0.35">
      <c r="A11" t="s">
        <v>9</v>
      </c>
      <c r="B11">
        <v>0</v>
      </c>
      <c r="C11" t="s">
        <v>92</v>
      </c>
      <c r="D11">
        <v>28</v>
      </c>
    </row>
    <row r="12" spans="1:4" x14ac:dyDescent="0.35">
      <c r="A12" t="s">
        <v>10</v>
      </c>
      <c r="B12">
        <v>0</v>
      </c>
      <c r="C12" t="s">
        <v>85</v>
      </c>
      <c r="D12">
        <v>26</v>
      </c>
    </row>
    <row r="13" spans="1:4" x14ac:dyDescent="0.35">
      <c r="A13" t="s">
        <v>11</v>
      </c>
      <c r="B13">
        <v>0</v>
      </c>
      <c r="C13" t="s">
        <v>86</v>
      </c>
      <c r="D13">
        <v>22</v>
      </c>
    </row>
    <row r="14" spans="1:4" x14ac:dyDescent="0.35">
      <c r="A14" t="s">
        <v>12</v>
      </c>
      <c r="B14">
        <v>0</v>
      </c>
      <c r="C14" t="s">
        <v>86</v>
      </c>
      <c r="D14">
        <v>22</v>
      </c>
    </row>
    <row r="15" spans="1:4" x14ac:dyDescent="0.35">
      <c r="A15" t="s">
        <v>13</v>
      </c>
      <c r="B15">
        <v>0</v>
      </c>
      <c r="C15" t="s">
        <v>86</v>
      </c>
      <c r="D15">
        <v>22</v>
      </c>
    </row>
    <row r="16" spans="1:4" x14ac:dyDescent="0.35">
      <c r="A16" t="s">
        <v>14</v>
      </c>
      <c r="B16">
        <v>0</v>
      </c>
      <c r="C16" t="s">
        <v>87</v>
      </c>
      <c r="D16">
        <v>6</v>
      </c>
    </row>
    <row r="17" spans="1:4" x14ac:dyDescent="0.35">
      <c r="A17" t="s">
        <v>15</v>
      </c>
      <c r="B17">
        <v>0</v>
      </c>
      <c r="C17" t="s">
        <v>87</v>
      </c>
      <c r="D17">
        <v>6</v>
      </c>
    </row>
    <row r="18" spans="1:4" x14ac:dyDescent="0.35">
      <c r="A18" t="s">
        <v>16</v>
      </c>
      <c r="B18">
        <v>0</v>
      </c>
      <c r="C18" t="s">
        <v>87</v>
      </c>
      <c r="D18">
        <v>6</v>
      </c>
    </row>
    <row r="19" spans="1:4" x14ac:dyDescent="0.35">
      <c r="A19" t="s">
        <v>17</v>
      </c>
      <c r="B19">
        <v>0</v>
      </c>
      <c r="C19" t="s">
        <v>87</v>
      </c>
      <c r="D19">
        <v>6</v>
      </c>
    </row>
    <row r="20" spans="1:4" x14ac:dyDescent="0.35">
      <c r="A20" t="s">
        <v>18</v>
      </c>
      <c r="B20">
        <v>369</v>
      </c>
      <c r="C20" t="s">
        <v>90</v>
      </c>
      <c r="D20">
        <v>16</v>
      </c>
    </row>
    <row r="21" spans="1:4" x14ac:dyDescent="0.35">
      <c r="A21" t="s">
        <v>19</v>
      </c>
      <c r="B21">
        <v>9739782</v>
      </c>
      <c r="C21" t="s">
        <v>93</v>
      </c>
      <c r="D21">
        <v>18</v>
      </c>
    </row>
    <row r="22" spans="1:4" x14ac:dyDescent="0.35">
      <c r="A22" t="s">
        <v>20</v>
      </c>
      <c r="B22">
        <v>481505</v>
      </c>
      <c r="C22" t="s">
        <v>94</v>
      </c>
      <c r="D22">
        <v>1</v>
      </c>
    </row>
    <row r="23" spans="1:4" x14ac:dyDescent="0.35">
      <c r="A23" t="s">
        <v>21</v>
      </c>
      <c r="B23">
        <v>17823</v>
      </c>
      <c r="C23" t="s">
        <v>95</v>
      </c>
      <c r="D23">
        <v>2</v>
      </c>
    </row>
    <row r="24" spans="1:4" x14ac:dyDescent="0.35">
      <c r="A24" t="s">
        <v>22</v>
      </c>
      <c r="B24">
        <v>8919</v>
      </c>
      <c r="C24" t="s">
        <v>96</v>
      </c>
      <c r="D24">
        <v>20</v>
      </c>
    </row>
    <row r="25" spans="1:4" x14ac:dyDescent="0.35">
      <c r="A25" t="s">
        <v>23</v>
      </c>
      <c r="B25">
        <v>0</v>
      </c>
      <c r="C25" t="s">
        <v>97</v>
      </c>
      <c r="D25">
        <v>25</v>
      </c>
    </row>
    <row r="26" spans="1:4" x14ac:dyDescent="0.35">
      <c r="A26" t="s">
        <v>24</v>
      </c>
      <c r="B26">
        <v>42</v>
      </c>
      <c r="C26" t="s">
        <v>98</v>
      </c>
      <c r="D26">
        <v>7</v>
      </c>
    </row>
    <row r="27" spans="1:4" x14ac:dyDescent="0.35">
      <c r="A27" t="s">
        <v>25</v>
      </c>
      <c r="B27">
        <v>8</v>
      </c>
      <c r="C27" t="s">
        <v>99</v>
      </c>
      <c r="D27">
        <v>8</v>
      </c>
    </row>
    <row r="28" spans="1:4" x14ac:dyDescent="0.35">
      <c r="A28" t="s">
        <v>26</v>
      </c>
      <c r="B28">
        <v>664</v>
      </c>
      <c r="C28" t="s">
        <v>88</v>
      </c>
      <c r="D28">
        <v>12</v>
      </c>
    </row>
    <row r="29" spans="1:4" x14ac:dyDescent="0.35">
      <c r="A29" t="s">
        <v>27</v>
      </c>
      <c r="B29">
        <v>6757145</v>
      </c>
      <c r="C29" t="s">
        <v>100</v>
      </c>
      <c r="D29">
        <v>17</v>
      </c>
    </row>
    <row r="30" spans="1:4" x14ac:dyDescent="0.35">
      <c r="A30" t="s">
        <v>28</v>
      </c>
      <c r="B30">
        <v>9</v>
      </c>
      <c r="C30" t="s">
        <v>100</v>
      </c>
      <c r="D30">
        <v>17</v>
      </c>
    </row>
    <row r="31" spans="1:4" x14ac:dyDescent="0.35">
      <c r="A31" t="s">
        <v>29</v>
      </c>
      <c r="B31">
        <v>8706</v>
      </c>
      <c r="C31" t="s">
        <v>95</v>
      </c>
      <c r="D31">
        <v>2</v>
      </c>
    </row>
    <row r="32" spans="1:4" x14ac:dyDescent="0.35">
      <c r="A32" t="s">
        <v>30</v>
      </c>
      <c r="B32">
        <v>9771</v>
      </c>
      <c r="C32" t="s">
        <v>96</v>
      </c>
      <c r="D32">
        <v>20</v>
      </c>
    </row>
    <row r="33" spans="1:4" x14ac:dyDescent="0.35">
      <c r="A33" t="s">
        <v>31</v>
      </c>
      <c r="B33">
        <v>0</v>
      </c>
      <c r="C33" t="s">
        <v>101</v>
      </c>
      <c r="D33">
        <v>23</v>
      </c>
    </row>
    <row r="34" spans="1:4" x14ac:dyDescent="0.35">
      <c r="A34" t="s">
        <v>32</v>
      </c>
      <c r="B34">
        <v>0</v>
      </c>
      <c r="C34" t="s">
        <v>102</v>
      </c>
      <c r="D34">
        <v>27</v>
      </c>
    </row>
    <row r="35" spans="1:4" x14ac:dyDescent="0.35">
      <c r="A35" t="s">
        <v>33</v>
      </c>
      <c r="B35">
        <v>0</v>
      </c>
      <c r="C35" t="s">
        <v>86</v>
      </c>
      <c r="D35">
        <v>22</v>
      </c>
    </row>
    <row r="36" spans="1:4" x14ac:dyDescent="0.35">
      <c r="A36" t="s">
        <v>34</v>
      </c>
      <c r="B36">
        <v>0</v>
      </c>
      <c r="C36" t="s">
        <v>86</v>
      </c>
      <c r="D36">
        <v>22</v>
      </c>
    </row>
    <row r="37" spans="1:4" x14ac:dyDescent="0.35">
      <c r="A37" t="s">
        <v>35</v>
      </c>
      <c r="B37">
        <v>17</v>
      </c>
      <c r="C37" t="s">
        <v>99</v>
      </c>
      <c r="D37">
        <v>8</v>
      </c>
    </row>
    <row r="38" spans="1:4" x14ac:dyDescent="0.35">
      <c r="A38" t="s">
        <v>36</v>
      </c>
      <c r="B38">
        <v>0</v>
      </c>
      <c r="C38" t="s">
        <v>87</v>
      </c>
      <c r="D38">
        <v>6</v>
      </c>
    </row>
    <row r="39" spans="1:4" x14ac:dyDescent="0.35">
      <c r="A39" t="s">
        <v>37</v>
      </c>
      <c r="B39">
        <v>0</v>
      </c>
      <c r="C39" t="s">
        <v>87</v>
      </c>
      <c r="D39">
        <v>6</v>
      </c>
    </row>
    <row r="40" spans="1:4" x14ac:dyDescent="0.35">
      <c r="A40" t="s">
        <v>38</v>
      </c>
      <c r="B40">
        <v>0</v>
      </c>
      <c r="C40" t="s">
        <v>87</v>
      </c>
      <c r="D40">
        <v>6</v>
      </c>
    </row>
    <row r="41" spans="1:4" x14ac:dyDescent="0.35">
      <c r="A41" t="s">
        <v>39</v>
      </c>
      <c r="B41">
        <v>0</v>
      </c>
      <c r="C41" t="s">
        <v>87</v>
      </c>
      <c r="D41">
        <v>6</v>
      </c>
    </row>
    <row r="42" spans="1:4" x14ac:dyDescent="0.35">
      <c r="A42" t="s">
        <v>40</v>
      </c>
      <c r="B42">
        <v>6673676</v>
      </c>
      <c r="C42" t="s">
        <v>100</v>
      </c>
      <c r="D42">
        <v>17</v>
      </c>
    </row>
    <row r="43" spans="1:4" x14ac:dyDescent="0.35">
      <c r="A43" t="s">
        <v>41</v>
      </c>
      <c r="B43">
        <v>542088</v>
      </c>
      <c r="C43" t="s">
        <v>93</v>
      </c>
      <c r="D43">
        <v>18</v>
      </c>
    </row>
    <row r="44" spans="1:4" x14ac:dyDescent="0.35">
      <c r="A44" t="s">
        <v>42</v>
      </c>
      <c r="B44">
        <v>10125</v>
      </c>
      <c r="C44" t="s">
        <v>96</v>
      </c>
      <c r="D44">
        <v>20</v>
      </c>
    </row>
    <row r="45" spans="1:4" x14ac:dyDescent="0.35">
      <c r="A45" t="s">
        <v>43</v>
      </c>
      <c r="B45">
        <v>5664102</v>
      </c>
      <c r="C45" t="s">
        <v>103</v>
      </c>
      <c r="D45">
        <v>9</v>
      </c>
    </row>
    <row r="46" spans="1:4" x14ac:dyDescent="0.35">
      <c r="A46" t="s">
        <v>44</v>
      </c>
      <c r="B46">
        <v>2</v>
      </c>
      <c r="C46" t="s">
        <v>104</v>
      </c>
      <c r="D46">
        <v>21</v>
      </c>
    </row>
    <row r="47" spans="1:4" x14ac:dyDescent="0.35">
      <c r="A47" t="s">
        <v>45</v>
      </c>
      <c r="B47">
        <v>0</v>
      </c>
      <c r="C47" t="s">
        <v>102</v>
      </c>
      <c r="D47">
        <v>27</v>
      </c>
    </row>
    <row r="48" spans="1:4" x14ac:dyDescent="0.35">
      <c r="A48" t="s">
        <v>46</v>
      </c>
      <c r="B48">
        <v>0</v>
      </c>
      <c r="C48" t="s">
        <v>102</v>
      </c>
      <c r="D48">
        <v>27</v>
      </c>
    </row>
    <row r="49" spans="1:4" x14ac:dyDescent="0.35">
      <c r="A49" t="s">
        <v>47</v>
      </c>
      <c r="B49">
        <v>0</v>
      </c>
      <c r="C49" t="s">
        <v>92</v>
      </c>
      <c r="D49">
        <v>28</v>
      </c>
    </row>
    <row r="50" spans="1:4" x14ac:dyDescent="0.35">
      <c r="A50" t="s">
        <v>48</v>
      </c>
      <c r="B50">
        <v>0</v>
      </c>
      <c r="C50" t="s">
        <v>86</v>
      </c>
      <c r="D50">
        <v>22</v>
      </c>
    </row>
    <row r="51" spans="1:4" x14ac:dyDescent="0.35">
      <c r="A51" t="s">
        <v>49</v>
      </c>
      <c r="B51">
        <v>0</v>
      </c>
      <c r="C51" t="s">
        <v>86</v>
      </c>
      <c r="D51">
        <v>22</v>
      </c>
    </row>
    <row r="52" spans="1:4" x14ac:dyDescent="0.35">
      <c r="A52" t="s">
        <v>50</v>
      </c>
      <c r="B52">
        <v>0</v>
      </c>
      <c r="C52" t="s">
        <v>87</v>
      </c>
      <c r="D52">
        <v>6</v>
      </c>
    </row>
    <row r="53" spans="1:4" x14ac:dyDescent="0.35">
      <c r="A53" t="s">
        <v>51</v>
      </c>
      <c r="B53">
        <v>0</v>
      </c>
      <c r="C53" t="s">
        <v>87</v>
      </c>
      <c r="D53">
        <v>6</v>
      </c>
    </row>
    <row r="54" spans="1:4" x14ac:dyDescent="0.35">
      <c r="A54" t="s">
        <v>52</v>
      </c>
      <c r="B54">
        <v>0</v>
      </c>
      <c r="C54" t="s">
        <v>89</v>
      </c>
      <c r="D54">
        <v>13</v>
      </c>
    </row>
    <row r="55" spans="1:4" x14ac:dyDescent="0.35">
      <c r="A55" t="s">
        <v>53</v>
      </c>
      <c r="B55">
        <v>0</v>
      </c>
      <c r="C55" t="s">
        <v>90</v>
      </c>
      <c r="D55">
        <v>16</v>
      </c>
    </row>
    <row r="56" spans="1:4" x14ac:dyDescent="0.35">
      <c r="A56" t="s">
        <v>54</v>
      </c>
      <c r="B56">
        <v>2328246</v>
      </c>
      <c r="C56" t="s">
        <v>105</v>
      </c>
      <c r="D56">
        <v>10</v>
      </c>
    </row>
    <row r="57" spans="1:4" x14ac:dyDescent="0.35">
      <c r="A57" t="s">
        <v>55</v>
      </c>
      <c r="B57">
        <v>1932723</v>
      </c>
      <c r="C57" t="s">
        <v>91</v>
      </c>
      <c r="D57">
        <v>3</v>
      </c>
    </row>
    <row r="58" spans="1:4" x14ac:dyDescent="0.35">
      <c r="A58" t="s">
        <v>56</v>
      </c>
      <c r="B58">
        <v>0</v>
      </c>
      <c r="C58" t="s">
        <v>101</v>
      </c>
      <c r="D58">
        <v>23</v>
      </c>
    </row>
    <row r="59" spans="1:4" x14ac:dyDescent="0.35">
      <c r="A59" t="s">
        <v>57</v>
      </c>
      <c r="B59">
        <v>0</v>
      </c>
      <c r="C59" t="s">
        <v>101</v>
      </c>
      <c r="D59">
        <v>23</v>
      </c>
    </row>
    <row r="60" spans="1:4" x14ac:dyDescent="0.35">
      <c r="A60" t="s">
        <v>58</v>
      </c>
      <c r="B60">
        <v>0</v>
      </c>
      <c r="C60" t="s">
        <v>106</v>
      </c>
      <c r="D60">
        <v>24</v>
      </c>
    </row>
    <row r="61" spans="1:4" x14ac:dyDescent="0.35">
      <c r="A61" t="s">
        <v>59</v>
      </c>
      <c r="B61">
        <v>0</v>
      </c>
      <c r="C61" t="s">
        <v>107</v>
      </c>
      <c r="D61">
        <v>19</v>
      </c>
    </row>
    <row r="62" spans="1:4" x14ac:dyDescent="0.35">
      <c r="A62" t="s">
        <v>60</v>
      </c>
      <c r="B62">
        <v>0</v>
      </c>
      <c r="C62" t="s">
        <v>85</v>
      </c>
      <c r="D62">
        <v>26</v>
      </c>
    </row>
    <row r="63" spans="1:4" x14ac:dyDescent="0.35">
      <c r="A63" t="s">
        <v>61</v>
      </c>
      <c r="B63">
        <v>0</v>
      </c>
      <c r="C63" t="s">
        <v>86</v>
      </c>
      <c r="D63">
        <v>22</v>
      </c>
    </row>
    <row r="64" spans="1:4" x14ac:dyDescent="0.35">
      <c r="A64" t="s">
        <v>62</v>
      </c>
      <c r="B64">
        <v>0</v>
      </c>
      <c r="C64" t="s">
        <v>86</v>
      </c>
      <c r="D64">
        <v>22</v>
      </c>
    </row>
    <row r="65" spans="1:4" x14ac:dyDescent="0.35">
      <c r="A65" t="s">
        <v>63</v>
      </c>
      <c r="B65">
        <v>0</v>
      </c>
      <c r="C65" t="s">
        <v>86</v>
      </c>
      <c r="D65">
        <v>22</v>
      </c>
    </row>
    <row r="66" spans="1:4" x14ac:dyDescent="0.35">
      <c r="A66" t="s">
        <v>64</v>
      </c>
      <c r="B66">
        <v>2</v>
      </c>
      <c r="C66" t="s">
        <v>99</v>
      </c>
      <c r="D66">
        <v>8</v>
      </c>
    </row>
    <row r="67" spans="1:4" x14ac:dyDescent="0.35">
      <c r="A67" t="s">
        <v>65</v>
      </c>
      <c r="B67">
        <v>10695168</v>
      </c>
      <c r="C67" t="s">
        <v>100</v>
      </c>
      <c r="D67">
        <v>17</v>
      </c>
    </row>
    <row r="68" spans="1:4" x14ac:dyDescent="0.35">
      <c r="A68" t="s">
        <v>66</v>
      </c>
      <c r="B68">
        <v>18577010</v>
      </c>
      <c r="C68" t="s">
        <v>108</v>
      </c>
      <c r="D68">
        <v>4</v>
      </c>
    </row>
    <row r="69" spans="1:4" x14ac:dyDescent="0.35">
      <c r="A69" t="s">
        <v>67</v>
      </c>
      <c r="B69">
        <v>18178</v>
      </c>
      <c r="C69" t="s">
        <v>96</v>
      </c>
      <c r="D69">
        <v>20</v>
      </c>
    </row>
    <row r="70" spans="1:4" x14ac:dyDescent="0.35">
      <c r="A70" t="s">
        <v>68</v>
      </c>
      <c r="B70">
        <v>0</v>
      </c>
      <c r="C70" t="s">
        <v>101</v>
      </c>
      <c r="D70">
        <v>23</v>
      </c>
    </row>
    <row r="71" spans="1:4" x14ac:dyDescent="0.35">
      <c r="A71" t="s">
        <v>69</v>
      </c>
      <c r="B71">
        <v>0</v>
      </c>
      <c r="C71" t="s">
        <v>109</v>
      </c>
      <c r="D71">
        <v>5</v>
      </c>
    </row>
    <row r="72" spans="1:4" x14ac:dyDescent="0.35">
      <c r="A72" t="s">
        <v>70</v>
      </c>
      <c r="B72">
        <v>4</v>
      </c>
      <c r="C72" t="s">
        <v>104</v>
      </c>
      <c r="D72">
        <v>21</v>
      </c>
    </row>
    <row r="73" spans="1:4" x14ac:dyDescent="0.35">
      <c r="A73" t="s">
        <v>71</v>
      </c>
      <c r="B73">
        <v>0</v>
      </c>
      <c r="C73" t="s">
        <v>102</v>
      </c>
      <c r="D73">
        <v>27</v>
      </c>
    </row>
    <row r="74" spans="1:4" x14ac:dyDescent="0.35">
      <c r="A74" t="s">
        <v>72</v>
      </c>
      <c r="B74">
        <v>0</v>
      </c>
      <c r="C74" t="s">
        <v>102</v>
      </c>
      <c r="D74">
        <v>27</v>
      </c>
    </row>
    <row r="75" spans="1:4" x14ac:dyDescent="0.35">
      <c r="A75" t="s">
        <v>73</v>
      </c>
      <c r="B75">
        <v>0</v>
      </c>
      <c r="C75" t="s">
        <v>92</v>
      </c>
      <c r="D75">
        <v>28</v>
      </c>
    </row>
    <row r="76" spans="1:4" x14ac:dyDescent="0.35">
      <c r="A76" t="s">
        <v>74</v>
      </c>
      <c r="B76">
        <v>14</v>
      </c>
      <c r="C76" t="s">
        <v>98</v>
      </c>
      <c r="D76">
        <v>7</v>
      </c>
    </row>
    <row r="77" spans="1:4" x14ac:dyDescent="0.35">
      <c r="A77" t="s">
        <v>75</v>
      </c>
      <c r="B77">
        <v>61</v>
      </c>
      <c r="C77" t="s">
        <v>110</v>
      </c>
      <c r="D77">
        <v>14</v>
      </c>
    </row>
    <row r="78" spans="1:4" x14ac:dyDescent="0.35">
      <c r="A78" t="s">
        <v>76</v>
      </c>
      <c r="B78">
        <v>0</v>
      </c>
      <c r="C78" t="s">
        <v>111</v>
      </c>
      <c r="D78">
        <v>15</v>
      </c>
    </row>
    <row r="79" spans="1:4" x14ac:dyDescent="0.35">
      <c r="A79" t="s">
        <v>77</v>
      </c>
      <c r="B79">
        <v>0</v>
      </c>
      <c r="C79" t="s">
        <v>101</v>
      </c>
      <c r="D79">
        <v>23</v>
      </c>
    </row>
    <row r="80" spans="1:4" x14ac:dyDescent="0.35">
      <c r="A80" t="s">
        <v>78</v>
      </c>
      <c r="B80">
        <v>0</v>
      </c>
      <c r="C80" t="s">
        <v>104</v>
      </c>
      <c r="D80">
        <v>21</v>
      </c>
    </row>
    <row r="81" spans="1:4" x14ac:dyDescent="0.35">
      <c r="A81" t="s">
        <v>79</v>
      </c>
      <c r="B81">
        <v>0</v>
      </c>
      <c r="C81" t="s">
        <v>102</v>
      </c>
      <c r="D81">
        <v>27</v>
      </c>
    </row>
    <row r="82" spans="1:4" x14ac:dyDescent="0.35">
      <c r="A82" t="s">
        <v>80</v>
      </c>
      <c r="B82">
        <v>0</v>
      </c>
      <c r="C82" t="s">
        <v>102</v>
      </c>
      <c r="D82">
        <v>27</v>
      </c>
    </row>
    <row r="83" spans="1:4" x14ac:dyDescent="0.35">
      <c r="A83" t="s">
        <v>81</v>
      </c>
      <c r="B83">
        <v>0</v>
      </c>
      <c r="C83" t="s">
        <v>86</v>
      </c>
      <c r="D83">
        <v>22</v>
      </c>
    </row>
    <row r="84" spans="1:4" x14ac:dyDescent="0.35">
      <c r="A84" t="s">
        <v>82</v>
      </c>
      <c r="B84">
        <v>1733</v>
      </c>
      <c r="C84" t="s">
        <v>112</v>
      </c>
      <c r="D84">
        <v>11</v>
      </c>
    </row>
    <row r="85" spans="1:4" x14ac:dyDescent="0.35">
      <c r="A85" t="s">
        <v>83</v>
      </c>
      <c r="B85">
        <v>1932752</v>
      </c>
      <c r="C85" t="s">
        <v>91</v>
      </c>
      <c r="D85">
        <v>3</v>
      </c>
    </row>
    <row r="86" spans="1:4" x14ac:dyDescent="0.35">
      <c r="A86" t="s">
        <v>84</v>
      </c>
      <c r="B86">
        <v>0</v>
      </c>
      <c r="C86" t="s">
        <v>101</v>
      </c>
      <c r="D86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667E-271F-4D4C-A1FD-84FA8FB3C703}">
  <dimension ref="A1:F88"/>
  <sheetViews>
    <sheetView workbookViewId="0">
      <selection activeCell="E14" sqref="E14"/>
    </sheetView>
  </sheetViews>
  <sheetFormatPr defaultRowHeight="14.5" x14ac:dyDescent="0.35"/>
  <cols>
    <col min="1" max="1" width="21.36328125" style="3" bestFit="1" customWidth="1"/>
    <col min="2" max="2" width="12.08984375" style="3" bestFit="1" customWidth="1"/>
    <col min="3" max="3" width="8.7265625" style="3"/>
    <col min="4" max="4" width="14.36328125" style="3" bestFit="1" customWidth="1"/>
    <col min="5" max="5" width="8.7265625" style="3"/>
    <col min="6" max="6" width="14" style="3" bestFit="1" customWidth="1"/>
    <col min="7" max="16384" width="8.7265625" style="3"/>
  </cols>
  <sheetData>
    <row r="1" spans="1:6" s="5" customFormat="1" x14ac:dyDescent="0.35">
      <c r="A1" s="5" t="s">
        <v>123</v>
      </c>
      <c r="B1" s="5" t="s">
        <v>124</v>
      </c>
      <c r="D1" s="5" t="s">
        <v>121</v>
      </c>
      <c r="F1" s="5" t="s">
        <v>122</v>
      </c>
    </row>
    <row r="2" spans="1:6" x14ac:dyDescent="0.35">
      <c r="A2" s="4" t="s">
        <v>79</v>
      </c>
      <c r="B2" s="3">
        <v>0</v>
      </c>
      <c r="D2" s="3">
        <f>IF(COUNTIF(Sheet4!A:A,A2)&gt;0,VLOOKUP(A2,Sheet4!A:B,2,FALSE),"Not Found")</f>
        <v>0</v>
      </c>
      <c r="F2" s="3" t="str">
        <f>IF(B2=D2,"Matching","Mis Match")</f>
        <v>Matching</v>
      </c>
    </row>
    <row r="3" spans="1:6" x14ac:dyDescent="0.35">
      <c r="A3" s="4" t="s">
        <v>45</v>
      </c>
      <c r="B3" s="3">
        <v>0</v>
      </c>
      <c r="D3" s="3">
        <f>IF(COUNTIF(Sheet4!A:A,A3)&gt;0,VLOOKUP(A3,Sheet4!A:B,2,FALSE),"Not Found")</f>
        <v>0</v>
      </c>
      <c r="F3" s="3" t="str">
        <f t="shared" ref="F3:F66" si="0">IF(B3=D3,"Matching","Mis Match")</f>
        <v>Matching</v>
      </c>
    </row>
    <row r="4" spans="1:6" x14ac:dyDescent="0.35">
      <c r="A4" s="4" t="s">
        <v>26</v>
      </c>
      <c r="B4" s="3">
        <v>664</v>
      </c>
      <c r="D4" s="3">
        <f>IF(COUNTIF(Sheet4!A:A,A4)&gt;0,VLOOKUP(A4,Sheet4!A:B,2,FALSE),"Not Found")</f>
        <v>664</v>
      </c>
      <c r="F4" s="3" t="str">
        <f t="shared" si="0"/>
        <v>Matching</v>
      </c>
    </row>
    <row r="5" spans="1:6" x14ac:dyDescent="0.35">
      <c r="A5" s="4" t="s">
        <v>29</v>
      </c>
      <c r="B5" s="3">
        <v>8706</v>
      </c>
      <c r="D5" s="3">
        <f>IF(COUNTIF(Sheet4!A:A,A5)&gt;0,VLOOKUP(A5,Sheet4!A:B,2,FALSE),"Not Found")</f>
        <v>8706</v>
      </c>
      <c r="F5" s="3" t="str">
        <f t="shared" si="0"/>
        <v>Matching</v>
      </c>
    </row>
    <row r="6" spans="1:6" x14ac:dyDescent="0.35">
      <c r="A6" s="4" t="s">
        <v>83</v>
      </c>
      <c r="B6" s="3">
        <v>1932752</v>
      </c>
      <c r="D6" s="3">
        <f>IF(COUNTIF(Sheet4!A:A,A6)&gt;0,VLOOKUP(A6,Sheet4!A:B,2,FALSE),"Not Found")</f>
        <v>1932752</v>
      </c>
      <c r="F6" s="3" t="str">
        <f t="shared" si="0"/>
        <v>Matching</v>
      </c>
    </row>
    <row r="7" spans="1:6" x14ac:dyDescent="0.35">
      <c r="A7" s="4" t="s">
        <v>43</v>
      </c>
      <c r="B7" s="3">
        <v>5664102</v>
      </c>
      <c r="D7" s="3">
        <f>IF(COUNTIF(Sheet4!A:A,A7)&gt;0,VLOOKUP(A7,Sheet4!A:B,2,FALSE),"Not Found")</f>
        <v>5664102</v>
      </c>
      <c r="F7" s="3" t="str">
        <f t="shared" si="0"/>
        <v>Matching</v>
      </c>
    </row>
    <row r="8" spans="1:6" x14ac:dyDescent="0.35">
      <c r="A8" s="4" t="s">
        <v>5</v>
      </c>
      <c r="B8" s="3">
        <v>3490352</v>
      </c>
      <c r="D8" s="3">
        <f>IF(COUNTIF(Sheet4!A:A,A8)&gt;0,VLOOKUP(A8,Sheet4!A:B,2,FALSE),"Not Found")</f>
        <v>3490352</v>
      </c>
      <c r="F8" s="3" t="str">
        <f t="shared" si="0"/>
        <v>Matching</v>
      </c>
    </row>
    <row r="9" spans="1:6" x14ac:dyDescent="0.35">
      <c r="A9" s="4" t="s">
        <v>21</v>
      </c>
      <c r="B9" s="3">
        <v>17823</v>
      </c>
      <c r="D9" s="3">
        <f>IF(COUNTIF(Sheet4!A:A,A9)&gt;0,VLOOKUP(A9,Sheet4!A:B,2,FALSE),"Not Found")</f>
        <v>17823</v>
      </c>
      <c r="F9" s="3" t="str">
        <f t="shared" si="0"/>
        <v>Matching</v>
      </c>
    </row>
    <row r="10" spans="1:6" x14ac:dyDescent="0.35">
      <c r="A10" s="4" t="s">
        <v>32</v>
      </c>
      <c r="B10" s="3">
        <v>0</v>
      </c>
      <c r="D10" s="3">
        <f>IF(COUNTIF(Sheet4!A:A,A10)&gt;0,VLOOKUP(A10,Sheet4!A:B,2,FALSE),"Not Found")</f>
        <v>0</v>
      </c>
      <c r="F10" s="3" t="str">
        <f t="shared" si="0"/>
        <v>Matching</v>
      </c>
    </row>
    <row r="11" spans="1:6" x14ac:dyDescent="0.35">
      <c r="A11" s="4" t="s">
        <v>71</v>
      </c>
      <c r="B11" s="3">
        <v>0</v>
      </c>
      <c r="D11" s="3">
        <f>IF(COUNTIF(Sheet4!A:A,A11)&gt;0,VLOOKUP(A11,Sheet4!A:B,2,FALSE),"Not Found")</f>
        <v>0</v>
      </c>
      <c r="F11" s="3" t="str">
        <f t="shared" si="0"/>
        <v>Matching</v>
      </c>
    </row>
    <row r="12" spans="1:6" x14ac:dyDescent="0.35">
      <c r="A12" s="4" t="s">
        <v>72</v>
      </c>
      <c r="B12" s="3">
        <v>0</v>
      </c>
      <c r="D12" s="3">
        <f>IF(COUNTIF(Sheet4!A:A,A12)&gt;0,VLOOKUP(A12,Sheet4!A:B,2,FALSE),"Not Found")</f>
        <v>0</v>
      </c>
      <c r="F12" s="3" t="str">
        <f t="shared" si="0"/>
        <v>Matching</v>
      </c>
    </row>
    <row r="13" spans="1:6" x14ac:dyDescent="0.35">
      <c r="A13" s="4" t="s">
        <v>23</v>
      </c>
      <c r="B13" s="3">
        <v>0</v>
      </c>
      <c r="D13" s="3">
        <f>IF(COUNTIF(Sheet4!A:A,A13)&gt;0,VLOOKUP(A13,Sheet4!A:B,2,FALSE),"Not Found")</f>
        <v>0</v>
      </c>
      <c r="F13" s="3" t="str">
        <f t="shared" si="0"/>
        <v>Matching</v>
      </c>
    </row>
    <row r="14" spans="1:6" x14ac:dyDescent="0.35">
      <c r="A14" s="4" t="s">
        <v>46</v>
      </c>
      <c r="B14" s="3">
        <v>0</v>
      </c>
      <c r="D14" s="3">
        <f>IF(COUNTIF(Sheet4!A:A,A14)&gt;0,VLOOKUP(A14,Sheet4!A:B,2,FALSE),"Not Found")</f>
        <v>0</v>
      </c>
      <c r="F14" s="3" t="str">
        <f t="shared" si="0"/>
        <v>Matching</v>
      </c>
    </row>
    <row r="15" spans="1:6" x14ac:dyDescent="0.35">
      <c r="A15" s="4" t="s">
        <v>20</v>
      </c>
      <c r="B15" s="3">
        <v>481505</v>
      </c>
      <c r="D15" s="3">
        <f>IF(COUNTIF(Sheet4!A:A,A15)&gt;0,VLOOKUP(A15,Sheet4!A:B,2,FALSE),"Not Found")</f>
        <v>481505</v>
      </c>
      <c r="F15" s="3" t="str">
        <f t="shared" si="0"/>
        <v>Matching</v>
      </c>
    </row>
    <row r="16" spans="1:6" x14ac:dyDescent="0.35">
      <c r="A16" s="4" t="s">
        <v>66</v>
      </c>
      <c r="B16" s="3">
        <v>18577010</v>
      </c>
      <c r="D16" s="3">
        <f>IF(COUNTIF(Sheet4!A:A,A16)&gt;0,VLOOKUP(A16,Sheet4!A:B,2,FALSE),"Not Found")</f>
        <v>1857701</v>
      </c>
      <c r="F16" s="3" t="str">
        <f t="shared" si="0"/>
        <v>Mis Match</v>
      </c>
    </row>
    <row r="17" spans="1:6" x14ac:dyDescent="0.35">
      <c r="A17" s="4" t="s">
        <v>65</v>
      </c>
      <c r="B17" s="3">
        <v>10695168</v>
      </c>
      <c r="D17" s="3">
        <f>IF(COUNTIF(Sheet4!A:A,A17)&gt;0,VLOOKUP(A17,Sheet4!A:B,2,FALSE),"Not Found")</f>
        <v>1069516</v>
      </c>
      <c r="F17" s="3" t="str">
        <f t="shared" si="0"/>
        <v>Mis Match</v>
      </c>
    </row>
    <row r="18" spans="1:6" x14ac:dyDescent="0.35">
      <c r="A18" s="4" t="s">
        <v>40</v>
      </c>
      <c r="B18" s="3">
        <v>6673676</v>
      </c>
      <c r="D18" s="3">
        <f>IF(COUNTIF(Sheet4!A:A,A18)&gt;0,VLOOKUP(A18,Sheet4!A:B,2,FALSE),"Not Found")</f>
        <v>6673676</v>
      </c>
      <c r="F18" s="3" t="str">
        <f t="shared" si="0"/>
        <v>Matching</v>
      </c>
    </row>
    <row r="19" spans="1:6" x14ac:dyDescent="0.35">
      <c r="A19" s="4" t="s">
        <v>27</v>
      </c>
      <c r="B19" s="3">
        <v>6757145</v>
      </c>
      <c r="D19" s="3">
        <f>IF(COUNTIF(Sheet4!A:A,A19)&gt;0,VLOOKUP(A19,Sheet4!A:B,2,FALSE),"Not Found")</f>
        <v>6757145</v>
      </c>
      <c r="F19" s="3" t="str">
        <f t="shared" si="0"/>
        <v>Matching</v>
      </c>
    </row>
    <row r="20" spans="1:6" x14ac:dyDescent="0.35">
      <c r="A20" s="4" t="s">
        <v>28</v>
      </c>
      <c r="B20" s="3">
        <v>9</v>
      </c>
      <c r="D20" s="3">
        <f>IF(COUNTIF(Sheet4!A:A,A20)&gt;0,VLOOKUP(A20,Sheet4!A:B,2,FALSE),"Not Found")</f>
        <v>9</v>
      </c>
      <c r="F20" s="3" t="str">
        <f t="shared" si="0"/>
        <v>Matching</v>
      </c>
    </row>
    <row r="21" spans="1:6" x14ac:dyDescent="0.35">
      <c r="A21" s="4" t="s">
        <v>41</v>
      </c>
      <c r="B21" s="3">
        <v>542088</v>
      </c>
      <c r="D21" s="3">
        <f>IF(COUNTIF(Sheet4!A:A,A21)&gt;0,VLOOKUP(A21,Sheet4!A:B,2,FALSE),"Not Found")</f>
        <v>542088</v>
      </c>
      <c r="F21" s="3" t="str">
        <f t="shared" si="0"/>
        <v>Matching</v>
      </c>
    </row>
    <row r="22" spans="1:6" x14ac:dyDescent="0.35">
      <c r="A22" s="4" t="s">
        <v>19</v>
      </c>
      <c r="B22" s="3">
        <v>9739782</v>
      </c>
      <c r="D22" s="3">
        <f>IF(COUNTIF(Sheet4!A:A,A22)&gt;0,VLOOKUP(A22,Sheet4!A:B,2,FALSE),"Not Found")</f>
        <v>9739782</v>
      </c>
      <c r="F22" s="3" t="str">
        <f t="shared" si="0"/>
        <v>Matching</v>
      </c>
    </row>
    <row r="23" spans="1:6" x14ac:dyDescent="0.35">
      <c r="A23" s="4" t="s">
        <v>44</v>
      </c>
      <c r="B23" s="3">
        <v>2</v>
      </c>
      <c r="D23" s="3">
        <f>IF(COUNTIF(Sheet4!A:A,A23)&gt;0,VLOOKUP(A23,Sheet4!A:B,2,FALSE),"Not Found")</f>
        <v>2</v>
      </c>
      <c r="F23" s="3" t="str">
        <f t="shared" si="0"/>
        <v>Matching</v>
      </c>
    </row>
    <row r="24" spans="1:6" x14ac:dyDescent="0.35">
      <c r="A24" s="4" t="s">
        <v>78</v>
      </c>
      <c r="B24" s="3">
        <v>0</v>
      </c>
      <c r="D24" s="3">
        <f>IF(COUNTIF(Sheet4!A:A,A24)&gt;0,VLOOKUP(A24,Sheet4!A:B,2,FALSE),"Not Found")</f>
        <v>0</v>
      </c>
      <c r="F24" s="3" t="str">
        <f t="shared" si="0"/>
        <v>Matching</v>
      </c>
    </row>
    <row r="25" spans="1:6" x14ac:dyDescent="0.35">
      <c r="A25" s="4" t="s">
        <v>70</v>
      </c>
      <c r="B25" s="3">
        <v>4</v>
      </c>
      <c r="D25" s="3">
        <f>IF(COUNTIF(Sheet4!A:A,A25)&gt;0,VLOOKUP(A25,Sheet4!A:B,2,FALSE),"Not Found")</f>
        <v>4</v>
      </c>
      <c r="F25" s="3" t="str">
        <f t="shared" si="0"/>
        <v>Matching</v>
      </c>
    </row>
    <row r="26" spans="1:6" x14ac:dyDescent="0.35">
      <c r="A26" s="4" t="s">
        <v>1</v>
      </c>
      <c r="B26" s="3">
        <v>0</v>
      </c>
      <c r="D26" s="3">
        <f>IF(COUNTIF(Sheet4!A:A,A26)&gt;0,VLOOKUP(A26,Sheet4!A:B,2,FALSE),"Not Found")</f>
        <v>0</v>
      </c>
      <c r="F26" s="3" t="str">
        <f t="shared" si="0"/>
        <v>Matching</v>
      </c>
    </row>
    <row r="27" spans="1:6" x14ac:dyDescent="0.35">
      <c r="A27" s="4" t="s">
        <v>14</v>
      </c>
      <c r="B27" s="3">
        <v>0</v>
      </c>
      <c r="D27" s="3">
        <f>IF(COUNTIF(Sheet4!A:A,A27)&gt;0,VLOOKUP(A27,Sheet4!A:B,2,FALSE),"Not Found")</f>
        <v>0</v>
      </c>
      <c r="F27" s="3" t="str">
        <f t="shared" si="0"/>
        <v>Matching</v>
      </c>
    </row>
    <row r="28" spans="1:6" x14ac:dyDescent="0.35">
      <c r="A28" s="4" t="s">
        <v>15</v>
      </c>
      <c r="B28" s="3">
        <v>0</v>
      </c>
      <c r="D28" s="3">
        <f>IF(COUNTIF(Sheet4!A:A,A28)&gt;0,VLOOKUP(A28,Sheet4!A:B,2,FALSE),"Not Found")</f>
        <v>0</v>
      </c>
      <c r="F28" s="3" t="str">
        <f t="shared" si="0"/>
        <v>Matching</v>
      </c>
    </row>
    <row r="29" spans="1:6" x14ac:dyDescent="0.35">
      <c r="A29" s="4" t="s">
        <v>4</v>
      </c>
      <c r="B29" s="3">
        <v>0</v>
      </c>
      <c r="D29" s="3">
        <f>IF(COUNTIF(Sheet4!A:A,A29)&gt;0,VLOOKUP(A29,Sheet4!A:B,2,FALSE),"Not Found")</f>
        <v>0</v>
      </c>
      <c r="F29" s="3" t="str">
        <f t="shared" si="0"/>
        <v>Matching</v>
      </c>
    </row>
    <row r="30" spans="1:6" x14ac:dyDescent="0.35">
      <c r="A30" s="4" t="s">
        <v>24</v>
      </c>
      <c r="B30" s="3">
        <v>42</v>
      </c>
      <c r="D30" s="3">
        <f>IF(COUNTIF(Sheet4!A:A,A30)&gt;0,VLOOKUP(A30,Sheet4!A:B,2,FALSE),"Not Found")</f>
        <v>42</v>
      </c>
      <c r="F30" s="3" t="str">
        <f t="shared" si="0"/>
        <v>Matching</v>
      </c>
    </row>
    <row r="31" spans="1:6" x14ac:dyDescent="0.35">
      <c r="A31" s="4" t="s">
        <v>74</v>
      </c>
      <c r="B31" s="3">
        <v>14</v>
      </c>
      <c r="D31" s="3">
        <f>IF(COUNTIF(Sheet4!A:A,A31)&gt;0,VLOOKUP(A31,Sheet4!A:B,2,FALSE),"Not Found")</f>
        <v>14</v>
      </c>
      <c r="F31" s="3" t="str">
        <f t="shared" si="0"/>
        <v>Matching</v>
      </c>
    </row>
    <row r="32" spans="1:6" x14ac:dyDescent="0.35">
      <c r="A32" s="4" t="s">
        <v>48</v>
      </c>
      <c r="B32" s="3">
        <v>0</v>
      </c>
      <c r="D32" s="3">
        <f>IF(COUNTIF(Sheet4!A:A,A32)&gt;0,VLOOKUP(A32,Sheet4!A:B,2,FALSE),"Not Found")</f>
        <v>0</v>
      </c>
      <c r="F32" s="3" t="str">
        <f t="shared" si="0"/>
        <v>Matching</v>
      </c>
    </row>
    <row r="33" spans="1:6" x14ac:dyDescent="0.35">
      <c r="A33" s="4" t="s">
        <v>61</v>
      </c>
      <c r="B33" s="3">
        <v>0</v>
      </c>
      <c r="D33" s="3">
        <f>IF(COUNTIF(Sheet4!A:A,A33)&gt;0,VLOOKUP(A33,Sheet4!A:B,2,FALSE),"Not Found")</f>
        <v>0</v>
      </c>
      <c r="F33" s="3" t="str">
        <f t="shared" si="0"/>
        <v>Matching</v>
      </c>
    </row>
    <row r="34" spans="1:6" x14ac:dyDescent="0.35">
      <c r="A34" s="4" t="s">
        <v>11</v>
      </c>
      <c r="B34" s="3">
        <v>0</v>
      </c>
      <c r="D34" s="3">
        <f>IF(COUNTIF(Sheet4!A:A,A34)&gt;0,VLOOKUP(A34,Sheet4!A:B,2,FALSE),"Not Found")</f>
        <v>0</v>
      </c>
      <c r="F34" s="3" t="str">
        <f t="shared" si="0"/>
        <v>Matching</v>
      </c>
    </row>
    <row r="35" spans="1:6" x14ac:dyDescent="0.35">
      <c r="A35" s="4" t="s">
        <v>62</v>
      </c>
      <c r="B35" s="3">
        <v>0</v>
      </c>
      <c r="D35" s="3">
        <f>IF(COUNTIF(Sheet4!A:A,A35)&gt;0,VLOOKUP(A35,Sheet4!A:B,2,FALSE),"Not Found")</f>
        <v>0</v>
      </c>
      <c r="F35" s="3" t="str">
        <f t="shared" si="0"/>
        <v>Matching</v>
      </c>
    </row>
    <row r="36" spans="1:6" x14ac:dyDescent="0.35">
      <c r="A36" s="4" t="s">
        <v>12</v>
      </c>
      <c r="B36" s="3">
        <v>0</v>
      </c>
      <c r="D36" s="3">
        <f>IF(COUNTIF(Sheet4!A:A,A36)&gt;0,VLOOKUP(A36,Sheet4!A:B,2,FALSE),"Not Found")</f>
        <v>0</v>
      </c>
      <c r="F36" s="3" t="str">
        <f t="shared" si="0"/>
        <v>Matching</v>
      </c>
    </row>
    <row r="37" spans="1:6" x14ac:dyDescent="0.35">
      <c r="A37" s="4" t="s">
        <v>10</v>
      </c>
      <c r="B37" s="3">
        <v>0</v>
      </c>
      <c r="D37" s="3">
        <f>IF(COUNTIF(Sheet4!A:A,A37)&gt;0,VLOOKUP(A37,Sheet4!A:B,2,FALSE),"Not Found")</f>
        <v>0</v>
      </c>
      <c r="F37" s="3" t="str">
        <f t="shared" si="0"/>
        <v>Matching</v>
      </c>
    </row>
    <row r="38" spans="1:6" x14ac:dyDescent="0.35">
      <c r="A38" s="4" t="s">
        <v>58</v>
      </c>
      <c r="B38" s="3">
        <v>0</v>
      </c>
      <c r="D38" s="3">
        <f>IF(COUNTIF(Sheet4!A:A,A38)&gt;0,VLOOKUP(A38,Sheet4!A:B,2,FALSE),"Not Found")</f>
        <v>0</v>
      </c>
      <c r="F38" s="3" t="str">
        <f t="shared" si="0"/>
        <v>Matching</v>
      </c>
    </row>
    <row r="39" spans="1:6" x14ac:dyDescent="0.35">
      <c r="A39" s="4" t="s">
        <v>52</v>
      </c>
      <c r="B39" s="3">
        <v>0</v>
      </c>
      <c r="D39" s="3">
        <f>IF(COUNTIF(Sheet4!A:A,A39)&gt;0,VLOOKUP(A39,Sheet4!A:B,2,FALSE),"Not Found")</f>
        <v>0</v>
      </c>
      <c r="F39" s="3" t="str">
        <f t="shared" si="0"/>
        <v>Matching</v>
      </c>
    </row>
    <row r="40" spans="1:6" x14ac:dyDescent="0.35">
      <c r="A40" s="4" t="s">
        <v>6</v>
      </c>
      <c r="B40" s="3">
        <v>0</v>
      </c>
      <c r="D40" s="3">
        <f>IF(COUNTIF(Sheet4!A:A,A40)&gt;0,VLOOKUP(A40,Sheet4!A:B,2,FALSE),"Not Found")</f>
        <v>0</v>
      </c>
      <c r="F40" s="3" t="str">
        <f t="shared" si="0"/>
        <v>Matching</v>
      </c>
    </row>
    <row r="41" spans="1:6" x14ac:dyDescent="0.35">
      <c r="A41" s="4" t="s">
        <v>3</v>
      </c>
      <c r="B41" s="3">
        <v>0</v>
      </c>
      <c r="D41" s="3">
        <f>IF(COUNTIF(Sheet4!A:A,A41)&gt;0,VLOOKUP(A41,Sheet4!A:B,2,FALSE),"Not Found")</f>
        <v>0</v>
      </c>
      <c r="F41" s="3" t="str">
        <f t="shared" si="0"/>
        <v>Matching</v>
      </c>
    </row>
    <row r="42" spans="1:6" x14ac:dyDescent="0.35">
      <c r="A42" s="4" t="s">
        <v>2</v>
      </c>
      <c r="B42" s="3">
        <v>0</v>
      </c>
      <c r="D42" s="3">
        <f>IF(COUNTIF(Sheet4!A:A,A42)&gt;0,VLOOKUP(A42,Sheet4!A:B,2,FALSE),"Not Found")</f>
        <v>0</v>
      </c>
      <c r="F42" s="3" t="str">
        <f t="shared" si="0"/>
        <v>Matching</v>
      </c>
    </row>
    <row r="43" spans="1:6" x14ac:dyDescent="0.35">
      <c r="A43" s="4" t="s">
        <v>33</v>
      </c>
      <c r="B43" s="3">
        <v>0</v>
      </c>
      <c r="D43" s="3">
        <f>IF(COUNTIF(Sheet4!A:A,A43)&gt;0,VLOOKUP(A43,Sheet4!A:B,2,FALSE),"Not Found")</f>
        <v>0</v>
      </c>
      <c r="F43" s="3" t="str">
        <f t="shared" si="0"/>
        <v>Matching</v>
      </c>
    </row>
    <row r="44" spans="1:6" x14ac:dyDescent="0.35">
      <c r="A44" s="4" t="s">
        <v>34</v>
      </c>
      <c r="B44" s="3">
        <v>0</v>
      </c>
      <c r="D44" s="3">
        <f>IF(COUNTIF(Sheet4!A:A,A44)&gt;0,VLOOKUP(A44,Sheet4!A:B,2,FALSE),"Not Found")</f>
        <v>0</v>
      </c>
      <c r="F44" s="3" t="str">
        <f t="shared" si="0"/>
        <v>Matching</v>
      </c>
    </row>
    <row r="45" spans="1:6" x14ac:dyDescent="0.35">
      <c r="A45" s="4" t="s">
        <v>7</v>
      </c>
      <c r="B45" s="3">
        <v>0</v>
      </c>
      <c r="D45" s="3">
        <f>IF(COUNTIF(Sheet4!A:A,A45)&gt;0,VLOOKUP(A45,Sheet4!A:B,2,FALSE),"Not Found")</f>
        <v>0</v>
      </c>
      <c r="F45" s="3" t="str">
        <f t="shared" si="0"/>
        <v>Matching</v>
      </c>
    </row>
    <row r="46" spans="1:6" x14ac:dyDescent="0.35">
      <c r="A46" s="4" t="s">
        <v>16</v>
      </c>
      <c r="B46" s="3">
        <v>0</v>
      </c>
      <c r="D46" s="3">
        <f>IF(COUNTIF(Sheet4!A:A,A46)&gt;0,VLOOKUP(A46,Sheet4!A:B,2,FALSE),"Not Found")</f>
        <v>0</v>
      </c>
      <c r="F46" s="3" t="str">
        <f t="shared" si="0"/>
        <v>Matching</v>
      </c>
    </row>
    <row r="47" spans="1:6" x14ac:dyDescent="0.35">
      <c r="A47" s="4" t="s">
        <v>36</v>
      </c>
      <c r="B47" s="3">
        <v>0</v>
      </c>
      <c r="D47" s="3">
        <f>IF(COUNTIF(Sheet4!A:A,A47)&gt;0,VLOOKUP(A47,Sheet4!A:B,2,FALSE),"Not Found")</f>
        <v>0</v>
      </c>
      <c r="F47" s="3" t="str">
        <f t="shared" si="0"/>
        <v>Matching</v>
      </c>
    </row>
    <row r="48" spans="1:6" x14ac:dyDescent="0.35">
      <c r="A48" s="4" t="s">
        <v>50</v>
      </c>
      <c r="B48" s="3">
        <v>0</v>
      </c>
      <c r="D48" s="3">
        <f>IF(COUNTIF(Sheet4!A:A,A48)&gt;0,VLOOKUP(A48,Sheet4!A:B,2,FALSE),"Not Found")</f>
        <v>0</v>
      </c>
      <c r="F48" s="3" t="str">
        <f t="shared" si="0"/>
        <v>Matching</v>
      </c>
    </row>
    <row r="49" spans="1:6" x14ac:dyDescent="0.35">
      <c r="A49" s="4" t="s">
        <v>17</v>
      </c>
      <c r="B49" s="3">
        <v>0</v>
      </c>
      <c r="D49" s="3">
        <f>IF(COUNTIF(Sheet4!A:A,A49)&gt;0,VLOOKUP(A49,Sheet4!A:B,2,FALSE),"Not Found")</f>
        <v>0</v>
      </c>
      <c r="F49" s="3" t="str">
        <f t="shared" si="0"/>
        <v>Matching</v>
      </c>
    </row>
    <row r="50" spans="1:6" x14ac:dyDescent="0.35">
      <c r="A50" s="4" t="s">
        <v>37</v>
      </c>
      <c r="B50" s="3">
        <v>0</v>
      </c>
      <c r="D50" s="3">
        <f>IF(COUNTIF(Sheet4!A:A,A50)&gt;0,VLOOKUP(A50,Sheet4!A:B,2,FALSE),"Not Found")</f>
        <v>0</v>
      </c>
      <c r="F50" s="3" t="str">
        <f t="shared" si="0"/>
        <v>Matching</v>
      </c>
    </row>
    <row r="51" spans="1:6" x14ac:dyDescent="0.35">
      <c r="A51" s="4" t="s">
        <v>51</v>
      </c>
      <c r="B51" s="3">
        <v>0</v>
      </c>
      <c r="D51" s="3">
        <f>IF(COUNTIF(Sheet4!A:A,A51)&gt;0,VLOOKUP(A51,Sheet4!A:B,2,FALSE),"Not Found")</f>
        <v>0</v>
      </c>
      <c r="F51" s="3" t="str">
        <f t="shared" si="0"/>
        <v>Matching</v>
      </c>
    </row>
    <row r="52" spans="1:6" x14ac:dyDescent="0.35">
      <c r="A52" s="4" t="s">
        <v>38</v>
      </c>
      <c r="B52" s="3">
        <v>0</v>
      </c>
      <c r="D52" s="3">
        <f>IF(COUNTIF(Sheet4!A:A,A52)&gt;0,VLOOKUP(A52,Sheet4!A:B,2,FALSE),"Not Found")</f>
        <v>0</v>
      </c>
      <c r="F52" s="3" t="str">
        <f t="shared" si="0"/>
        <v>Matching</v>
      </c>
    </row>
    <row r="53" spans="1:6" x14ac:dyDescent="0.35">
      <c r="A53" s="4" t="s">
        <v>39</v>
      </c>
      <c r="B53" s="3">
        <v>0</v>
      </c>
      <c r="D53" s="3">
        <f>IF(COUNTIF(Sheet4!A:A,A53)&gt;0,VLOOKUP(A53,Sheet4!A:B,2,FALSE),"Not Found")</f>
        <v>0</v>
      </c>
      <c r="F53" s="3" t="str">
        <f t="shared" si="0"/>
        <v>Matching</v>
      </c>
    </row>
    <row r="54" spans="1:6" x14ac:dyDescent="0.35">
      <c r="A54" s="4" t="s">
        <v>30</v>
      </c>
      <c r="B54" s="3">
        <v>9771</v>
      </c>
      <c r="D54" s="3">
        <f>IF(COUNTIF(Sheet4!A:A,A54)&gt;0,VLOOKUP(A54,Sheet4!A:B,2,FALSE),"Not Found")</f>
        <v>9771</v>
      </c>
      <c r="F54" s="3" t="str">
        <f t="shared" si="0"/>
        <v>Matching</v>
      </c>
    </row>
    <row r="55" spans="1:6" x14ac:dyDescent="0.35">
      <c r="A55" s="4" t="s">
        <v>42</v>
      </c>
      <c r="B55" s="3">
        <v>10125</v>
      </c>
      <c r="D55" s="3">
        <f>IF(COUNTIF(Sheet4!A:A,A55)&gt;0,VLOOKUP(A55,Sheet4!A:B,2,FALSE),"Not Found")</f>
        <v>10125</v>
      </c>
      <c r="F55" s="3" t="str">
        <f t="shared" si="0"/>
        <v>Matching</v>
      </c>
    </row>
    <row r="56" spans="1:6" x14ac:dyDescent="0.35">
      <c r="A56" s="4" t="s">
        <v>67</v>
      </c>
      <c r="B56" s="3">
        <v>18178</v>
      </c>
      <c r="D56" s="3">
        <f>IF(COUNTIF(Sheet4!A:A,A56)&gt;0,VLOOKUP(A56,Sheet4!A:B,2,FALSE),"Not Found")</f>
        <v>18178</v>
      </c>
      <c r="F56" s="3" t="str">
        <f t="shared" si="0"/>
        <v>Matching</v>
      </c>
    </row>
    <row r="57" spans="1:6" x14ac:dyDescent="0.35">
      <c r="A57" s="4" t="s">
        <v>22</v>
      </c>
      <c r="B57" s="3">
        <v>8919</v>
      </c>
      <c r="D57" s="3">
        <f>IF(COUNTIF(Sheet4!A:A,A57)&gt;0,VLOOKUP(A57,Sheet4!A:B,2,FALSE),"Not Found")</f>
        <v>8919</v>
      </c>
      <c r="F57" s="3" t="str">
        <f t="shared" si="0"/>
        <v>Matching</v>
      </c>
    </row>
    <row r="58" spans="1:6" x14ac:dyDescent="0.35">
      <c r="A58" s="4" t="s">
        <v>49</v>
      </c>
      <c r="B58" s="3">
        <v>0</v>
      </c>
      <c r="D58" s="3">
        <f>IF(COUNTIF(Sheet4!A:A,A58)&gt;0,VLOOKUP(A58,Sheet4!A:B,2,FALSE),"Not Found")</f>
        <v>0</v>
      </c>
      <c r="F58" s="3" t="str">
        <f t="shared" si="0"/>
        <v>Matching</v>
      </c>
    </row>
    <row r="59" spans="1:6" x14ac:dyDescent="0.35">
      <c r="A59" s="4" t="s">
        <v>13</v>
      </c>
      <c r="B59" s="3">
        <v>0</v>
      </c>
      <c r="D59" s="3">
        <f>IF(COUNTIF(Sheet4!A:A,A59)&gt;0,VLOOKUP(A59,Sheet4!A:B,2,FALSE),"Not Found")</f>
        <v>0</v>
      </c>
      <c r="F59" s="3" t="str">
        <f t="shared" si="0"/>
        <v>Matching</v>
      </c>
    </row>
    <row r="60" spans="1:6" x14ac:dyDescent="0.35">
      <c r="A60" s="4" t="s">
        <v>84</v>
      </c>
      <c r="B60" s="3">
        <v>0</v>
      </c>
      <c r="D60" s="3">
        <f>IF(COUNTIF(Sheet4!A:A,A60)&gt;0,VLOOKUP(A60,Sheet4!A:B,2,FALSE),"Not Found")</f>
        <v>0</v>
      </c>
      <c r="F60" s="3" t="str">
        <f t="shared" si="0"/>
        <v>Matching</v>
      </c>
    </row>
    <row r="61" spans="1:6" x14ac:dyDescent="0.35">
      <c r="A61" s="4" t="s">
        <v>68</v>
      </c>
      <c r="B61" s="3">
        <v>0</v>
      </c>
      <c r="D61" s="3">
        <f>IF(COUNTIF(Sheet4!A:A,A61)&gt;0,VLOOKUP(A61,Sheet4!A:B,2,FALSE),"Not Found")</f>
        <v>0</v>
      </c>
      <c r="F61" s="3" t="str">
        <f t="shared" si="0"/>
        <v>Matching</v>
      </c>
    </row>
    <row r="62" spans="1:6" x14ac:dyDescent="0.35">
      <c r="A62" s="4" t="s">
        <v>56</v>
      </c>
      <c r="B62" s="3">
        <v>0</v>
      </c>
      <c r="D62" s="3">
        <f>IF(COUNTIF(Sheet4!A:A,A62)&gt;0,VLOOKUP(A62,Sheet4!A:B,2,FALSE),"Not Found")</f>
        <v>0</v>
      </c>
      <c r="F62" s="3" t="str">
        <f t="shared" si="0"/>
        <v>Matching</v>
      </c>
    </row>
    <row r="63" spans="1:6" x14ac:dyDescent="0.35">
      <c r="A63" s="4" t="s">
        <v>57</v>
      </c>
      <c r="B63" s="3">
        <v>0</v>
      </c>
      <c r="D63" s="3">
        <f>IF(COUNTIF(Sheet4!A:A,A63)&gt;0,VLOOKUP(A63,Sheet4!A:B,2,FALSE),"Not Found")</f>
        <v>0</v>
      </c>
      <c r="F63" s="3" t="str">
        <f t="shared" si="0"/>
        <v>Matching</v>
      </c>
    </row>
    <row r="64" spans="1:6" x14ac:dyDescent="0.35">
      <c r="A64" s="4" t="s">
        <v>31</v>
      </c>
      <c r="B64" s="3">
        <v>0</v>
      </c>
      <c r="D64" s="3">
        <f>IF(COUNTIF(Sheet4!A:A,A64)&gt;0,VLOOKUP(A64,Sheet4!A:B,2,FALSE),"Not Found")</f>
        <v>0</v>
      </c>
      <c r="F64" s="3" t="str">
        <f t="shared" si="0"/>
        <v>Matching</v>
      </c>
    </row>
    <row r="65" spans="1:6" x14ac:dyDescent="0.35">
      <c r="A65" s="4" t="s">
        <v>77</v>
      </c>
      <c r="B65" s="3">
        <v>0</v>
      </c>
      <c r="D65" s="3">
        <f>IF(COUNTIF(Sheet4!A:A,A65)&gt;0,VLOOKUP(A65,Sheet4!A:B,2,FALSE),"Not Found")</f>
        <v>0</v>
      </c>
      <c r="F65" s="3" t="str">
        <f t="shared" si="0"/>
        <v>Matching</v>
      </c>
    </row>
    <row r="66" spans="1:6" x14ac:dyDescent="0.35">
      <c r="A66" s="4" t="s">
        <v>54</v>
      </c>
      <c r="B66" s="3">
        <v>2328246</v>
      </c>
      <c r="D66" s="3">
        <f>IF(COUNTIF(Sheet4!A:A,A66)&gt;0,VLOOKUP(A66,Sheet4!A:B,2,FALSE),"Not Found")</f>
        <v>2328246</v>
      </c>
      <c r="F66" s="3" t="str">
        <f t="shared" si="0"/>
        <v>Matching</v>
      </c>
    </row>
    <row r="67" spans="1:6" x14ac:dyDescent="0.35">
      <c r="A67" s="4" t="s">
        <v>81</v>
      </c>
      <c r="B67" s="3">
        <v>0</v>
      </c>
      <c r="D67" s="3">
        <f>IF(COUNTIF(Sheet4!A:A,A67)&gt;0,VLOOKUP(A67,Sheet4!A:B,2,FALSE),"Not Found")</f>
        <v>0</v>
      </c>
      <c r="F67" s="3" t="str">
        <f t="shared" ref="F67:F87" si="1">IF(B67=D67,"Matching","Mis Match")</f>
        <v>Matching</v>
      </c>
    </row>
    <row r="68" spans="1:6" x14ac:dyDescent="0.35">
      <c r="A68" s="4" t="s">
        <v>80</v>
      </c>
      <c r="B68" s="3">
        <v>0</v>
      </c>
      <c r="D68" s="3">
        <f>IF(COUNTIF(Sheet4!A:A,A68)&gt;0,VLOOKUP(A68,Sheet4!A:B,2,FALSE),"Not Found")</f>
        <v>0</v>
      </c>
      <c r="F68" s="3" t="str">
        <f t="shared" si="1"/>
        <v>Matching</v>
      </c>
    </row>
    <row r="69" spans="1:6" x14ac:dyDescent="0.35">
      <c r="A69" s="4" t="s">
        <v>47</v>
      </c>
      <c r="B69" s="3">
        <v>0</v>
      </c>
      <c r="D69" s="3">
        <f>IF(COUNTIF(Sheet4!A:A,A69)&gt;0,VLOOKUP(A69,Sheet4!A:B,2,FALSE),"Not Found")</f>
        <v>0</v>
      </c>
      <c r="F69" s="3" t="str">
        <f t="shared" si="1"/>
        <v>Matching</v>
      </c>
    </row>
    <row r="70" spans="1:6" x14ac:dyDescent="0.35">
      <c r="A70" s="4" t="s">
        <v>9</v>
      </c>
      <c r="B70" s="3">
        <v>0</v>
      </c>
      <c r="D70" s="3">
        <f>IF(COUNTIF(Sheet4!A:A,A70)&gt;0,VLOOKUP(A70,Sheet4!A:B,2,FALSE),"Not Found")</f>
        <v>0</v>
      </c>
      <c r="F70" s="3" t="str">
        <f t="shared" si="1"/>
        <v>Matching</v>
      </c>
    </row>
    <row r="71" spans="1:6" x14ac:dyDescent="0.35">
      <c r="A71" s="4" t="s">
        <v>73</v>
      </c>
      <c r="B71" s="3">
        <v>0</v>
      </c>
      <c r="D71" s="3">
        <f>IF(COUNTIF(Sheet4!A:A,A71)&gt;0,VLOOKUP(A71,Sheet4!A:B,2,FALSE),"Not Found")</f>
        <v>0</v>
      </c>
      <c r="F71" s="3" t="str">
        <f t="shared" si="1"/>
        <v>Matching</v>
      </c>
    </row>
    <row r="72" spans="1:6" x14ac:dyDescent="0.35">
      <c r="A72" s="4" t="s">
        <v>76</v>
      </c>
      <c r="B72" s="3">
        <v>0</v>
      </c>
      <c r="D72" s="3">
        <f>IF(COUNTIF(Sheet4!A:A,A72)&gt;0,VLOOKUP(A72,Sheet4!A:B,2,FALSE),"Not Found")</f>
        <v>0</v>
      </c>
      <c r="F72" s="3" t="str">
        <f t="shared" si="1"/>
        <v>Matching</v>
      </c>
    </row>
    <row r="73" spans="1:6" x14ac:dyDescent="0.35">
      <c r="A73" s="4" t="s">
        <v>60</v>
      </c>
      <c r="B73" s="3">
        <v>0</v>
      </c>
      <c r="D73" s="3">
        <f>IF(COUNTIF(Sheet4!A:A,A73)&gt;0,VLOOKUP(A73,Sheet4!A:B,2,FALSE),"Not Found")</f>
        <v>0</v>
      </c>
      <c r="F73" s="3" t="str">
        <f t="shared" si="1"/>
        <v>Matching</v>
      </c>
    </row>
    <row r="74" spans="1:6" x14ac:dyDescent="0.35">
      <c r="A74" s="4" t="s">
        <v>63</v>
      </c>
      <c r="B74" s="3">
        <v>0</v>
      </c>
      <c r="D74" s="3">
        <f>IF(COUNTIF(Sheet4!A:A,A74)&gt;0,VLOOKUP(A74,Sheet4!A:B,2,FALSE),"Not Found")</f>
        <v>0</v>
      </c>
      <c r="F74" s="3" t="str">
        <f t="shared" si="1"/>
        <v>Matching</v>
      </c>
    </row>
    <row r="75" spans="1:6" x14ac:dyDescent="0.35">
      <c r="A75" s="4" t="s">
        <v>18</v>
      </c>
      <c r="B75" s="3">
        <v>369</v>
      </c>
      <c r="D75" s="3">
        <f>IF(COUNTIF(Sheet4!A:A,A75)&gt;0,VLOOKUP(A75,Sheet4!A:B,2,FALSE),"Not Found")</f>
        <v>369</v>
      </c>
      <c r="F75" s="3" t="str">
        <f t="shared" si="1"/>
        <v>Matching</v>
      </c>
    </row>
    <row r="76" spans="1:6" x14ac:dyDescent="0.35">
      <c r="A76" s="4" t="s">
        <v>53</v>
      </c>
      <c r="B76" s="3">
        <v>0</v>
      </c>
      <c r="D76" s="3">
        <f>IF(COUNTIF(Sheet4!A:A,A76)&gt;0,VLOOKUP(A76,Sheet4!A:B,2,FALSE),"Not Found")</f>
        <v>0</v>
      </c>
      <c r="F76" s="3" t="str">
        <f t="shared" si="1"/>
        <v>Matching</v>
      </c>
    </row>
    <row r="77" spans="1:6" x14ac:dyDescent="0.35">
      <c r="A77" s="4" t="s">
        <v>8</v>
      </c>
      <c r="B77" s="3">
        <v>657246</v>
      </c>
      <c r="D77" s="3">
        <f>IF(COUNTIF(Sheet4!A:A,A77)&gt;0,VLOOKUP(A77,Sheet4!A:B,2,FALSE),"Not Found")</f>
        <v>657246</v>
      </c>
      <c r="F77" s="3" t="str">
        <f t="shared" si="1"/>
        <v>Matching</v>
      </c>
    </row>
    <row r="78" spans="1:6" x14ac:dyDescent="0.35">
      <c r="A78" s="4" t="s">
        <v>0</v>
      </c>
      <c r="B78" s="3">
        <v>0</v>
      </c>
      <c r="D78" s="3">
        <f>IF(COUNTIF(Sheet4!A:A,A78)&gt;0,VLOOKUP(A78,Sheet4!A:B,2,FALSE),"Not Found")</f>
        <v>0</v>
      </c>
      <c r="F78" s="3" t="str">
        <f t="shared" si="1"/>
        <v>Matching</v>
      </c>
    </row>
    <row r="79" spans="1:6" x14ac:dyDescent="0.35">
      <c r="A79" s="4" t="s">
        <v>64</v>
      </c>
      <c r="B79" s="3">
        <v>2</v>
      </c>
      <c r="D79" s="3">
        <f>IF(COUNTIF(Sheet4!A:A,A79)&gt;0,VLOOKUP(A79,Sheet4!A:B,2,FALSE),"Not Found")</f>
        <v>2</v>
      </c>
      <c r="F79" s="3" t="str">
        <f t="shared" si="1"/>
        <v>Matching</v>
      </c>
    </row>
    <row r="80" spans="1:6" x14ac:dyDescent="0.35">
      <c r="A80" s="4" t="s">
        <v>82</v>
      </c>
      <c r="B80" s="3">
        <v>1733</v>
      </c>
      <c r="D80" s="3">
        <f>IF(COUNTIF(Sheet4!A:A,A80)&gt;0,VLOOKUP(A80,Sheet4!A:B,2,FALSE),"Not Found")</f>
        <v>1733</v>
      </c>
      <c r="F80" s="3" t="str">
        <f t="shared" si="1"/>
        <v>Matching</v>
      </c>
    </row>
    <row r="81" spans="1:6" x14ac:dyDescent="0.35">
      <c r="A81" s="4" t="s">
        <v>35</v>
      </c>
      <c r="B81" s="3">
        <v>17</v>
      </c>
      <c r="D81" s="3">
        <f>IF(COUNTIF(Sheet4!A:A,A81)&gt;0,VLOOKUP(A81,Sheet4!A:B,2,FALSE),"Not Found")</f>
        <v>17</v>
      </c>
      <c r="F81" s="3" t="str">
        <f t="shared" si="1"/>
        <v>Matching</v>
      </c>
    </row>
    <row r="82" spans="1:6" x14ac:dyDescent="0.35">
      <c r="A82" s="4" t="s">
        <v>25</v>
      </c>
      <c r="B82" s="3">
        <v>8</v>
      </c>
      <c r="D82" s="3">
        <f>IF(COUNTIF(Sheet4!A:A,A82)&gt;0,VLOOKUP(A82,Sheet4!A:B,2,FALSE),"Not Found")</f>
        <v>8</v>
      </c>
      <c r="F82" s="3" t="str">
        <f t="shared" si="1"/>
        <v>Matching</v>
      </c>
    </row>
    <row r="83" spans="1:6" x14ac:dyDescent="0.35">
      <c r="A83" s="4" t="s">
        <v>75</v>
      </c>
      <c r="B83" s="3">
        <v>61</v>
      </c>
      <c r="D83" s="3">
        <f>IF(COUNTIF(Sheet4!A:A,A83)&gt;0,VLOOKUP(A83,Sheet4!A:B,2,FALSE),"Not Found")</f>
        <v>61</v>
      </c>
      <c r="F83" s="3" t="str">
        <f t="shared" si="1"/>
        <v>Matching</v>
      </c>
    </row>
    <row r="84" spans="1:6" x14ac:dyDescent="0.35">
      <c r="A84" s="4" t="s">
        <v>55</v>
      </c>
      <c r="B84" s="3">
        <v>1932723</v>
      </c>
      <c r="D84" s="3">
        <f>IF(COUNTIF(Sheet4!A:A,A84)&gt;0,VLOOKUP(A84,Sheet4!A:B,2,FALSE),"Not Found")</f>
        <v>1932723</v>
      </c>
      <c r="F84" s="3" t="str">
        <f t="shared" si="1"/>
        <v>Matching</v>
      </c>
    </row>
    <row r="85" spans="1:6" x14ac:dyDescent="0.35">
      <c r="A85" s="4" t="s">
        <v>69</v>
      </c>
      <c r="B85" s="3">
        <v>0</v>
      </c>
      <c r="D85" s="3">
        <f>IF(COUNTIF(Sheet4!A:A,A85)&gt;0,VLOOKUP(A85,Sheet4!A:B,2,FALSE),"Not Found")</f>
        <v>0</v>
      </c>
      <c r="F85" s="3" t="str">
        <f t="shared" si="1"/>
        <v>Matching</v>
      </c>
    </row>
    <row r="86" spans="1:6" x14ac:dyDescent="0.35">
      <c r="A86" s="4" t="s">
        <v>59</v>
      </c>
      <c r="B86" s="3">
        <v>0</v>
      </c>
      <c r="D86" s="3">
        <f>IF(COUNTIF(Sheet4!A:A,A86)&gt;0,VLOOKUP(A86,Sheet4!A:B,2,FALSE),"Not Found")</f>
        <v>0</v>
      </c>
      <c r="F86" s="3" t="str">
        <f t="shared" si="1"/>
        <v>Matching</v>
      </c>
    </row>
    <row r="87" spans="1:6" x14ac:dyDescent="0.35">
      <c r="A87" s="4" t="s">
        <v>117</v>
      </c>
      <c r="D87" s="3">
        <f>IF(COUNTIF(Sheet4!A:A,A87)&gt;0,VLOOKUP(A87,Sheet4!A:B,2,FALSE),"Not Found")</f>
        <v>0</v>
      </c>
      <c r="F87" s="3" t="str">
        <f t="shared" si="1"/>
        <v>Matching</v>
      </c>
    </row>
    <row r="88" spans="1:6" x14ac:dyDescent="0.35">
      <c r="A88" s="4" t="s">
        <v>118</v>
      </c>
      <c r="B88" s="3">
        <v>69548242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1035-C72B-4498-9557-15F3619B99C2}">
  <dimension ref="A1:B86"/>
  <sheetViews>
    <sheetView tabSelected="1" workbookViewId="0">
      <selection sqref="A1:B1048576"/>
    </sheetView>
  </sheetViews>
  <sheetFormatPr defaultRowHeight="14.5" x14ac:dyDescent="0.35"/>
  <cols>
    <col min="1" max="1" width="31.453125" bestFit="1" customWidth="1"/>
    <col min="2" max="2" width="7.81640625" bestFit="1" customWidth="1"/>
  </cols>
  <sheetData>
    <row r="1" spans="1:2" s="1" customFormat="1" x14ac:dyDescent="0.35">
      <c r="A1" s="1" t="s">
        <v>120</v>
      </c>
      <c r="B1" s="1" t="s">
        <v>114</v>
      </c>
    </row>
    <row r="2" spans="1:2" x14ac:dyDescent="0.35">
      <c r="A2" t="s">
        <v>23</v>
      </c>
      <c r="B2">
        <v>0</v>
      </c>
    </row>
    <row r="3" spans="1:2" x14ac:dyDescent="0.35">
      <c r="A3" t="s">
        <v>24</v>
      </c>
      <c r="B3">
        <v>42</v>
      </c>
    </row>
    <row r="4" spans="1:2" x14ac:dyDescent="0.35">
      <c r="A4" t="s">
        <v>74</v>
      </c>
      <c r="B4">
        <v>14</v>
      </c>
    </row>
    <row r="5" spans="1:2" x14ac:dyDescent="0.35">
      <c r="A5" t="s">
        <v>20</v>
      </c>
      <c r="B5">
        <v>481505</v>
      </c>
    </row>
    <row r="6" spans="1:2" x14ac:dyDescent="0.35">
      <c r="A6" t="s">
        <v>70</v>
      </c>
      <c r="B6">
        <v>4</v>
      </c>
    </row>
    <row r="7" spans="1:2" x14ac:dyDescent="0.35">
      <c r="A7" t="s">
        <v>44</v>
      </c>
      <c r="B7">
        <v>2</v>
      </c>
    </row>
    <row r="8" spans="1:2" x14ac:dyDescent="0.35">
      <c r="A8" t="s">
        <v>78</v>
      </c>
      <c r="B8">
        <v>0</v>
      </c>
    </row>
    <row r="9" spans="1:2" x14ac:dyDescent="0.35">
      <c r="A9" t="s">
        <v>73</v>
      </c>
      <c r="B9">
        <v>0</v>
      </c>
    </row>
    <row r="10" spans="1:2" x14ac:dyDescent="0.35">
      <c r="A10" t="s">
        <v>47</v>
      </c>
      <c r="B10">
        <v>0</v>
      </c>
    </row>
    <row r="11" spans="1:2" x14ac:dyDescent="0.35">
      <c r="A11" t="s">
        <v>9</v>
      </c>
      <c r="B11">
        <v>0</v>
      </c>
    </row>
    <row r="12" spans="1:2" x14ac:dyDescent="0.35">
      <c r="A12" t="s">
        <v>21</v>
      </c>
      <c r="B12">
        <v>17823</v>
      </c>
    </row>
    <row r="13" spans="1:2" x14ac:dyDescent="0.35">
      <c r="A13" t="s">
        <v>29</v>
      </c>
      <c r="B13">
        <v>8706</v>
      </c>
    </row>
    <row r="14" spans="1:2" x14ac:dyDescent="0.35">
      <c r="A14" t="s">
        <v>0</v>
      </c>
      <c r="B14">
        <v>0</v>
      </c>
    </row>
    <row r="15" spans="1:2" x14ac:dyDescent="0.35">
      <c r="A15" t="s">
        <v>60</v>
      </c>
      <c r="B15">
        <v>0</v>
      </c>
    </row>
    <row r="16" spans="1:2" x14ac:dyDescent="0.35">
      <c r="A16" t="s">
        <v>10</v>
      </c>
      <c r="B16">
        <v>0</v>
      </c>
    </row>
    <row r="17" spans="1:2" x14ac:dyDescent="0.35">
      <c r="A17" t="s">
        <v>83</v>
      </c>
      <c r="B17">
        <v>1932752</v>
      </c>
    </row>
    <row r="18" spans="1:2" x14ac:dyDescent="0.35">
      <c r="A18" t="s">
        <v>55</v>
      </c>
      <c r="B18">
        <v>1932723</v>
      </c>
    </row>
    <row r="19" spans="1:2" x14ac:dyDescent="0.35">
      <c r="A19" t="s">
        <v>8</v>
      </c>
      <c r="B19">
        <v>657246</v>
      </c>
    </row>
    <row r="20" spans="1:2" x14ac:dyDescent="0.35">
      <c r="A20" t="s">
        <v>36</v>
      </c>
      <c r="B20">
        <v>0</v>
      </c>
    </row>
    <row r="21" spans="1:2" x14ac:dyDescent="0.35">
      <c r="A21" t="s">
        <v>51</v>
      </c>
      <c r="B21">
        <v>0</v>
      </c>
    </row>
    <row r="22" spans="1:2" x14ac:dyDescent="0.35">
      <c r="A22" t="s">
        <v>37</v>
      </c>
      <c r="B22">
        <v>0</v>
      </c>
    </row>
    <row r="23" spans="1:2" x14ac:dyDescent="0.35">
      <c r="A23" t="s">
        <v>14</v>
      </c>
      <c r="B23">
        <v>0</v>
      </c>
    </row>
    <row r="24" spans="1:2" x14ac:dyDescent="0.35">
      <c r="A24" t="s">
        <v>50</v>
      </c>
      <c r="B24">
        <v>0</v>
      </c>
    </row>
    <row r="25" spans="1:2" x14ac:dyDescent="0.35">
      <c r="A25" t="s">
        <v>4</v>
      </c>
      <c r="B25">
        <v>0</v>
      </c>
    </row>
    <row r="26" spans="1:2" x14ac:dyDescent="0.35">
      <c r="A26" t="s">
        <v>17</v>
      </c>
      <c r="B26">
        <v>0</v>
      </c>
    </row>
    <row r="27" spans="1:2" x14ac:dyDescent="0.35">
      <c r="A27" t="s">
        <v>39</v>
      </c>
      <c r="B27">
        <v>0</v>
      </c>
    </row>
    <row r="28" spans="1:2" x14ac:dyDescent="0.35">
      <c r="A28" t="s">
        <v>15</v>
      </c>
      <c r="B28">
        <v>0</v>
      </c>
    </row>
    <row r="29" spans="1:2" x14ac:dyDescent="0.35">
      <c r="A29" t="s">
        <v>16</v>
      </c>
      <c r="B29">
        <v>0</v>
      </c>
    </row>
    <row r="30" spans="1:2" x14ac:dyDescent="0.35">
      <c r="A30" t="s">
        <v>38</v>
      </c>
      <c r="B30">
        <v>0</v>
      </c>
    </row>
    <row r="31" spans="1:2" x14ac:dyDescent="0.35">
      <c r="A31" t="s">
        <v>30</v>
      </c>
      <c r="B31">
        <v>9771</v>
      </c>
    </row>
    <row r="32" spans="1:2" x14ac:dyDescent="0.35">
      <c r="A32" t="s">
        <v>22</v>
      </c>
      <c r="B32">
        <v>8919</v>
      </c>
    </row>
    <row r="33" spans="1:2" x14ac:dyDescent="0.35">
      <c r="A33" t="s">
        <v>42</v>
      </c>
      <c r="B33">
        <v>10125</v>
      </c>
    </row>
    <row r="34" spans="1:2" x14ac:dyDescent="0.35">
      <c r="A34" t="s">
        <v>67</v>
      </c>
      <c r="B34">
        <v>18178</v>
      </c>
    </row>
    <row r="35" spans="1:2" x14ac:dyDescent="0.35">
      <c r="A35" t="s">
        <v>35</v>
      </c>
      <c r="B35">
        <v>17</v>
      </c>
    </row>
    <row r="36" spans="1:2" x14ac:dyDescent="0.35">
      <c r="A36" t="s">
        <v>25</v>
      </c>
      <c r="B36">
        <v>8</v>
      </c>
    </row>
    <row r="37" spans="1:2" x14ac:dyDescent="0.35">
      <c r="A37" t="s">
        <v>64</v>
      </c>
      <c r="B37">
        <v>2</v>
      </c>
    </row>
    <row r="38" spans="1:2" x14ac:dyDescent="0.35">
      <c r="A38" t="s">
        <v>43</v>
      </c>
      <c r="B38">
        <v>5664102</v>
      </c>
    </row>
    <row r="39" spans="1:2" x14ac:dyDescent="0.35">
      <c r="A39" t="s">
        <v>54</v>
      </c>
      <c r="B39">
        <v>2328246</v>
      </c>
    </row>
    <row r="40" spans="1:2" x14ac:dyDescent="0.35">
      <c r="A40" t="s">
        <v>82</v>
      </c>
      <c r="B40">
        <v>1733</v>
      </c>
    </row>
    <row r="41" spans="1:2" x14ac:dyDescent="0.35">
      <c r="A41" t="s">
        <v>26</v>
      </c>
      <c r="B41">
        <v>664</v>
      </c>
    </row>
    <row r="42" spans="1:2" x14ac:dyDescent="0.35">
      <c r="A42" t="s">
        <v>5</v>
      </c>
      <c r="B42">
        <v>3490352</v>
      </c>
    </row>
    <row r="43" spans="1:2" x14ac:dyDescent="0.35">
      <c r="A43" t="s">
        <v>6</v>
      </c>
      <c r="B43">
        <v>0</v>
      </c>
    </row>
    <row r="44" spans="1:2" x14ac:dyDescent="0.35">
      <c r="A44" t="s">
        <v>52</v>
      </c>
      <c r="B44">
        <v>0</v>
      </c>
    </row>
    <row r="45" spans="1:2" x14ac:dyDescent="0.35">
      <c r="A45" t="s">
        <v>84</v>
      </c>
      <c r="B45">
        <v>0</v>
      </c>
    </row>
    <row r="46" spans="1:2" x14ac:dyDescent="0.35">
      <c r="A46" t="s">
        <v>68</v>
      </c>
      <c r="B46">
        <v>0</v>
      </c>
    </row>
    <row r="47" spans="1:2" x14ac:dyDescent="0.35">
      <c r="A47" t="s">
        <v>56</v>
      </c>
      <c r="B47">
        <v>0</v>
      </c>
    </row>
    <row r="48" spans="1:2" x14ac:dyDescent="0.35">
      <c r="A48" t="s">
        <v>57</v>
      </c>
      <c r="B48">
        <v>0</v>
      </c>
    </row>
    <row r="49" spans="1:2" x14ac:dyDescent="0.35">
      <c r="A49" t="s">
        <v>31</v>
      </c>
      <c r="B49">
        <v>0</v>
      </c>
    </row>
    <row r="50" spans="1:2" x14ac:dyDescent="0.35">
      <c r="A50" t="s">
        <v>77</v>
      </c>
      <c r="B50">
        <v>0</v>
      </c>
    </row>
    <row r="51" spans="1:2" x14ac:dyDescent="0.35">
      <c r="A51" t="s">
        <v>58</v>
      </c>
      <c r="B51">
        <v>0</v>
      </c>
    </row>
    <row r="52" spans="1:2" x14ac:dyDescent="0.35">
      <c r="A52" t="s">
        <v>75</v>
      </c>
      <c r="B52">
        <v>61</v>
      </c>
    </row>
    <row r="53" spans="1:2" x14ac:dyDescent="0.35">
      <c r="A53" t="s">
        <v>1</v>
      </c>
      <c r="B53">
        <v>0</v>
      </c>
    </row>
    <row r="54" spans="1:2" x14ac:dyDescent="0.35">
      <c r="A54" t="s">
        <v>48</v>
      </c>
      <c r="B54">
        <v>0</v>
      </c>
    </row>
    <row r="55" spans="1:2" x14ac:dyDescent="0.35">
      <c r="A55" t="s">
        <v>61</v>
      </c>
      <c r="B55">
        <v>0</v>
      </c>
    </row>
    <row r="56" spans="1:2" x14ac:dyDescent="0.35">
      <c r="A56" t="s">
        <v>11</v>
      </c>
      <c r="B56">
        <v>0</v>
      </c>
    </row>
    <row r="57" spans="1:2" x14ac:dyDescent="0.35">
      <c r="A57" t="s">
        <v>62</v>
      </c>
      <c r="B57">
        <v>0</v>
      </c>
    </row>
    <row r="58" spans="1:2" x14ac:dyDescent="0.35">
      <c r="A58" t="s">
        <v>12</v>
      </c>
      <c r="B58">
        <v>0</v>
      </c>
    </row>
    <row r="59" spans="1:2" x14ac:dyDescent="0.35">
      <c r="A59" t="s">
        <v>2</v>
      </c>
      <c r="B59">
        <v>0</v>
      </c>
    </row>
    <row r="60" spans="1:2" x14ac:dyDescent="0.35">
      <c r="A60" t="s">
        <v>33</v>
      </c>
      <c r="B60">
        <v>0</v>
      </c>
    </row>
    <row r="61" spans="1:2" x14ac:dyDescent="0.35">
      <c r="A61" t="s">
        <v>34</v>
      </c>
      <c r="B61">
        <v>0</v>
      </c>
    </row>
    <row r="62" spans="1:2" x14ac:dyDescent="0.35">
      <c r="A62" t="s">
        <v>3</v>
      </c>
      <c r="B62">
        <v>0</v>
      </c>
    </row>
    <row r="63" spans="1:2" x14ac:dyDescent="0.35">
      <c r="A63" t="s">
        <v>49</v>
      </c>
      <c r="B63">
        <v>0</v>
      </c>
    </row>
    <row r="64" spans="1:2" x14ac:dyDescent="0.35">
      <c r="A64" t="s">
        <v>13</v>
      </c>
      <c r="B64">
        <v>0</v>
      </c>
    </row>
    <row r="65" spans="1:2" x14ac:dyDescent="0.35">
      <c r="A65" t="s">
        <v>81</v>
      </c>
      <c r="B65">
        <v>0</v>
      </c>
    </row>
    <row r="66" spans="1:2" x14ac:dyDescent="0.35">
      <c r="A66" t="s">
        <v>63</v>
      </c>
      <c r="B66">
        <v>0</v>
      </c>
    </row>
    <row r="67" spans="1:2" x14ac:dyDescent="0.35">
      <c r="A67" t="s">
        <v>66</v>
      </c>
      <c r="B67">
        <v>1857701</v>
      </c>
    </row>
    <row r="68" spans="1:2" x14ac:dyDescent="0.35">
      <c r="A68" t="s">
        <v>79</v>
      </c>
      <c r="B68">
        <v>0</v>
      </c>
    </row>
    <row r="69" spans="1:2" x14ac:dyDescent="0.35">
      <c r="A69" t="s">
        <v>72</v>
      </c>
      <c r="B69">
        <v>0</v>
      </c>
    </row>
    <row r="70" spans="1:2" x14ac:dyDescent="0.35">
      <c r="A70" t="s">
        <v>71</v>
      </c>
      <c r="B70">
        <v>0</v>
      </c>
    </row>
    <row r="71" spans="1:2" x14ac:dyDescent="0.35">
      <c r="A71" t="s">
        <v>32</v>
      </c>
      <c r="B71">
        <v>0</v>
      </c>
    </row>
    <row r="72" spans="1:2" x14ac:dyDescent="0.35">
      <c r="A72" t="s">
        <v>46</v>
      </c>
      <c r="B72">
        <v>0</v>
      </c>
    </row>
    <row r="73" spans="1:2" x14ac:dyDescent="0.35">
      <c r="A73" t="s">
        <v>45</v>
      </c>
      <c r="B73">
        <v>0</v>
      </c>
    </row>
    <row r="74" spans="1:2" x14ac:dyDescent="0.35">
      <c r="A74" t="s">
        <v>80</v>
      </c>
      <c r="B74">
        <v>0</v>
      </c>
    </row>
    <row r="75" spans="1:2" x14ac:dyDescent="0.35">
      <c r="A75" t="s">
        <v>76</v>
      </c>
      <c r="B75">
        <v>0</v>
      </c>
    </row>
    <row r="76" spans="1:2" x14ac:dyDescent="0.35">
      <c r="A76" t="s">
        <v>53</v>
      </c>
      <c r="B76">
        <v>0</v>
      </c>
    </row>
    <row r="77" spans="1:2" x14ac:dyDescent="0.35">
      <c r="A77" t="s">
        <v>7</v>
      </c>
      <c r="B77">
        <v>0</v>
      </c>
    </row>
    <row r="78" spans="1:2" x14ac:dyDescent="0.35">
      <c r="A78" t="s">
        <v>18</v>
      </c>
      <c r="B78">
        <v>369</v>
      </c>
    </row>
    <row r="79" spans="1:2" x14ac:dyDescent="0.35">
      <c r="A79" t="s">
        <v>69</v>
      </c>
      <c r="B79">
        <v>0</v>
      </c>
    </row>
    <row r="80" spans="1:2" x14ac:dyDescent="0.35">
      <c r="A80" t="s">
        <v>59</v>
      </c>
      <c r="B80">
        <v>0</v>
      </c>
    </row>
    <row r="81" spans="1:2" x14ac:dyDescent="0.35">
      <c r="A81" t="s">
        <v>65</v>
      </c>
      <c r="B81">
        <v>1069516</v>
      </c>
    </row>
    <row r="82" spans="1:2" x14ac:dyDescent="0.35">
      <c r="A82" t="s">
        <v>28</v>
      </c>
      <c r="B82">
        <v>9</v>
      </c>
    </row>
    <row r="83" spans="1:2" x14ac:dyDescent="0.35">
      <c r="A83" t="s">
        <v>40</v>
      </c>
      <c r="B83">
        <v>6673676</v>
      </c>
    </row>
    <row r="84" spans="1:2" x14ac:dyDescent="0.35">
      <c r="A84" t="s">
        <v>27</v>
      </c>
      <c r="B84">
        <v>6757145</v>
      </c>
    </row>
    <row r="85" spans="1:2" x14ac:dyDescent="0.35">
      <c r="A85" t="s">
        <v>19</v>
      </c>
      <c r="B85">
        <v>9739782</v>
      </c>
    </row>
    <row r="86" spans="1:2" x14ac:dyDescent="0.35">
      <c r="A86" t="s">
        <v>41</v>
      </c>
      <c r="B86">
        <v>542088</v>
      </c>
    </row>
  </sheetData>
  <conditionalFormatting sqref="A1:A1048576">
    <cfRule type="duplicateValues" dxfId="1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8F1A-1DAF-497A-9A95-EECA753EFB12}">
  <dimension ref="A1:B88"/>
  <sheetViews>
    <sheetView workbookViewId="0">
      <selection activeCell="C4" sqref="C4"/>
    </sheetView>
  </sheetViews>
  <sheetFormatPr defaultRowHeight="14.5" x14ac:dyDescent="0.35"/>
  <cols>
    <col min="1" max="1" width="21.36328125" style="3" bestFit="1" customWidth="1"/>
    <col min="2" max="2" width="12.08984375" style="3" bestFit="1" customWidth="1"/>
    <col min="3" max="16384" width="8.7265625" style="3"/>
  </cols>
  <sheetData>
    <row r="1" spans="1:2" x14ac:dyDescent="0.35">
      <c r="A1" s="2" t="s">
        <v>125</v>
      </c>
      <c r="B1" s="3" t="s">
        <v>119</v>
      </c>
    </row>
    <row r="2" spans="1:2" x14ac:dyDescent="0.35">
      <c r="A2" s="4" t="s">
        <v>79</v>
      </c>
      <c r="B2" s="3">
        <v>0</v>
      </c>
    </row>
    <row r="3" spans="1:2" x14ac:dyDescent="0.35">
      <c r="A3" s="4" t="s">
        <v>45</v>
      </c>
      <c r="B3" s="3">
        <v>0</v>
      </c>
    </row>
    <row r="4" spans="1:2" x14ac:dyDescent="0.35">
      <c r="A4" s="4" t="s">
        <v>26</v>
      </c>
      <c r="B4" s="3">
        <v>664</v>
      </c>
    </row>
    <row r="5" spans="1:2" x14ac:dyDescent="0.35">
      <c r="A5" s="4" t="s">
        <v>29</v>
      </c>
      <c r="B5" s="3">
        <v>8706</v>
      </c>
    </row>
    <row r="6" spans="1:2" x14ac:dyDescent="0.35">
      <c r="A6" s="4" t="s">
        <v>83</v>
      </c>
      <c r="B6" s="3">
        <v>1932752</v>
      </c>
    </row>
    <row r="7" spans="1:2" x14ac:dyDescent="0.35">
      <c r="A7" s="4" t="s">
        <v>43</v>
      </c>
      <c r="B7" s="3">
        <v>5664102</v>
      </c>
    </row>
    <row r="8" spans="1:2" x14ac:dyDescent="0.35">
      <c r="A8" s="4" t="s">
        <v>5</v>
      </c>
      <c r="B8" s="3">
        <v>3490352</v>
      </c>
    </row>
    <row r="9" spans="1:2" x14ac:dyDescent="0.35">
      <c r="A9" s="4" t="s">
        <v>21</v>
      </c>
      <c r="B9" s="3">
        <v>17823</v>
      </c>
    </row>
    <row r="10" spans="1:2" x14ac:dyDescent="0.35">
      <c r="A10" s="4" t="s">
        <v>32</v>
      </c>
      <c r="B10" s="3">
        <v>0</v>
      </c>
    </row>
    <row r="11" spans="1:2" x14ac:dyDescent="0.35">
      <c r="A11" s="4" t="s">
        <v>71</v>
      </c>
      <c r="B11" s="3">
        <v>0</v>
      </c>
    </row>
    <row r="12" spans="1:2" x14ac:dyDescent="0.35">
      <c r="A12" s="4" t="s">
        <v>72</v>
      </c>
      <c r="B12" s="3">
        <v>0</v>
      </c>
    </row>
    <row r="13" spans="1:2" x14ac:dyDescent="0.35">
      <c r="A13" s="4" t="s">
        <v>23</v>
      </c>
      <c r="B13" s="3">
        <v>0</v>
      </c>
    </row>
    <row r="14" spans="1:2" x14ac:dyDescent="0.35">
      <c r="A14" s="4" t="s">
        <v>46</v>
      </c>
      <c r="B14" s="3">
        <v>0</v>
      </c>
    </row>
    <row r="15" spans="1:2" x14ac:dyDescent="0.35">
      <c r="A15" s="4" t="s">
        <v>20</v>
      </c>
      <c r="B15" s="3">
        <v>481505</v>
      </c>
    </row>
    <row r="16" spans="1:2" x14ac:dyDescent="0.35">
      <c r="A16" s="4" t="s">
        <v>66</v>
      </c>
      <c r="B16" s="3">
        <v>1857701</v>
      </c>
    </row>
    <row r="17" spans="1:2" x14ac:dyDescent="0.35">
      <c r="A17" s="4" t="s">
        <v>65</v>
      </c>
      <c r="B17" s="3">
        <v>1069516</v>
      </c>
    </row>
    <row r="18" spans="1:2" x14ac:dyDescent="0.35">
      <c r="A18" s="4" t="s">
        <v>40</v>
      </c>
      <c r="B18" s="3">
        <v>6673676</v>
      </c>
    </row>
    <row r="19" spans="1:2" x14ac:dyDescent="0.35">
      <c r="A19" s="4" t="s">
        <v>27</v>
      </c>
      <c r="B19" s="3">
        <v>6757145</v>
      </c>
    </row>
    <row r="20" spans="1:2" x14ac:dyDescent="0.35">
      <c r="A20" s="4" t="s">
        <v>28</v>
      </c>
      <c r="B20" s="3">
        <v>9</v>
      </c>
    </row>
    <row r="21" spans="1:2" x14ac:dyDescent="0.35">
      <c r="A21" s="4" t="s">
        <v>41</v>
      </c>
      <c r="B21" s="3">
        <v>542088</v>
      </c>
    </row>
    <row r="22" spans="1:2" x14ac:dyDescent="0.35">
      <c r="A22" s="4" t="s">
        <v>19</v>
      </c>
      <c r="B22" s="3">
        <v>9739782</v>
      </c>
    </row>
    <row r="23" spans="1:2" x14ac:dyDescent="0.35">
      <c r="A23" s="4" t="s">
        <v>44</v>
      </c>
      <c r="B23" s="3">
        <v>2</v>
      </c>
    </row>
    <row r="24" spans="1:2" x14ac:dyDescent="0.35">
      <c r="A24" s="4" t="s">
        <v>78</v>
      </c>
      <c r="B24" s="3">
        <v>0</v>
      </c>
    </row>
    <row r="25" spans="1:2" x14ac:dyDescent="0.35">
      <c r="A25" s="4" t="s">
        <v>70</v>
      </c>
      <c r="B25" s="3">
        <v>4</v>
      </c>
    </row>
    <row r="26" spans="1:2" x14ac:dyDescent="0.35">
      <c r="A26" s="4" t="s">
        <v>1</v>
      </c>
      <c r="B26" s="3">
        <v>0</v>
      </c>
    </row>
    <row r="27" spans="1:2" x14ac:dyDescent="0.35">
      <c r="A27" s="4" t="s">
        <v>14</v>
      </c>
      <c r="B27" s="3">
        <v>0</v>
      </c>
    </row>
    <row r="28" spans="1:2" x14ac:dyDescent="0.35">
      <c r="A28" s="4" t="s">
        <v>15</v>
      </c>
      <c r="B28" s="3">
        <v>0</v>
      </c>
    </row>
    <row r="29" spans="1:2" x14ac:dyDescent="0.35">
      <c r="A29" s="4" t="s">
        <v>4</v>
      </c>
      <c r="B29" s="3">
        <v>0</v>
      </c>
    </row>
    <row r="30" spans="1:2" x14ac:dyDescent="0.35">
      <c r="A30" s="4" t="s">
        <v>24</v>
      </c>
      <c r="B30" s="3">
        <v>42</v>
      </c>
    </row>
    <row r="31" spans="1:2" x14ac:dyDescent="0.35">
      <c r="A31" s="4" t="s">
        <v>74</v>
      </c>
      <c r="B31" s="3">
        <v>14</v>
      </c>
    </row>
    <row r="32" spans="1:2" x14ac:dyDescent="0.35">
      <c r="A32" s="4" t="s">
        <v>48</v>
      </c>
      <c r="B32" s="3">
        <v>0</v>
      </c>
    </row>
    <row r="33" spans="1:2" x14ac:dyDescent="0.35">
      <c r="A33" s="4" t="s">
        <v>61</v>
      </c>
      <c r="B33" s="3">
        <v>0</v>
      </c>
    </row>
    <row r="34" spans="1:2" x14ac:dyDescent="0.35">
      <c r="A34" s="4" t="s">
        <v>11</v>
      </c>
      <c r="B34" s="3">
        <v>0</v>
      </c>
    </row>
    <row r="35" spans="1:2" x14ac:dyDescent="0.35">
      <c r="A35" s="4" t="s">
        <v>62</v>
      </c>
      <c r="B35" s="3">
        <v>0</v>
      </c>
    </row>
    <row r="36" spans="1:2" x14ac:dyDescent="0.35">
      <c r="A36" s="4" t="s">
        <v>12</v>
      </c>
      <c r="B36" s="3">
        <v>0</v>
      </c>
    </row>
    <row r="37" spans="1:2" x14ac:dyDescent="0.35">
      <c r="A37" s="4" t="s">
        <v>10</v>
      </c>
      <c r="B37" s="3">
        <v>0</v>
      </c>
    </row>
    <row r="38" spans="1:2" x14ac:dyDescent="0.35">
      <c r="A38" s="4" t="s">
        <v>58</v>
      </c>
      <c r="B38" s="3">
        <v>0</v>
      </c>
    </row>
    <row r="39" spans="1:2" x14ac:dyDescent="0.35">
      <c r="A39" s="4" t="s">
        <v>52</v>
      </c>
      <c r="B39" s="3">
        <v>0</v>
      </c>
    </row>
    <row r="40" spans="1:2" x14ac:dyDescent="0.35">
      <c r="A40" s="4" t="s">
        <v>6</v>
      </c>
      <c r="B40" s="3">
        <v>0</v>
      </c>
    </row>
    <row r="41" spans="1:2" x14ac:dyDescent="0.35">
      <c r="A41" s="4" t="s">
        <v>3</v>
      </c>
      <c r="B41" s="3">
        <v>0</v>
      </c>
    </row>
    <row r="42" spans="1:2" x14ac:dyDescent="0.35">
      <c r="A42" s="4" t="s">
        <v>2</v>
      </c>
      <c r="B42" s="3">
        <v>0</v>
      </c>
    </row>
    <row r="43" spans="1:2" x14ac:dyDescent="0.35">
      <c r="A43" s="4" t="s">
        <v>33</v>
      </c>
      <c r="B43" s="3">
        <v>0</v>
      </c>
    </row>
    <row r="44" spans="1:2" x14ac:dyDescent="0.35">
      <c r="A44" s="4" t="s">
        <v>34</v>
      </c>
      <c r="B44" s="3">
        <v>0</v>
      </c>
    </row>
    <row r="45" spans="1:2" x14ac:dyDescent="0.35">
      <c r="A45" s="4" t="s">
        <v>7</v>
      </c>
      <c r="B45" s="3">
        <v>0</v>
      </c>
    </row>
    <row r="46" spans="1:2" x14ac:dyDescent="0.35">
      <c r="A46" s="4" t="s">
        <v>16</v>
      </c>
      <c r="B46" s="3">
        <v>0</v>
      </c>
    </row>
    <row r="47" spans="1:2" x14ac:dyDescent="0.35">
      <c r="A47" s="4" t="s">
        <v>36</v>
      </c>
      <c r="B47" s="3">
        <v>0</v>
      </c>
    </row>
    <row r="48" spans="1:2" x14ac:dyDescent="0.35">
      <c r="A48" s="4" t="s">
        <v>50</v>
      </c>
      <c r="B48" s="3">
        <v>0</v>
      </c>
    </row>
    <row r="49" spans="1:2" x14ac:dyDescent="0.35">
      <c r="A49" s="4" t="s">
        <v>17</v>
      </c>
      <c r="B49" s="3">
        <v>0</v>
      </c>
    </row>
    <row r="50" spans="1:2" x14ac:dyDescent="0.35">
      <c r="A50" s="4" t="s">
        <v>37</v>
      </c>
      <c r="B50" s="3">
        <v>0</v>
      </c>
    </row>
    <row r="51" spans="1:2" x14ac:dyDescent="0.35">
      <c r="A51" s="4" t="s">
        <v>51</v>
      </c>
      <c r="B51" s="3">
        <v>0</v>
      </c>
    </row>
    <row r="52" spans="1:2" x14ac:dyDescent="0.35">
      <c r="A52" s="4" t="s">
        <v>38</v>
      </c>
      <c r="B52" s="3">
        <v>0</v>
      </c>
    </row>
    <row r="53" spans="1:2" x14ac:dyDescent="0.35">
      <c r="A53" s="4" t="s">
        <v>39</v>
      </c>
      <c r="B53" s="3">
        <v>0</v>
      </c>
    </row>
    <row r="54" spans="1:2" x14ac:dyDescent="0.35">
      <c r="A54" s="4" t="s">
        <v>30</v>
      </c>
      <c r="B54" s="3">
        <v>9771</v>
      </c>
    </row>
    <row r="55" spans="1:2" x14ac:dyDescent="0.35">
      <c r="A55" s="4" t="s">
        <v>42</v>
      </c>
      <c r="B55" s="3">
        <v>10125</v>
      </c>
    </row>
    <row r="56" spans="1:2" x14ac:dyDescent="0.35">
      <c r="A56" s="4" t="s">
        <v>67</v>
      </c>
      <c r="B56" s="3">
        <v>18178</v>
      </c>
    </row>
    <row r="57" spans="1:2" x14ac:dyDescent="0.35">
      <c r="A57" s="4" t="s">
        <v>22</v>
      </c>
      <c r="B57" s="3">
        <v>8919</v>
      </c>
    </row>
    <row r="58" spans="1:2" x14ac:dyDescent="0.35">
      <c r="A58" s="4" t="s">
        <v>49</v>
      </c>
      <c r="B58" s="3">
        <v>0</v>
      </c>
    </row>
    <row r="59" spans="1:2" x14ac:dyDescent="0.35">
      <c r="A59" s="4" t="s">
        <v>13</v>
      </c>
      <c r="B59" s="3">
        <v>0</v>
      </c>
    </row>
    <row r="60" spans="1:2" x14ac:dyDescent="0.35">
      <c r="A60" s="4" t="s">
        <v>84</v>
      </c>
      <c r="B60" s="3">
        <v>0</v>
      </c>
    </row>
    <row r="61" spans="1:2" x14ac:dyDescent="0.35">
      <c r="A61" s="4" t="s">
        <v>68</v>
      </c>
      <c r="B61" s="3">
        <v>0</v>
      </c>
    </row>
    <row r="62" spans="1:2" x14ac:dyDescent="0.35">
      <c r="A62" s="4" t="s">
        <v>56</v>
      </c>
      <c r="B62" s="3">
        <v>0</v>
      </c>
    </row>
    <row r="63" spans="1:2" x14ac:dyDescent="0.35">
      <c r="A63" s="4" t="s">
        <v>57</v>
      </c>
      <c r="B63" s="3">
        <v>0</v>
      </c>
    </row>
    <row r="64" spans="1:2" x14ac:dyDescent="0.35">
      <c r="A64" s="4" t="s">
        <v>31</v>
      </c>
      <c r="B64" s="3">
        <v>0</v>
      </c>
    </row>
    <row r="65" spans="1:2" x14ac:dyDescent="0.35">
      <c r="A65" s="4" t="s">
        <v>77</v>
      </c>
      <c r="B65" s="3">
        <v>0</v>
      </c>
    </row>
    <row r="66" spans="1:2" x14ac:dyDescent="0.35">
      <c r="A66" s="4" t="s">
        <v>54</v>
      </c>
      <c r="B66" s="3">
        <v>2328246</v>
      </c>
    </row>
    <row r="67" spans="1:2" x14ac:dyDescent="0.35">
      <c r="A67" s="4" t="s">
        <v>81</v>
      </c>
      <c r="B67" s="3">
        <v>0</v>
      </c>
    </row>
    <row r="68" spans="1:2" x14ac:dyDescent="0.35">
      <c r="A68" s="4" t="s">
        <v>80</v>
      </c>
      <c r="B68" s="3">
        <v>0</v>
      </c>
    </row>
    <row r="69" spans="1:2" x14ac:dyDescent="0.35">
      <c r="A69" s="4" t="s">
        <v>47</v>
      </c>
      <c r="B69" s="3">
        <v>0</v>
      </c>
    </row>
    <row r="70" spans="1:2" x14ac:dyDescent="0.35">
      <c r="A70" s="4" t="s">
        <v>9</v>
      </c>
      <c r="B70" s="3">
        <v>0</v>
      </c>
    </row>
    <row r="71" spans="1:2" x14ac:dyDescent="0.35">
      <c r="A71" s="4" t="s">
        <v>73</v>
      </c>
      <c r="B71" s="3">
        <v>0</v>
      </c>
    </row>
    <row r="72" spans="1:2" x14ac:dyDescent="0.35">
      <c r="A72" s="4" t="s">
        <v>76</v>
      </c>
      <c r="B72" s="3">
        <v>0</v>
      </c>
    </row>
    <row r="73" spans="1:2" x14ac:dyDescent="0.35">
      <c r="A73" s="4" t="s">
        <v>60</v>
      </c>
      <c r="B73" s="3">
        <v>0</v>
      </c>
    </row>
    <row r="74" spans="1:2" x14ac:dyDescent="0.35">
      <c r="A74" s="4" t="s">
        <v>63</v>
      </c>
      <c r="B74" s="3">
        <v>0</v>
      </c>
    </row>
    <row r="75" spans="1:2" x14ac:dyDescent="0.35">
      <c r="A75" s="4" t="s">
        <v>18</v>
      </c>
      <c r="B75" s="3">
        <v>369</v>
      </c>
    </row>
    <row r="76" spans="1:2" x14ac:dyDescent="0.35">
      <c r="A76" s="4" t="s">
        <v>53</v>
      </c>
      <c r="B76" s="3">
        <v>0</v>
      </c>
    </row>
    <row r="77" spans="1:2" x14ac:dyDescent="0.35">
      <c r="A77" s="4" t="s">
        <v>8</v>
      </c>
      <c r="B77" s="3">
        <v>657246</v>
      </c>
    </row>
    <row r="78" spans="1:2" x14ac:dyDescent="0.35">
      <c r="A78" s="4" t="s">
        <v>0</v>
      </c>
      <c r="B78" s="3">
        <v>0</v>
      </c>
    </row>
    <row r="79" spans="1:2" x14ac:dyDescent="0.35">
      <c r="A79" s="4" t="s">
        <v>64</v>
      </c>
      <c r="B79" s="3">
        <v>2</v>
      </c>
    </row>
    <row r="80" spans="1:2" x14ac:dyDescent="0.35">
      <c r="A80" s="4" t="s">
        <v>82</v>
      </c>
      <c r="B80" s="3">
        <v>1733</v>
      </c>
    </row>
    <row r="81" spans="1:2" x14ac:dyDescent="0.35">
      <c r="A81" s="4" t="s">
        <v>35</v>
      </c>
      <c r="B81" s="3">
        <v>17</v>
      </c>
    </row>
    <row r="82" spans="1:2" x14ac:dyDescent="0.35">
      <c r="A82" s="4" t="s">
        <v>25</v>
      </c>
      <c r="B82" s="3">
        <v>8</v>
      </c>
    </row>
    <row r="83" spans="1:2" x14ac:dyDescent="0.35">
      <c r="A83" s="4" t="s">
        <v>75</v>
      </c>
      <c r="B83" s="3">
        <v>61</v>
      </c>
    </row>
    <row r="84" spans="1:2" x14ac:dyDescent="0.35">
      <c r="A84" s="4" t="s">
        <v>55</v>
      </c>
      <c r="B84" s="3">
        <v>1932723</v>
      </c>
    </row>
    <row r="85" spans="1:2" x14ac:dyDescent="0.35">
      <c r="A85" s="4" t="s">
        <v>69</v>
      </c>
      <c r="B85" s="3">
        <v>0</v>
      </c>
    </row>
    <row r="86" spans="1:2" x14ac:dyDescent="0.35">
      <c r="A86" s="4" t="s">
        <v>59</v>
      </c>
      <c r="B86" s="3">
        <v>0</v>
      </c>
    </row>
    <row r="87" spans="1:2" x14ac:dyDescent="0.35">
      <c r="A87" s="4" t="s">
        <v>117</v>
      </c>
    </row>
    <row r="88" spans="1:2" x14ac:dyDescent="0.35">
      <c r="A88" s="4" t="s">
        <v>118</v>
      </c>
      <c r="B88" s="3">
        <v>43203281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Anandmohan</dc:creator>
  <cp:lastModifiedBy>Singh, Anandmohan</cp:lastModifiedBy>
  <dcterms:created xsi:type="dcterms:W3CDTF">2026-01-08T10:44:46Z</dcterms:created>
  <dcterms:modified xsi:type="dcterms:W3CDTF">2026-01-09T07:43:23Z</dcterms:modified>
</cp:coreProperties>
</file>