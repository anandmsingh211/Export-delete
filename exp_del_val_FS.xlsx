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nandmohan_singh_capgemini_com/Documents/Desktop/Export Delete/"/>
    </mc:Choice>
  </mc:AlternateContent>
  <xr:revisionPtr revIDLastSave="60" documentId="8_{304ADC8E-7A5E-45B8-A168-122C8EAA5431}" xr6:coauthVersionLast="47" xr6:coauthVersionMax="47" xr10:uidLastSave="{FFFB40F7-5170-4308-8031-1CF9BEEB806A}"/>
  <bookViews>
    <workbookView xWindow="-110" yWindow="-110" windowWidth="19420" windowHeight="10300" activeTab="4" xr2:uid="{C03679D1-2511-472B-8588-22E28C6BB8BC}"/>
  </bookViews>
  <sheets>
    <sheet name="Sheet1" sheetId="1" r:id="rId1"/>
    <sheet name="Sheet2" sheetId="2" r:id="rId2"/>
    <sheet name="Sheet3" sheetId="3" r:id="rId3"/>
    <sheet name="Sheet4" sheetId="4" r:id="rId4"/>
    <sheet name="Generic 2" sheetId="5" r:id="rId5"/>
  </sheets>
  <definedNames>
    <definedName name="_xlnm._FilterDatabase" localSheetId="1" hidden="1">Sheet2!$F$1:$F$545</definedName>
  </definedNames>
  <calcPr calcId="191029"/>
  <pivotCaches>
    <pivotCache cacheId="0" r:id="rId6"/>
    <pivotCache cacheId="1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2" i="5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D98" i="2"/>
  <c r="F98" i="2" s="1"/>
  <c r="D99" i="2"/>
  <c r="F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F106" i="2" s="1"/>
  <c r="D107" i="2"/>
  <c r="F107" i="2" s="1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F122" i="2" s="1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38" i="2"/>
  <c r="F138" i="2" s="1"/>
  <c r="D139" i="2"/>
  <c r="F139" i="2" s="1"/>
  <c r="D140" i="2"/>
  <c r="F140" i="2" s="1"/>
  <c r="D141" i="2"/>
  <c r="F141" i="2" s="1"/>
  <c r="D142" i="2"/>
  <c r="F142" i="2" s="1"/>
  <c r="D143" i="2"/>
  <c r="F143" i="2" s="1"/>
  <c r="D144" i="2"/>
  <c r="F144" i="2" s="1"/>
  <c r="D145" i="2"/>
  <c r="F145" i="2" s="1"/>
  <c r="D146" i="2"/>
  <c r="F146" i="2" s="1"/>
  <c r="D147" i="2"/>
  <c r="F147" i="2" s="1"/>
  <c r="D148" i="2"/>
  <c r="F148" i="2" s="1"/>
  <c r="D149" i="2"/>
  <c r="F149" i="2" s="1"/>
  <c r="D150" i="2"/>
  <c r="F150" i="2" s="1"/>
  <c r="D151" i="2"/>
  <c r="F151" i="2" s="1"/>
  <c r="D152" i="2"/>
  <c r="F152" i="2" s="1"/>
  <c r="D153" i="2"/>
  <c r="F153" i="2" s="1"/>
  <c r="D154" i="2"/>
  <c r="F154" i="2" s="1"/>
  <c r="D155" i="2"/>
  <c r="F155" i="2" s="1"/>
  <c r="D156" i="2"/>
  <c r="F156" i="2" s="1"/>
  <c r="D157" i="2"/>
  <c r="F157" i="2" s="1"/>
  <c r="D158" i="2"/>
  <c r="F158" i="2" s="1"/>
  <c r="D159" i="2"/>
  <c r="F159" i="2" s="1"/>
  <c r="D160" i="2"/>
  <c r="F160" i="2" s="1"/>
  <c r="D161" i="2"/>
  <c r="F161" i="2" s="1"/>
  <c r="D162" i="2"/>
  <c r="F162" i="2" s="1"/>
  <c r="D163" i="2"/>
  <c r="F163" i="2" s="1"/>
  <c r="D164" i="2"/>
  <c r="F164" i="2" s="1"/>
  <c r="D165" i="2"/>
  <c r="F165" i="2" s="1"/>
  <c r="D166" i="2"/>
  <c r="F166" i="2" s="1"/>
  <c r="D167" i="2"/>
  <c r="F167" i="2" s="1"/>
  <c r="D168" i="2"/>
  <c r="F168" i="2" s="1"/>
  <c r="D169" i="2"/>
  <c r="F169" i="2" s="1"/>
  <c r="D170" i="2"/>
  <c r="F170" i="2" s="1"/>
  <c r="D171" i="2"/>
  <c r="F171" i="2" s="1"/>
  <c r="D172" i="2"/>
  <c r="F172" i="2" s="1"/>
  <c r="D173" i="2"/>
  <c r="F173" i="2" s="1"/>
  <c r="D174" i="2"/>
  <c r="F174" i="2" s="1"/>
  <c r="D175" i="2"/>
  <c r="F175" i="2" s="1"/>
  <c r="D176" i="2"/>
  <c r="F176" i="2" s="1"/>
  <c r="D177" i="2"/>
  <c r="F177" i="2" s="1"/>
  <c r="D178" i="2"/>
  <c r="F178" i="2" s="1"/>
  <c r="D179" i="2"/>
  <c r="F179" i="2" s="1"/>
  <c r="D180" i="2"/>
  <c r="F180" i="2" s="1"/>
  <c r="D181" i="2"/>
  <c r="F181" i="2" s="1"/>
  <c r="D182" i="2"/>
  <c r="F182" i="2" s="1"/>
  <c r="D183" i="2"/>
  <c r="F183" i="2" s="1"/>
  <c r="D184" i="2"/>
  <c r="F184" i="2" s="1"/>
  <c r="D185" i="2"/>
  <c r="F185" i="2" s="1"/>
  <c r="D186" i="2"/>
  <c r="F186" i="2" s="1"/>
  <c r="D187" i="2"/>
  <c r="F187" i="2" s="1"/>
  <c r="D188" i="2"/>
  <c r="F188" i="2" s="1"/>
  <c r="D189" i="2"/>
  <c r="F189" i="2" s="1"/>
  <c r="D190" i="2"/>
  <c r="F190" i="2" s="1"/>
  <c r="D191" i="2"/>
  <c r="F191" i="2" s="1"/>
  <c r="D192" i="2"/>
  <c r="F192" i="2" s="1"/>
  <c r="D193" i="2"/>
  <c r="F193" i="2" s="1"/>
  <c r="D194" i="2"/>
  <c r="F194" i="2" s="1"/>
  <c r="D195" i="2"/>
  <c r="F195" i="2" s="1"/>
  <c r="D196" i="2"/>
  <c r="F196" i="2" s="1"/>
  <c r="D197" i="2"/>
  <c r="F197" i="2" s="1"/>
  <c r="D198" i="2"/>
  <c r="F198" i="2" s="1"/>
  <c r="D199" i="2"/>
  <c r="F199" i="2" s="1"/>
  <c r="D200" i="2"/>
  <c r="F200" i="2" s="1"/>
  <c r="D201" i="2"/>
  <c r="F201" i="2" s="1"/>
  <c r="D202" i="2"/>
  <c r="F202" i="2" s="1"/>
  <c r="D203" i="2"/>
  <c r="F203" i="2" s="1"/>
  <c r="D204" i="2"/>
  <c r="F204" i="2" s="1"/>
  <c r="D205" i="2"/>
  <c r="F205" i="2" s="1"/>
  <c r="D206" i="2"/>
  <c r="F206" i="2" s="1"/>
  <c r="D207" i="2"/>
  <c r="F207" i="2" s="1"/>
  <c r="D208" i="2"/>
  <c r="F208" i="2" s="1"/>
  <c r="D209" i="2"/>
  <c r="F209" i="2" s="1"/>
  <c r="D210" i="2"/>
  <c r="F210" i="2" s="1"/>
  <c r="D211" i="2"/>
  <c r="F211" i="2" s="1"/>
  <c r="D212" i="2"/>
  <c r="F212" i="2" s="1"/>
  <c r="D213" i="2"/>
  <c r="F213" i="2" s="1"/>
  <c r="D214" i="2"/>
  <c r="F214" i="2" s="1"/>
  <c r="D215" i="2"/>
  <c r="F215" i="2" s="1"/>
  <c r="D216" i="2"/>
  <c r="F216" i="2" s="1"/>
  <c r="D217" i="2"/>
  <c r="F217" i="2" s="1"/>
  <c r="D218" i="2"/>
  <c r="F218" i="2" s="1"/>
  <c r="D219" i="2"/>
  <c r="F219" i="2" s="1"/>
  <c r="D220" i="2"/>
  <c r="F220" i="2" s="1"/>
  <c r="D221" i="2"/>
  <c r="F221" i="2" s="1"/>
  <c r="D222" i="2"/>
  <c r="F222" i="2" s="1"/>
  <c r="D223" i="2"/>
  <c r="F223" i="2" s="1"/>
  <c r="D224" i="2"/>
  <c r="F224" i="2" s="1"/>
  <c r="D225" i="2"/>
  <c r="F225" i="2" s="1"/>
  <c r="D226" i="2"/>
  <c r="F226" i="2" s="1"/>
  <c r="D227" i="2"/>
  <c r="F227" i="2" s="1"/>
  <c r="D228" i="2"/>
  <c r="F228" i="2" s="1"/>
  <c r="D229" i="2"/>
  <c r="F229" i="2" s="1"/>
  <c r="D230" i="2"/>
  <c r="F230" i="2" s="1"/>
  <c r="D231" i="2"/>
  <c r="F231" i="2" s="1"/>
  <c r="D232" i="2"/>
  <c r="F232" i="2" s="1"/>
  <c r="D233" i="2"/>
  <c r="F233" i="2" s="1"/>
  <c r="D234" i="2"/>
  <c r="F234" i="2" s="1"/>
  <c r="D235" i="2"/>
  <c r="F235" i="2" s="1"/>
  <c r="D236" i="2"/>
  <c r="F236" i="2" s="1"/>
  <c r="D237" i="2"/>
  <c r="F237" i="2" s="1"/>
  <c r="D238" i="2"/>
  <c r="F238" i="2" s="1"/>
  <c r="D239" i="2"/>
  <c r="F239" i="2" s="1"/>
  <c r="D240" i="2"/>
  <c r="F240" i="2" s="1"/>
  <c r="D241" i="2"/>
  <c r="F241" i="2" s="1"/>
  <c r="D242" i="2"/>
  <c r="F242" i="2" s="1"/>
  <c r="D243" i="2"/>
  <c r="F243" i="2" s="1"/>
  <c r="D244" i="2"/>
  <c r="F244" i="2" s="1"/>
  <c r="D245" i="2"/>
  <c r="F245" i="2" s="1"/>
  <c r="D246" i="2"/>
  <c r="F246" i="2" s="1"/>
  <c r="D247" i="2"/>
  <c r="F247" i="2" s="1"/>
  <c r="D248" i="2"/>
  <c r="F248" i="2" s="1"/>
  <c r="D249" i="2"/>
  <c r="F249" i="2" s="1"/>
  <c r="D250" i="2"/>
  <c r="F250" i="2" s="1"/>
  <c r="D251" i="2"/>
  <c r="F251" i="2" s="1"/>
  <c r="D252" i="2"/>
  <c r="F252" i="2" s="1"/>
  <c r="D253" i="2"/>
  <c r="F253" i="2" s="1"/>
  <c r="D254" i="2"/>
  <c r="F254" i="2" s="1"/>
  <c r="D255" i="2"/>
  <c r="F255" i="2" s="1"/>
  <c r="D256" i="2"/>
  <c r="F256" i="2" s="1"/>
  <c r="D257" i="2"/>
  <c r="F257" i="2" s="1"/>
  <c r="D258" i="2"/>
  <c r="F258" i="2" s="1"/>
  <c r="D259" i="2"/>
  <c r="F259" i="2" s="1"/>
  <c r="D260" i="2"/>
  <c r="F260" i="2" s="1"/>
  <c r="D261" i="2"/>
  <c r="F261" i="2" s="1"/>
  <c r="D262" i="2"/>
  <c r="F262" i="2" s="1"/>
  <c r="D263" i="2"/>
  <c r="F263" i="2" s="1"/>
  <c r="D264" i="2"/>
  <c r="F264" i="2" s="1"/>
  <c r="D265" i="2"/>
  <c r="F265" i="2" s="1"/>
  <c r="D266" i="2"/>
  <c r="F266" i="2" s="1"/>
  <c r="D267" i="2"/>
  <c r="F267" i="2" s="1"/>
  <c r="D268" i="2"/>
  <c r="F268" i="2" s="1"/>
  <c r="D269" i="2"/>
  <c r="F269" i="2" s="1"/>
  <c r="D270" i="2"/>
  <c r="F270" i="2" s="1"/>
  <c r="D271" i="2"/>
  <c r="F271" i="2" s="1"/>
  <c r="D272" i="2"/>
  <c r="F272" i="2" s="1"/>
  <c r="D273" i="2"/>
  <c r="F273" i="2" s="1"/>
  <c r="D274" i="2"/>
  <c r="F274" i="2" s="1"/>
  <c r="D275" i="2"/>
  <c r="F275" i="2" s="1"/>
  <c r="D276" i="2"/>
  <c r="F276" i="2" s="1"/>
  <c r="D277" i="2"/>
  <c r="F277" i="2" s="1"/>
  <c r="D278" i="2"/>
  <c r="F278" i="2" s="1"/>
  <c r="D279" i="2"/>
  <c r="F279" i="2" s="1"/>
  <c r="D280" i="2"/>
  <c r="F280" i="2" s="1"/>
  <c r="D281" i="2"/>
  <c r="F281" i="2" s="1"/>
  <c r="D282" i="2"/>
  <c r="F282" i="2" s="1"/>
  <c r="D283" i="2"/>
  <c r="F283" i="2" s="1"/>
  <c r="D284" i="2"/>
  <c r="F284" i="2" s="1"/>
  <c r="D285" i="2"/>
  <c r="F285" i="2" s="1"/>
  <c r="D286" i="2"/>
  <c r="F286" i="2" s="1"/>
  <c r="D287" i="2"/>
  <c r="F287" i="2" s="1"/>
  <c r="D288" i="2"/>
  <c r="F288" i="2" s="1"/>
  <c r="D289" i="2"/>
  <c r="F289" i="2" s="1"/>
  <c r="D290" i="2"/>
  <c r="F290" i="2" s="1"/>
  <c r="D291" i="2"/>
  <c r="F291" i="2" s="1"/>
  <c r="D292" i="2"/>
  <c r="F292" i="2" s="1"/>
  <c r="D293" i="2"/>
  <c r="F293" i="2" s="1"/>
  <c r="D294" i="2"/>
  <c r="F294" i="2" s="1"/>
  <c r="D295" i="2"/>
  <c r="F295" i="2" s="1"/>
  <c r="D296" i="2"/>
  <c r="F296" i="2" s="1"/>
  <c r="D297" i="2"/>
  <c r="F297" i="2" s="1"/>
  <c r="D298" i="2"/>
  <c r="F298" i="2" s="1"/>
  <c r="D299" i="2"/>
  <c r="F299" i="2" s="1"/>
  <c r="D300" i="2"/>
  <c r="F300" i="2" s="1"/>
  <c r="D301" i="2"/>
  <c r="F301" i="2" s="1"/>
  <c r="D302" i="2"/>
  <c r="F302" i="2" s="1"/>
  <c r="D303" i="2"/>
  <c r="F303" i="2" s="1"/>
  <c r="D304" i="2"/>
  <c r="F304" i="2" s="1"/>
  <c r="D305" i="2"/>
  <c r="F305" i="2" s="1"/>
  <c r="D306" i="2"/>
  <c r="F306" i="2" s="1"/>
  <c r="D307" i="2"/>
  <c r="F307" i="2" s="1"/>
  <c r="D308" i="2"/>
  <c r="F308" i="2" s="1"/>
  <c r="D309" i="2"/>
  <c r="F309" i="2" s="1"/>
  <c r="D310" i="2"/>
  <c r="F310" i="2" s="1"/>
  <c r="D311" i="2"/>
  <c r="F311" i="2" s="1"/>
  <c r="D312" i="2"/>
  <c r="F312" i="2" s="1"/>
  <c r="D313" i="2"/>
  <c r="F313" i="2" s="1"/>
  <c r="D314" i="2"/>
  <c r="F314" i="2" s="1"/>
  <c r="D315" i="2"/>
  <c r="F315" i="2" s="1"/>
  <c r="D316" i="2"/>
  <c r="F316" i="2" s="1"/>
  <c r="D317" i="2"/>
  <c r="F317" i="2" s="1"/>
  <c r="D318" i="2"/>
  <c r="F318" i="2" s="1"/>
  <c r="D319" i="2"/>
  <c r="F319" i="2" s="1"/>
  <c r="D320" i="2"/>
  <c r="F320" i="2" s="1"/>
  <c r="D321" i="2"/>
  <c r="F321" i="2" s="1"/>
  <c r="D322" i="2"/>
  <c r="F322" i="2" s="1"/>
  <c r="D323" i="2"/>
  <c r="F323" i="2" s="1"/>
  <c r="D324" i="2"/>
  <c r="F324" i="2" s="1"/>
  <c r="D325" i="2"/>
  <c r="F325" i="2" s="1"/>
  <c r="D326" i="2"/>
  <c r="F326" i="2" s="1"/>
  <c r="D327" i="2"/>
  <c r="F327" i="2" s="1"/>
  <c r="D328" i="2"/>
  <c r="F328" i="2" s="1"/>
  <c r="D329" i="2"/>
  <c r="F329" i="2" s="1"/>
  <c r="D330" i="2"/>
  <c r="F330" i="2" s="1"/>
  <c r="D331" i="2"/>
  <c r="F331" i="2" s="1"/>
  <c r="D332" i="2"/>
  <c r="F332" i="2" s="1"/>
  <c r="D333" i="2"/>
  <c r="F333" i="2" s="1"/>
  <c r="D334" i="2"/>
  <c r="F334" i="2" s="1"/>
  <c r="D335" i="2"/>
  <c r="F335" i="2" s="1"/>
  <c r="D336" i="2"/>
  <c r="F336" i="2" s="1"/>
  <c r="D337" i="2"/>
  <c r="F337" i="2" s="1"/>
  <c r="D338" i="2"/>
  <c r="F338" i="2" s="1"/>
  <c r="D339" i="2"/>
  <c r="F339" i="2" s="1"/>
  <c r="D340" i="2"/>
  <c r="F340" i="2" s="1"/>
  <c r="D341" i="2"/>
  <c r="F341" i="2" s="1"/>
  <c r="D342" i="2"/>
  <c r="F342" i="2" s="1"/>
  <c r="D343" i="2"/>
  <c r="F343" i="2" s="1"/>
  <c r="D344" i="2"/>
  <c r="F344" i="2" s="1"/>
  <c r="D345" i="2"/>
  <c r="F345" i="2" s="1"/>
  <c r="D346" i="2"/>
  <c r="F346" i="2" s="1"/>
  <c r="D347" i="2"/>
  <c r="F347" i="2" s="1"/>
  <c r="D348" i="2"/>
  <c r="F348" i="2" s="1"/>
  <c r="D349" i="2"/>
  <c r="F349" i="2" s="1"/>
  <c r="D350" i="2"/>
  <c r="F350" i="2" s="1"/>
  <c r="D351" i="2"/>
  <c r="F351" i="2" s="1"/>
  <c r="D352" i="2"/>
  <c r="F352" i="2" s="1"/>
  <c r="D353" i="2"/>
  <c r="F353" i="2" s="1"/>
  <c r="D354" i="2"/>
  <c r="F354" i="2" s="1"/>
  <c r="D355" i="2"/>
  <c r="F355" i="2" s="1"/>
  <c r="D356" i="2"/>
  <c r="F356" i="2" s="1"/>
  <c r="D357" i="2"/>
  <c r="F357" i="2" s="1"/>
  <c r="D358" i="2"/>
  <c r="F358" i="2" s="1"/>
  <c r="D359" i="2"/>
  <c r="F359" i="2" s="1"/>
  <c r="D360" i="2"/>
  <c r="F360" i="2" s="1"/>
  <c r="D361" i="2"/>
  <c r="F361" i="2" s="1"/>
  <c r="D362" i="2"/>
  <c r="F362" i="2" s="1"/>
  <c r="D363" i="2"/>
  <c r="F363" i="2" s="1"/>
  <c r="D364" i="2"/>
  <c r="F364" i="2" s="1"/>
  <c r="D365" i="2"/>
  <c r="F365" i="2" s="1"/>
  <c r="D366" i="2"/>
  <c r="F366" i="2" s="1"/>
  <c r="D367" i="2"/>
  <c r="F367" i="2" s="1"/>
  <c r="D368" i="2"/>
  <c r="F368" i="2" s="1"/>
  <c r="D369" i="2"/>
  <c r="F369" i="2" s="1"/>
  <c r="D370" i="2"/>
  <c r="F370" i="2" s="1"/>
  <c r="D371" i="2"/>
  <c r="F371" i="2" s="1"/>
  <c r="D372" i="2"/>
  <c r="F372" i="2" s="1"/>
  <c r="D373" i="2"/>
  <c r="F373" i="2" s="1"/>
  <c r="D374" i="2"/>
  <c r="F374" i="2" s="1"/>
  <c r="D375" i="2"/>
  <c r="F375" i="2" s="1"/>
  <c r="D376" i="2"/>
  <c r="F376" i="2" s="1"/>
  <c r="D377" i="2"/>
  <c r="F377" i="2" s="1"/>
  <c r="D378" i="2"/>
  <c r="F378" i="2" s="1"/>
  <c r="D379" i="2"/>
  <c r="F379" i="2" s="1"/>
  <c r="D380" i="2"/>
  <c r="F380" i="2" s="1"/>
  <c r="D381" i="2"/>
  <c r="F381" i="2" s="1"/>
  <c r="D382" i="2"/>
  <c r="F382" i="2" s="1"/>
  <c r="D383" i="2"/>
  <c r="F383" i="2" s="1"/>
  <c r="D384" i="2"/>
  <c r="F384" i="2" s="1"/>
  <c r="D385" i="2"/>
  <c r="F385" i="2" s="1"/>
  <c r="D386" i="2"/>
  <c r="F386" i="2" s="1"/>
  <c r="D387" i="2"/>
  <c r="F387" i="2" s="1"/>
  <c r="D388" i="2"/>
  <c r="F388" i="2" s="1"/>
  <c r="D389" i="2"/>
  <c r="F389" i="2" s="1"/>
  <c r="D390" i="2"/>
  <c r="F390" i="2" s="1"/>
  <c r="D391" i="2"/>
  <c r="F391" i="2" s="1"/>
  <c r="D392" i="2"/>
  <c r="F392" i="2" s="1"/>
  <c r="D393" i="2"/>
  <c r="F393" i="2" s="1"/>
  <c r="D394" i="2"/>
  <c r="F394" i="2" s="1"/>
  <c r="D395" i="2"/>
  <c r="F395" i="2" s="1"/>
  <c r="D396" i="2"/>
  <c r="F396" i="2" s="1"/>
  <c r="D397" i="2"/>
  <c r="F397" i="2" s="1"/>
  <c r="D398" i="2"/>
  <c r="F398" i="2" s="1"/>
  <c r="D399" i="2"/>
  <c r="F399" i="2" s="1"/>
  <c r="D400" i="2"/>
  <c r="F400" i="2" s="1"/>
  <c r="D401" i="2"/>
  <c r="F401" i="2" s="1"/>
  <c r="D402" i="2"/>
  <c r="F402" i="2" s="1"/>
  <c r="D403" i="2"/>
  <c r="F403" i="2" s="1"/>
  <c r="D404" i="2"/>
  <c r="F404" i="2" s="1"/>
  <c r="D405" i="2"/>
  <c r="F405" i="2" s="1"/>
  <c r="D406" i="2"/>
  <c r="F406" i="2" s="1"/>
  <c r="D407" i="2"/>
  <c r="F407" i="2" s="1"/>
  <c r="D408" i="2"/>
  <c r="F408" i="2" s="1"/>
  <c r="D409" i="2"/>
  <c r="F409" i="2" s="1"/>
  <c r="D410" i="2"/>
  <c r="F410" i="2" s="1"/>
  <c r="D411" i="2"/>
  <c r="F411" i="2" s="1"/>
  <c r="D412" i="2"/>
  <c r="F412" i="2" s="1"/>
  <c r="D413" i="2"/>
  <c r="F413" i="2" s="1"/>
  <c r="D414" i="2"/>
  <c r="F414" i="2" s="1"/>
  <c r="D415" i="2"/>
  <c r="F415" i="2" s="1"/>
  <c r="D416" i="2"/>
  <c r="F416" i="2" s="1"/>
  <c r="D417" i="2"/>
  <c r="F417" i="2" s="1"/>
  <c r="D418" i="2"/>
  <c r="F418" i="2" s="1"/>
  <c r="D419" i="2"/>
  <c r="F419" i="2" s="1"/>
  <c r="D420" i="2"/>
  <c r="F420" i="2" s="1"/>
  <c r="D421" i="2"/>
  <c r="F421" i="2" s="1"/>
  <c r="D422" i="2"/>
  <c r="F422" i="2" s="1"/>
  <c r="D423" i="2"/>
  <c r="F423" i="2" s="1"/>
  <c r="D424" i="2"/>
  <c r="F424" i="2" s="1"/>
  <c r="D425" i="2"/>
  <c r="F425" i="2" s="1"/>
  <c r="D426" i="2"/>
  <c r="F426" i="2" s="1"/>
  <c r="D427" i="2"/>
  <c r="F427" i="2" s="1"/>
  <c r="D428" i="2"/>
  <c r="F428" i="2" s="1"/>
  <c r="D429" i="2"/>
  <c r="F429" i="2" s="1"/>
  <c r="D430" i="2"/>
  <c r="F430" i="2" s="1"/>
  <c r="D431" i="2"/>
  <c r="F431" i="2" s="1"/>
  <c r="D432" i="2"/>
  <c r="F432" i="2" s="1"/>
  <c r="D433" i="2"/>
  <c r="F433" i="2" s="1"/>
  <c r="D434" i="2"/>
  <c r="F434" i="2" s="1"/>
  <c r="D435" i="2"/>
  <c r="F435" i="2" s="1"/>
  <c r="D436" i="2"/>
  <c r="F436" i="2" s="1"/>
  <c r="D437" i="2"/>
  <c r="F437" i="2" s="1"/>
  <c r="D438" i="2"/>
  <c r="F438" i="2" s="1"/>
  <c r="D439" i="2"/>
  <c r="F439" i="2" s="1"/>
  <c r="D440" i="2"/>
  <c r="F440" i="2" s="1"/>
  <c r="D441" i="2"/>
  <c r="F441" i="2" s="1"/>
  <c r="D442" i="2"/>
  <c r="F442" i="2" s="1"/>
  <c r="D443" i="2"/>
  <c r="F443" i="2" s="1"/>
  <c r="D444" i="2"/>
  <c r="F444" i="2" s="1"/>
  <c r="D445" i="2"/>
  <c r="F445" i="2" s="1"/>
  <c r="D446" i="2"/>
  <c r="F446" i="2" s="1"/>
  <c r="D447" i="2"/>
  <c r="F447" i="2" s="1"/>
  <c r="D448" i="2"/>
  <c r="F448" i="2" s="1"/>
  <c r="D449" i="2"/>
  <c r="F449" i="2" s="1"/>
  <c r="D450" i="2"/>
  <c r="F450" i="2" s="1"/>
  <c r="D451" i="2"/>
  <c r="F451" i="2" s="1"/>
  <c r="D452" i="2"/>
  <c r="F452" i="2" s="1"/>
  <c r="D453" i="2"/>
  <c r="F453" i="2" s="1"/>
  <c r="D454" i="2"/>
  <c r="F454" i="2" s="1"/>
  <c r="D455" i="2"/>
  <c r="F455" i="2" s="1"/>
  <c r="D456" i="2"/>
  <c r="F456" i="2" s="1"/>
  <c r="D457" i="2"/>
  <c r="F457" i="2" s="1"/>
  <c r="D458" i="2"/>
  <c r="F458" i="2" s="1"/>
  <c r="D459" i="2"/>
  <c r="F459" i="2" s="1"/>
  <c r="D460" i="2"/>
  <c r="F460" i="2" s="1"/>
  <c r="D461" i="2"/>
  <c r="F461" i="2" s="1"/>
  <c r="D462" i="2"/>
  <c r="F462" i="2" s="1"/>
  <c r="D463" i="2"/>
  <c r="F463" i="2" s="1"/>
  <c r="D464" i="2"/>
  <c r="F464" i="2" s="1"/>
  <c r="D465" i="2"/>
  <c r="F465" i="2" s="1"/>
  <c r="D466" i="2"/>
  <c r="F466" i="2" s="1"/>
  <c r="D467" i="2"/>
  <c r="F467" i="2" s="1"/>
  <c r="D468" i="2"/>
  <c r="F468" i="2" s="1"/>
  <c r="D469" i="2"/>
  <c r="F469" i="2" s="1"/>
  <c r="D470" i="2"/>
  <c r="F470" i="2" s="1"/>
  <c r="D471" i="2"/>
  <c r="F471" i="2" s="1"/>
  <c r="D472" i="2"/>
  <c r="F472" i="2" s="1"/>
  <c r="D473" i="2"/>
  <c r="F473" i="2" s="1"/>
  <c r="D474" i="2"/>
  <c r="F474" i="2" s="1"/>
  <c r="D475" i="2"/>
  <c r="F475" i="2" s="1"/>
  <c r="D476" i="2"/>
  <c r="F476" i="2" s="1"/>
  <c r="D477" i="2"/>
  <c r="F477" i="2" s="1"/>
  <c r="D478" i="2"/>
  <c r="F478" i="2" s="1"/>
  <c r="D479" i="2"/>
  <c r="F479" i="2" s="1"/>
  <c r="D480" i="2"/>
  <c r="F480" i="2" s="1"/>
  <c r="D481" i="2"/>
  <c r="F481" i="2" s="1"/>
  <c r="D482" i="2"/>
  <c r="F482" i="2" s="1"/>
  <c r="D483" i="2"/>
  <c r="F483" i="2" s="1"/>
  <c r="D484" i="2"/>
  <c r="F484" i="2" s="1"/>
  <c r="D485" i="2"/>
  <c r="F485" i="2" s="1"/>
  <c r="D486" i="2"/>
  <c r="F486" i="2" s="1"/>
  <c r="D487" i="2"/>
  <c r="F487" i="2" s="1"/>
  <c r="D488" i="2"/>
  <c r="F488" i="2" s="1"/>
  <c r="D489" i="2"/>
  <c r="F489" i="2" s="1"/>
  <c r="D490" i="2"/>
  <c r="F490" i="2" s="1"/>
  <c r="D491" i="2"/>
  <c r="F491" i="2" s="1"/>
  <c r="D492" i="2"/>
  <c r="F492" i="2" s="1"/>
  <c r="D493" i="2"/>
  <c r="F493" i="2" s="1"/>
  <c r="D494" i="2"/>
  <c r="F494" i="2" s="1"/>
  <c r="D495" i="2"/>
  <c r="F495" i="2" s="1"/>
  <c r="D496" i="2"/>
  <c r="F496" i="2" s="1"/>
  <c r="D497" i="2"/>
  <c r="F497" i="2" s="1"/>
  <c r="D498" i="2"/>
  <c r="F498" i="2" s="1"/>
  <c r="D499" i="2"/>
  <c r="F499" i="2" s="1"/>
  <c r="D500" i="2"/>
  <c r="F500" i="2" s="1"/>
  <c r="D501" i="2"/>
  <c r="F501" i="2" s="1"/>
  <c r="D502" i="2"/>
  <c r="F502" i="2" s="1"/>
  <c r="D503" i="2"/>
  <c r="F503" i="2" s="1"/>
  <c r="D504" i="2"/>
  <c r="F504" i="2" s="1"/>
  <c r="D505" i="2"/>
  <c r="F505" i="2" s="1"/>
  <c r="D506" i="2"/>
  <c r="F506" i="2" s="1"/>
  <c r="D507" i="2"/>
  <c r="F507" i="2" s="1"/>
  <c r="D508" i="2"/>
  <c r="F508" i="2" s="1"/>
  <c r="D509" i="2"/>
  <c r="F509" i="2" s="1"/>
  <c r="D510" i="2"/>
  <c r="F510" i="2" s="1"/>
  <c r="D511" i="2"/>
  <c r="F511" i="2" s="1"/>
  <c r="D512" i="2"/>
  <c r="F512" i="2" s="1"/>
  <c r="D513" i="2"/>
  <c r="F513" i="2" s="1"/>
  <c r="D514" i="2"/>
  <c r="F514" i="2" s="1"/>
  <c r="D515" i="2"/>
  <c r="F515" i="2" s="1"/>
  <c r="D516" i="2"/>
  <c r="F516" i="2" s="1"/>
  <c r="D517" i="2"/>
  <c r="F517" i="2" s="1"/>
  <c r="D518" i="2"/>
  <c r="F518" i="2" s="1"/>
  <c r="D519" i="2"/>
  <c r="F519" i="2" s="1"/>
  <c r="D520" i="2"/>
  <c r="F520" i="2" s="1"/>
  <c r="D521" i="2"/>
  <c r="F521" i="2" s="1"/>
  <c r="D522" i="2"/>
  <c r="F522" i="2" s="1"/>
  <c r="D523" i="2"/>
  <c r="F523" i="2" s="1"/>
  <c r="D524" i="2"/>
  <c r="F524" i="2" s="1"/>
  <c r="D525" i="2"/>
  <c r="F525" i="2" s="1"/>
  <c r="D526" i="2"/>
  <c r="F526" i="2" s="1"/>
  <c r="D527" i="2"/>
  <c r="F527" i="2" s="1"/>
  <c r="D528" i="2"/>
  <c r="F528" i="2" s="1"/>
  <c r="D529" i="2"/>
  <c r="F529" i="2" s="1"/>
  <c r="D530" i="2"/>
  <c r="F530" i="2" s="1"/>
  <c r="D531" i="2"/>
  <c r="F531" i="2" s="1"/>
  <c r="D532" i="2"/>
  <c r="F532" i="2" s="1"/>
  <c r="D533" i="2"/>
  <c r="F533" i="2" s="1"/>
  <c r="D534" i="2"/>
  <c r="F534" i="2" s="1"/>
  <c r="D535" i="2"/>
  <c r="F535" i="2" s="1"/>
  <c r="D536" i="2"/>
  <c r="F536" i="2" s="1"/>
  <c r="D537" i="2"/>
  <c r="F537" i="2" s="1"/>
  <c r="D538" i="2"/>
  <c r="F538" i="2" s="1"/>
  <c r="D539" i="2"/>
  <c r="F539" i="2" s="1"/>
  <c r="D540" i="2"/>
  <c r="F540" i="2" s="1"/>
  <c r="D541" i="2"/>
  <c r="F541" i="2" s="1"/>
  <c r="D542" i="2"/>
  <c r="F542" i="2" s="1"/>
  <c r="D543" i="2"/>
  <c r="F543" i="2" s="1"/>
  <c r="D544" i="2"/>
  <c r="F544" i="2" s="1"/>
  <c r="D21" i="2"/>
  <c r="F21" i="2" s="1"/>
  <c r="D20" i="2"/>
  <c r="F20" i="2" s="1"/>
  <c r="D19" i="2"/>
  <c r="F19" i="2" s="1"/>
  <c r="D18" i="2"/>
  <c r="F18" i="2" s="1"/>
  <c r="D17" i="2"/>
  <c r="F17" i="2" s="1"/>
  <c r="D16" i="2"/>
  <c r="F16" i="2" s="1"/>
  <c r="D15" i="2"/>
  <c r="F15" i="2" s="1"/>
  <c r="D14" i="2"/>
  <c r="F14" i="2" s="1"/>
  <c r="D13" i="2"/>
  <c r="F13" i="2" s="1"/>
  <c r="D12" i="2"/>
  <c r="F12" i="2" s="1"/>
  <c r="D11" i="2"/>
  <c r="F11" i="2" s="1"/>
  <c r="D10" i="2"/>
  <c r="F10" i="2" s="1"/>
  <c r="D9" i="2"/>
  <c r="F9" i="2" s="1"/>
  <c r="D8" i="2"/>
  <c r="F8" i="2" s="1"/>
  <c r="D7" i="2"/>
  <c r="F7" i="2" s="1"/>
  <c r="D6" i="2"/>
  <c r="F6" i="2" s="1"/>
  <c r="D5" i="2"/>
  <c r="F5" i="2" s="1"/>
  <c r="D4" i="2"/>
  <c r="F4" i="2" s="1"/>
  <c r="D3" i="2"/>
  <c r="F3" i="2" s="1"/>
  <c r="D2" i="2"/>
  <c r="F2" i="2" s="1"/>
</calcChain>
</file>

<file path=xl/sharedStrings.xml><?xml version="1.0" encoding="utf-8"?>
<sst xmlns="http://schemas.openxmlformats.org/spreadsheetml/2006/main" count="4672" uniqueCount="1300">
  <si>
    <t xml:space="preserve">PS_AP_ARC_EXP_DL_H </t>
  </si>
  <si>
    <t xml:space="preserve">PS_AP_ARC_VCHL_M_H </t>
  </si>
  <si>
    <t xml:space="preserve">PS_AP_ARC_VCHL_E_H </t>
  </si>
  <si>
    <t xml:space="preserve">PS_AP_ARC_VCH_ST_H </t>
  </si>
  <si>
    <t xml:space="preserve">PS_AP_ARC_VCH_UT_H </t>
  </si>
  <si>
    <t xml:space="preserve">PS_AP_ARC_VCH_LN_H </t>
  </si>
  <si>
    <t xml:space="preserve">PS_LNWTHD_UPD_H_XX </t>
  </si>
  <si>
    <t xml:space="preserve">PS_VED_DUPINV_H_XX </t>
  </si>
  <si>
    <t xml:space="preserve">PS_PAY_TRNSMT_H_XX </t>
  </si>
  <si>
    <t xml:space="preserve">PS_AR_FRMLIN2_XX_H </t>
  </si>
  <si>
    <t xml:space="preserve">PS_AR_FORMTMP_XX_H </t>
  </si>
  <si>
    <t xml:space="preserve">PS_AR_FORMNAR_XX_H </t>
  </si>
  <si>
    <t xml:space="preserve">PS_AR_CCTRN_HDR_H </t>
  </si>
  <si>
    <t xml:space="preserve">PS_AR_ITM_ACTXDT_H </t>
  </si>
  <si>
    <t xml:space="preserve">PS_AR_FORMMAR_XX_H </t>
  </si>
  <si>
    <t xml:space="preserve">PS_AR_PEND_DST_H </t>
  </si>
  <si>
    <t xml:space="preserve">PS_AR_PEND_IT_MR_H </t>
  </si>
  <si>
    <t xml:space="preserve">PS_AR_PEND_VAT_H </t>
  </si>
  <si>
    <t xml:space="preserve">PS_AR_PO_FLDS_XX_H </t>
  </si>
  <si>
    <t xml:space="preserve">PS_AR_FRMRARB_XX_H </t>
  </si>
  <si>
    <t xml:space="preserve">PS_AR_STMT_CUST_H </t>
  </si>
  <si>
    <t xml:space="preserve">PS_AR_FORMTAR_XX_H </t>
  </si>
  <si>
    <t xml:space="preserve">PS_BICBIVCLIN_H_XX </t>
  </si>
  <si>
    <t xml:space="preserve">PS_BIACCTENTRY_HXX </t>
  </si>
  <si>
    <t xml:space="preserve">PS_BIHDRAR_H_XX </t>
  </si>
  <si>
    <t xml:space="preserve">PS_BIHDRCRCARD_HXX </t>
  </si>
  <si>
    <t xml:space="preserve">PS_BILNDSTAR_H_XX </t>
  </si>
  <si>
    <t xml:space="preserve">PS_BIALLTAXX_H_XX </t>
  </si>
  <si>
    <t xml:space="preserve">PS_BILNDST_H_XX </t>
  </si>
  <si>
    <t xml:space="preserve">PS_VMSACCTLNX_H_XX </t>
  </si>
  <si>
    <t xml:space="preserve">PS_BIPCITRCKX_H_XX </t>
  </si>
  <si>
    <t xml:space="preserve">PS_BIRELCMPX_H_XX </t>
  </si>
  <si>
    <t xml:space="preserve">PS_CA_BP_EVENTS_H </t>
  </si>
  <si>
    <t xml:space="preserve">PS_CA_DETAIL_DFR_H </t>
  </si>
  <si>
    <t xml:space="preserve">PS_CA_DETAIL_PRI_H </t>
  </si>
  <si>
    <t xml:space="preserve">PS_CA_DTL_RED_DA_H </t>
  </si>
  <si>
    <t xml:space="preserve">PS_CA_FC_MAIN_H </t>
  </si>
  <si>
    <t xml:space="preserve">PS_CA_LNRED_LANG_H </t>
  </si>
  <si>
    <t xml:space="preserve">PS_CA_OPRID_CONT_H </t>
  </si>
  <si>
    <t xml:space="preserve">PS_CA_PROJ_SUMMA_H </t>
  </si>
  <si>
    <t xml:space="preserve">PS_CA_RNW_LN_RED_H </t>
  </si>
  <si>
    <t xml:space="preserve">PS_CSH_CST_DTL_HXX </t>
  </si>
  <si>
    <t xml:space="preserve">PS_TR_ATTACH_H_XX </t>
  </si>
  <si>
    <t xml:space="preserve">PS_BNK_EXCP_H_XX </t>
  </si>
  <si>
    <t xml:space="preserve">PS_CSH_CST_SUM_HXX </t>
  </si>
  <si>
    <t xml:space="preserve">PS_BNK_SMT_HDR_HXX </t>
  </si>
  <si>
    <t xml:space="preserve">PS_BANK_STMT_H_XX </t>
  </si>
  <si>
    <t xml:space="preserve">PS_TR_WR_HDR_H_XX </t>
  </si>
  <si>
    <t xml:space="preserve">PS_EX_ADV_CHK_H </t>
  </si>
  <si>
    <t xml:space="preserve">PS_EX_ADV_DIST_H </t>
  </si>
  <si>
    <t xml:space="preserve">PS_EX_ADV_DOCSEQ_H </t>
  </si>
  <si>
    <t xml:space="preserve">PS_EX_SHEET_LINE_H </t>
  </si>
  <si>
    <t xml:space="preserve">PS_EX_SHT_LN_PD_H </t>
  </si>
  <si>
    <t xml:space="preserve">PS_EID_FILE_EX_HXX </t>
  </si>
  <si>
    <t xml:space="preserve">PS_EX_ENHC_SMAMX_H </t>
  </si>
  <si>
    <t xml:space="preserve">PS_PMT_ACK_H_XX </t>
  </si>
  <si>
    <t xml:space="preserve">PS_PMT_ACK_HDR_HXX </t>
  </si>
  <si>
    <t xml:space="preserve">PS_PMT_UPARTY_H_XX </t>
  </si>
  <si>
    <t xml:space="preserve">PS_JRNL_IUAC_H </t>
  </si>
  <si>
    <t xml:space="preserve">PS_JRNL_LN_H </t>
  </si>
  <si>
    <t xml:space="preserve">PS_GL_OITEM_H </t>
  </si>
  <si>
    <t xml:space="preserve">PS_JRNL_HDR_H </t>
  </si>
  <si>
    <t xml:space="preserve">PS_LEDGER_H </t>
  </si>
  <si>
    <t xml:space="preserve">PS_PC_BUD_DETAIL_H </t>
  </si>
  <si>
    <t xml:space="preserve">PS_PC_BUD_ITM_XX_H </t>
  </si>
  <si>
    <t xml:space="preserve">PS_PC_CHCINFO_XX_H </t>
  </si>
  <si>
    <t xml:space="preserve">PS_PC_CMPRREPXX_H </t>
  </si>
  <si>
    <t xml:space="preserve">PS_PC_RPO_H </t>
  </si>
  <si>
    <t xml:space="preserve">PS_PC_VP_REVIEW_H </t>
  </si>
  <si>
    <t xml:space="preserve">PS_PM_RES_STG_XX_H </t>
  </si>
  <si>
    <t xml:space="preserve">PS_PRJ_TMACTDTXX_H </t>
  </si>
  <si>
    <t xml:space="preserve">PS_PROJECT_TEAM_H </t>
  </si>
  <si>
    <t xml:space="preserve">PS_PROJ_JUSTIFY_H </t>
  </si>
  <si>
    <t xml:space="preserve">PS_PROJ_RESOURCE_H </t>
  </si>
  <si>
    <t xml:space="preserve">PS_PROJ_RES_DELT_H </t>
  </si>
  <si>
    <t xml:space="preserve">PS_PROJ_RSCTMPXX_H </t>
  </si>
  <si>
    <t xml:space="preserve">PS_PGM_MRHGRID_HXX </t>
  </si>
  <si>
    <t xml:space="preserve">PS_PGM_PRLQLNT_HXX </t>
  </si>
  <si>
    <t xml:space="preserve">PS_CDMAUTHIST_H_XX </t>
  </si>
  <si>
    <t xml:space="preserve">PS_CDMLISTHIS_H_XX </t>
  </si>
  <si>
    <t xml:space="preserve">PS_PRCDISTHIS_H_XX </t>
  </si>
  <si>
    <t xml:space="preserve">PS_GM_PROP_PRJ_HXX </t>
  </si>
  <si>
    <t xml:space="preserve">PS_BEN_PRGPRTC_HXX </t>
  </si>
  <si>
    <t xml:space="preserve">PS_JOB_XX_H_XX </t>
  </si>
  <si>
    <t xml:space="preserve">PS_PERSONALDA_H_XX </t>
  </si>
  <si>
    <t xml:space="preserve">PS_MSTR_ITMTBL_HXX </t>
  </si>
  <si>
    <t xml:space="preserve">PS_CNTRCT_DSTB_HXX </t>
  </si>
  <si>
    <t xml:space="preserve">PS_CNTR_EVTVCH_HXX </t>
  </si>
  <si>
    <t xml:space="preserve">PS_CNTR_LN_UOM_HXX </t>
  </si>
  <si>
    <t xml:space="preserve">PS_PO_DFLT_TBL_HXX </t>
  </si>
  <si>
    <t xml:space="preserve">PS_PO_APPROVAL_HXX </t>
  </si>
  <si>
    <t xml:space="preserve">PS_PO_DISPATCH_HXX </t>
  </si>
  <si>
    <t xml:space="preserve">PS_RECV_LN_SHP_HXX </t>
  </si>
  <si>
    <t xml:space="preserve">PS_AP_VCHR_AUD_ARC </t>
  </si>
  <si>
    <t xml:space="preserve">PS_RS_SCHED_TASK_H </t>
  </si>
  <si>
    <t xml:space="preserve">PS_CUSTAGINGX_H_XX </t>
  </si>
  <si>
    <t xml:space="preserve">PS_AP_ARC_PYM_RC_H </t>
  </si>
  <si>
    <t xml:space="preserve">PS_AP_ARC_PYM_AD_H </t>
  </si>
  <si>
    <t xml:space="preserve">PS_AP_ARC_VCH_RM_H </t>
  </si>
  <si>
    <t xml:space="preserve">PS_APVCH_DSPL_H_XX </t>
  </si>
  <si>
    <t xml:space="preserve">PS_APYX42_IFC_H_XX </t>
  </si>
  <si>
    <t xml:space="preserve">PS_PAYMNT_TBL_H_XX </t>
  </si>
  <si>
    <t xml:space="preserve">PS_AP_SUPPRES_H_XX </t>
  </si>
  <si>
    <t xml:space="preserve">PS_AR_ACTION_LST_H </t>
  </si>
  <si>
    <t xml:space="preserve">PS_AR_IPAC_SGL_H </t>
  </si>
  <si>
    <t xml:space="preserve">PS_AR_PO_WORK_XX_H </t>
  </si>
  <si>
    <t xml:space="preserve">PS_AR_DEP_CONTRL_H </t>
  </si>
  <si>
    <t xml:space="preserve">PS_BILNNOTE_H_XX </t>
  </si>
  <si>
    <t xml:space="preserve">PS_BILNDSDTLX_H_XX </t>
  </si>
  <si>
    <t xml:space="preserve">PS_BILNDSTDFR_H_XX </t>
  </si>
  <si>
    <t xml:space="preserve">PS_BILNTAXDTL_H_XX </t>
  </si>
  <si>
    <t xml:space="preserve">PS_BILINE_H_XX </t>
  </si>
  <si>
    <t xml:space="preserve">PS_BILNIUEXP_H_XX </t>
  </si>
  <si>
    <t xml:space="preserve">PS_BILINEX_H_XX </t>
  </si>
  <si>
    <t xml:space="preserve">PS_CA_AP_DFR_H </t>
  </si>
  <si>
    <t xml:space="preserve">PS_CA_AP_EVT_CHG_H </t>
  </si>
  <si>
    <t xml:space="preserve">PS_CA_AP_PC_DFR_H </t>
  </si>
  <si>
    <t xml:space="preserve">PS_CA_BONUS_PENL_H </t>
  </si>
  <si>
    <t xml:space="preserve">PS_CA_BP_EV_AMXX_H </t>
  </si>
  <si>
    <t xml:space="preserve">PS_CA_DTL_DST_DA_H </t>
  </si>
  <si>
    <t xml:space="preserve">PS_CA_FC_STG_RUN_H </t>
  </si>
  <si>
    <t xml:space="preserve">PS_CA_HDREV_RED_H </t>
  </si>
  <si>
    <t xml:space="preserve">PS_CA_MS_COND_H </t>
  </si>
  <si>
    <t xml:space="preserve">PS_CA_RATE_H </t>
  </si>
  <si>
    <t xml:space="preserve">PS_CA_RECON_BI_H </t>
  </si>
  <si>
    <t xml:space="preserve">PS_CA_RECON_SUM_H </t>
  </si>
  <si>
    <t xml:space="preserve">PS_CA_RNW_LN_LIN_H </t>
  </si>
  <si>
    <t xml:space="preserve">PS_INTFCBIADCMPHXX </t>
  </si>
  <si>
    <t xml:space="preserve">PS_EX_ADV_LINE_H </t>
  </si>
  <si>
    <t xml:space="preserve">PS_EX_ADV_HDR_H </t>
  </si>
  <si>
    <t xml:space="preserve">PS_EX_SHEET_ADV_H </t>
  </si>
  <si>
    <t xml:space="preserve">PS_EX_ACCTG_LINE_H </t>
  </si>
  <si>
    <t xml:space="preserve">PS_EX_ENHC_DET_H </t>
  </si>
  <si>
    <t xml:space="preserve">PS_EOAW_NEMSTS_HXX </t>
  </si>
  <si>
    <t xml:space="preserve">PS_EOAW_SPINST_HXX </t>
  </si>
  <si>
    <t xml:space="preserve">PS_EOAW_SUMM_HXX </t>
  </si>
  <si>
    <t xml:space="preserve">PS_PMT_FIL_REF_HXX </t>
  </si>
  <si>
    <t xml:space="preserve">PS_PC_ACT_SUM_H </t>
  </si>
  <si>
    <t xml:space="preserve">PS_PC_AMRULE_ACT_H </t>
  </si>
  <si>
    <t xml:space="preserve">PS_PC_PRICE_RATE_H </t>
  </si>
  <si>
    <t xml:space="preserve">PS_PC_PROJHEALTH_H </t>
  </si>
  <si>
    <t xml:space="preserve">PS_PC_COM_HD_XX_H </t>
  </si>
  <si>
    <t xml:space="preserve">PS_PM_SPR_STG_XX_H </t>
  </si>
  <si>
    <t xml:space="preserve">PS_PROJ_ACT_LOC_H </t>
  </si>
  <si>
    <t xml:space="preserve">PS_PROJ_APPROVAL_H </t>
  </si>
  <si>
    <t xml:space="preserve">PS_PROJ_DOCUMENT_H </t>
  </si>
  <si>
    <t xml:space="preserve">PS_INTF_PROJ_RES_H </t>
  </si>
  <si>
    <t xml:space="preserve">PS_PC_INTFCSTGXX_H </t>
  </si>
  <si>
    <t xml:space="preserve">PS_EMAILADRS_H_XX </t>
  </si>
  <si>
    <t xml:space="preserve">PS_PURGEDATA_H_XX </t>
  </si>
  <si>
    <t xml:space="preserve">PS_RTV_HDR_H_XX </t>
  </si>
  <si>
    <t xml:space="preserve">PS_CNTR_BUDSTB_HXX </t>
  </si>
  <si>
    <t xml:space="preserve">PS_CNTRCT_DFLT_HXX </t>
  </si>
  <si>
    <t xml:space="preserve">PS_PO_LINE_H_XX </t>
  </si>
  <si>
    <t xml:space="preserve">PS_RECV_COMNT_HXX </t>
  </si>
  <si>
    <t xml:space="preserve">PS_RECV_LNDSTB_HXX </t>
  </si>
  <si>
    <t xml:space="preserve">PS_RECV_LNINSP_HXX </t>
  </si>
  <si>
    <t xml:space="preserve">PS_VMSTRNCNLX_H_XX </t>
  </si>
  <si>
    <t xml:space="preserve">PS_AP_ARC_PYM_TB_H </t>
  </si>
  <si>
    <t xml:space="preserve">PS_WTH_TRXTBL_H_XX </t>
  </si>
  <si>
    <t xml:space="preserve">PS_AP_ARC_PYM_XR_H </t>
  </si>
  <si>
    <t xml:space="preserve">PS_APYX18_IFC_H_XX </t>
  </si>
  <si>
    <t xml:space="preserve">PS_AR_ITM_ACTTAX_H </t>
  </si>
  <si>
    <t xml:space="preserve">PS_AR_ITMDSP_XX_H </t>
  </si>
  <si>
    <t xml:space="preserve">PS_AR_ITEM_DST_H </t>
  </si>
  <si>
    <t xml:space="preserve">PS_AR_PO_TOT_XX_H </t>
  </si>
  <si>
    <t xml:space="preserve">PS_PO_KEY_DTA_XX_H </t>
  </si>
  <si>
    <t xml:space="preserve">PS_AR_PAY_ITEM_H </t>
  </si>
  <si>
    <t xml:space="preserve">PS_AR_STMT_CUS_H </t>
  </si>
  <si>
    <t xml:space="preserve">PS_BILNDSTUAR_H_XX </t>
  </si>
  <si>
    <t xml:space="preserve">PS_BILNDSLVL_H_XX </t>
  </si>
  <si>
    <t xml:space="preserve">PS_BIHDR_H_XX </t>
  </si>
  <si>
    <t xml:space="preserve">PS_CA_ACCTG_LINE_H </t>
  </si>
  <si>
    <t xml:space="preserve">PS_CA_ACCTPLN_LA_H </t>
  </si>
  <si>
    <t xml:space="preserve">PS_CA_AP_TXN_UAR_H </t>
  </si>
  <si>
    <t xml:space="preserve">PS_CA_BP_FEE_WS_H </t>
  </si>
  <si>
    <t xml:space="preserve">PS_CA_CHG_DTL_H </t>
  </si>
  <si>
    <t xml:space="preserve">PS_CA_DETAIL_DC_H </t>
  </si>
  <si>
    <t xml:space="preserve">PS_CA_INVTRKL_XX_H </t>
  </si>
  <si>
    <t xml:space="preserve">PS_CA_IVC_PRT_XX_H </t>
  </si>
  <si>
    <t xml:space="preserve">PS_CA_LMT_FEE_DT_H </t>
  </si>
  <si>
    <t xml:space="preserve">PS_CA_LNREV_RED_H </t>
  </si>
  <si>
    <t xml:space="preserve">PS_CA_NOTE_TRANS_H </t>
  </si>
  <si>
    <t xml:space="preserve">PS_CA_OPP_TYP_XX_H </t>
  </si>
  <si>
    <t xml:space="preserve">PS_CA_PGP_PROJ_H </t>
  </si>
  <si>
    <t xml:space="preserve">PS_CA_PGP_WKS_H </t>
  </si>
  <si>
    <t xml:space="preserve">PS_CA_RNWLNRR_LG_H </t>
  </si>
  <si>
    <t xml:space="preserve">PS_CA_RNW_APPLIE_H </t>
  </si>
  <si>
    <t xml:space="preserve">PS_CA_RNW_LN_RDS_H </t>
  </si>
  <si>
    <t xml:space="preserve">PS_CA_WTH_RELEAS_H </t>
  </si>
  <si>
    <t xml:space="preserve">PS_BI_HDR_TMP_XX_H </t>
  </si>
  <si>
    <t xml:space="preserve">PS_CA_DETAIL_PRO_H </t>
  </si>
  <si>
    <t xml:space="preserve">PS_BANK_BAL_H_XX </t>
  </si>
  <si>
    <t xml:space="preserve">PS_CASH_FLW_TR_HXX </t>
  </si>
  <si>
    <t xml:space="preserve">PS_BANK_NON_PD_HXX </t>
  </si>
  <si>
    <t xml:space="preserve">PS_EX_SHEET_HDR_H </t>
  </si>
  <si>
    <t xml:space="preserve">PS_EX_SHEET_PYMT_H </t>
  </si>
  <si>
    <t xml:space="preserve">PS_EX_SHT_SPLIT_H </t>
  </si>
  <si>
    <t xml:space="preserve">PS_EX_ENHC_DTAMX_H </t>
  </si>
  <si>
    <t xml:space="preserve">PS_PMT_FIL_ACK_HXX </t>
  </si>
  <si>
    <t xml:space="preserve">PS_JRNL_CF_BAL_H </t>
  </si>
  <si>
    <t xml:space="preserve">PS_PC_BUD_ALERT_H </t>
  </si>
  <si>
    <t xml:space="preserve">PS_PC_BUD_DETLXX_H </t>
  </si>
  <si>
    <t xml:space="preserve">PS_PC_DELUTIL_RC_H </t>
  </si>
  <si>
    <t xml:space="preserve">PS_PC_OPIDPRJACT_H </t>
  </si>
  <si>
    <t xml:space="preserve">PS_PC_PICSTS_TBL_H </t>
  </si>
  <si>
    <t xml:space="preserve">PS_PC_PRJ_ACT_XX_H </t>
  </si>
  <si>
    <t xml:space="preserve">PS_PROJECT_H </t>
  </si>
  <si>
    <t xml:space="preserve">PS_PROJECT_SD_H </t>
  </si>
  <si>
    <t xml:space="preserve">PS_PROJ_ACTIVITY_H </t>
  </si>
  <si>
    <t xml:space="preserve">PS_PROJ_ACT_DESC_H </t>
  </si>
  <si>
    <t xml:space="preserve">PS_PROJ_TEAMSVXX_H </t>
  </si>
  <si>
    <t xml:space="preserve">PS_PCX0015_ERRXX_H </t>
  </si>
  <si>
    <t xml:space="preserve">PS_PC_UPLD_CI_XX_H </t>
  </si>
  <si>
    <t xml:space="preserve">PS_PC_GLTOPC_SUM_H </t>
  </si>
  <si>
    <t xml:space="preserve">PS_PC_EXTOPC_SUM_H </t>
  </si>
  <si>
    <t xml:space="preserve">PS_AP_PYMT_AUD_ARC </t>
  </si>
  <si>
    <t xml:space="preserve">PS_PRCPARMHIS_H_XX </t>
  </si>
  <si>
    <t xml:space="preserve">PS_GM_BUD_HDR_HXX </t>
  </si>
  <si>
    <t xml:space="preserve">PS_GM_OPTYDTTM_HXX </t>
  </si>
  <si>
    <t xml:space="preserve">PS_GM_PROP_XX_HXX </t>
  </si>
  <si>
    <t xml:space="preserve">PS_EMPLOYMENT_H_XX </t>
  </si>
  <si>
    <t xml:space="preserve">PS_INV_ITEMS_H_XX </t>
  </si>
  <si>
    <t xml:space="preserve">PS_COMMENT_TBL_HXX </t>
  </si>
  <si>
    <t xml:space="preserve">PS_CNTRCT_MLST_HXX </t>
  </si>
  <si>
    <t xml:space="preserve">PS_PO_LNSHPMCH_HXX </t>
  </si>
  <si>
    <t xml:space="preserve">PS_PO_RC_WB_EX_HXX </t>
  </si>
  <si>
    <t xml:space="preserve">PS_AP_ARC_VCH_AC_H </t>
  </si>
  <si>
    <t xml:space="preserve">PS_AP_ARC_VCH_DO_H </t>
  </si>
  <si>
    <t xml:space="preserve">PS_AP_ARC_VCH_FR_H </t>
  </si>
  <si>
    <t xml:space="preserve">PS_AP_ARC_VCH_TX_H </t>
  </si>
  <si>
    <t xml:space="preserve">PS_AP_ARC_VCH_VI_H </t>
  </si>
  <si>
    <t xml:space="preserve">PS_TSEVLN_FLD_H_XX </t>
  </si>
  <si>
    <t xml:space="preserve">PS_TSEVCH_FLD_H_XX </t>
  </si>
  <si>
    <t xml:space="preserve">PS_REMRPRT_H_XX </t>
  </si>
  <si>
    <t xml:space="preserve">PS_RVLACTG_LN_H_XX </t>
  </si>
  <si>
    <t xml:space="preserve">PS_AR_FORMATT_XX_H </t>
  </si>
  <si>
    <t xml:space="preserve">PS_AR_FRMLIN4_XX_H </t>
  </si>
  <si>
    <t xml:space="preserve">PS_AR_EE_ITACTLN_H </t>
  </si>
  <si>
    <t xml:space="preserve">PS_AR_PEND_ITM_H </t>
  </si>
  <si>
    <t xml:space="preserve">PS_AR_PO_EML_XX_H </t>
  </si>
  <si>
    <t xml:space="preserve">PS_AR_PO_SEQ_XX_H </t>
  </si>
  <si>
    <t xml:space="preserve">PS_AR_EE_DJR_ACT_H </t>
  </si>
  <si>
    <t xml:space="preserve">PS_AR_PAY_ID_ITM_H </t>
  </si>
  <si>
    <t xml:space="preserve">PS_AR_FRMRAR1_XX_H </t>
  </si>
  <si>
    <t xml:space="preserve">PS_BILNTAX_H_XX </t>
  </si>
  <si>
    <t xml:space="preserve">PS_BIADJHSTX_H_XX </t>
  </si>
  <si>
    <t xml:space="preserve">PS_BIEXTCIIDS_H_XX </t>
  </si>
  <si>
    <t xml:space="preserve">PS_BIHDRNOTE_H_XX </t>
  </si>
  <si>
    <t xml:space="preserve">PS_BILNDSDTL_H_XX </t>
  </si>
  <si>
    <t xml:space="preserve">PS_BILNIUPAY_H_XX </t>
  </si>
  <si>
    <t xml:space="preserve">PS_CA_AP_PC_DST_H </t>
  </si>
  <si>
    <t xml:space="preserve">PS_CA_AP_TXN_DST_H </t>
  </si>
  <si>
    <t xml:space="preserve">PS_CA_ATTACHMENT_H </t>
  </si>
  <si>
    <t xml:space="preserve">PS_CA_BILLPLN_LA_H </t>
  </si>
  <si>
    <t xml:space="preserve">PS_CA_BP_EVT_CHG_H </t>
  </si>
  <si>
    <t xml:space="preserve">PS_CA_EARLY_OPTI_H </t>
  </si>
  <si>
    <t xml:space="preserve">PS_CA_LMT_TXN_H </t>
  </si>
  <si>
    <t xml:space="preserve">PS_CA_LN_REDUCTS_H </t>
  </si>
  <si>
    <t xml:space="preserve">PS_CA_NOTE_DETAI_H </t>
  </si>
  <si>
    <t xml:space="preserve">PS_CA_PREPAID_AU_H </t>
  </si>
  <si>
    <t xml:space="preserve">PS_CA_WTH_TERMS_H </t>
  </si>
  <si>
    <t xml:space="preserve">PS_INTFCBICMP_H_XX </t>
  </si>
  <si>
    <t xml:space="preserve">PS_TR_WR_DTL_H_XX </t>
  </si>
  <si>
    <t xml:space="preserve">PS_EX_SHT_NOTE_HXX </t>
  </si>
  <si>
    <t xml:space="preserve">PS_EOAW_WL_HXX </t>
  </si>
  <si>
    <t xml:space="preserve">PS_EOAW_URINST_HXX </t>
  </si>
  <si>
    <t xml:space="preserve">PS_EOAW_UESCAL_HXX </t>
  </si>
  <si>
    <t xml:space="preserve">PS_PMT_DTL_H_XX </t>
  </si>
  <si>
    <t xml:space="preserve">PS_PMT_UPY_STG_HXX </t>
  </si>
  <si>
    <t xml:space="preserve">PS_TR_EVNT_LOG_HXX </t>
  </si>
  <si>
    <t xml:space="preserve">PS_PC_BITOPC_SUM_H </t>
  </si>
  <si>
    <t xml:space="preserve">PS_PC_BUD_ACT_H </t>
  </si>
  <si>
    <t xml:space="preserve">PS_PM_SPRCMSN_XX_H </t>
  </si>
  <si>
    <t xml:space="preserve">PS_PRJSPRDEXT_XX_H </t>
  </si>
  <si>
    <t xml:space="preserve">PS_PROJECT_SCHED_H </t>
  </si>
  <si>
    <t xml:space="preserve">PS_PROJECT_XX_H </t>
  </si>
  <si>
    <t xml:space="preserve">PS_PC_CMACCTLNXX_H </t>
  </si>
  <si>
    <t xml:space="preserve">PS_PCX0013_ERRXX_H </t>
  </si>
  <si>
    <t xml:space="preserve">PS_PGM_MROVRLD_HXX </t>
  </si>
  <si>
    <t xml:space="preserve">PS_PRCJOBSTAT_H_XX </t>
  </si>
  <si>
    <t xml:space="preserve">PS_PRCTXFRHIS_H_XX </t>
  </si>
  <si>
    <t xml:space="preserve">PS_GM_OPDTTMXX_HXX </t>
  </si>
  <si>
    <t xml:space="preserve">PS_GM_PMDTRSC_HXX </t>
  </si>
  <si>
    <t xml:space="preserve">PS_TE_EMP_HDR_H_XX </t>
  </si>
  <si>
    <t xml:space="preserve">PS_COMPNSTION_H_XX </t>
  </si>
  <si>
    <t xml:space="preserve">PS_PERSONALPH_H_XX </t>
  </si>
  <si>
    <t xml:space="preserve">PS_PERSDATAEF_H_XX </t>
  </si>
  <si>
    <t xml:space="preserve">PS_PO_HDR_VAT_H_XX </t>
  </si>
  <si>
    <t xml:space="preserve">PS_PO_CHG_HDR_H_XX </t>
  </si>
  <si>
    <t xml:space="preserve">PS_PO_DFLTDSTB_HXX </t>
  </si>
  <si>
    <t xml:space="preserve">PS_PO_LNSHPSUT_HXX </t>
  </si>
  <si>
    <t xml:space="preserve">PS_VMSSRCCNLX_H_XX </t>
  </si>
  <si>
    <t xml:space="preserve">PS_VMSSRCARCX_H_XX </t>
  </si>
  <si>
    <t xml:space="preserve">PS_AP_ARC_VCH_VN_H </t>
  </si>
  <si>
    <t xml:space="preserve">PS_AP_ARC_DIST_L_H </t>
  </si>
  <si>
    <t xml:space="preserve">PS_AP_ARC_PYM_WT_H </t>
  </si>
  <si>
    <t xml:space="preserve">PS_AP_ARC_VCH_MS_H </t>
  </si>
  <si>
    <t xml:space="preserve">PS_UNMTCH_TMP_H_XX </t>
  </si>
  <si>
    <t xml:space="preserve">PS_VATXRF_VCH_H_XX </t>
  </si>
  <si>
    <t xml:space="preserve">PS_WTHD_UPDT_H_XX </t>
  </si>
  <si>
    <t xml:space="preserve">PS_AR_CCTRN_TBL_H </t>
  </si>
  <si>
    <t xml:space="preserve">PS_AR_ITM_ACTVTY_H </t>
  </si>
  <si>
    <t xml:space="preserve">PS_AR_ITMAGNG_XX_H </t>
  </si>
  <si>
    <t xml:space="preserve">PS_AR_POKEYS_XX_H </t>
  </si>
  <si>
    <t xml:space="preserve">PS_AR_820RMNF_XX_H </t>
  </si>
  <si>
    <t xml:space="preserve">PS_AR_PAYMENT_H </t>
  </si>
  <si>
    <t xml:space="preserve">PS_AR_FORMRAR_XX_H </t>
  </si>
  <si>
    <t xml:space="preserve">PS_AR_STMT_CUSBD_H </t>
  </si>
  <si>
    <t xml:space="preserve">PS_AR_FRMTAR1_XX_H </t>
  </si>
  <si>
    <t xml:space="preserve">PS_BILNDSDFR_H_XX </t>
  </si>
  <si>
    <t xml:space="preserve">PS_BIHDRVAT_H_XX </t>
  </si>
  <si>
    <t xml:space="preserve">PS_CA_BP_LINES_H </t>
  </si>
  <si>
    <t xml:space="preserve">PS_CA_DETAIL_H </t>
  </si>
  <si>
    <t xml:space="preserve">PS_CA_DETAIL_APP_H </t>
  </si>
  <si>
    <t xml:space="preserve">PS_CA_DETAIL_LAN_H </t>
  </si>
  <si>
    <t xml:space="preserve">PS_CA_EMAIL_CON2_H </t>
  </si>
  <si>
    <t xml:space="preserve">PS_CA_MILESTONE_H </t>
  </si>
  <si>
    <t xml:space="preserve">PS_CA_PREPAID_TB_H </t>
  </si>
  <si>
    <t xml:space="preserve">PS_CA_RECON_REV_H </t>
  </si>
  <si>
    <t xml:space="preserve">PS_EX_SHEET_ATT_H </t>
  </si>
  <si>
    <t xml:space="preserve">PS_EX_ER_ATCH_H_XX </t>
  </si>
  <si>
    <t xml:space="preserve">PS_EX_TRANS_H </t>
  </si>
  <si>
    <t xml:space="preserve">PS_PMT_ACK_ERR_HXX </t>
  </si>
  <si>
    <t xml:space="preserve">PS_PMT_OID_STG_HXX </t>
  </si>
  <si>
    <t xml:space="preserve">PS_PMT_REQ_LOG_HXX </t>
  </si>
  <si>
    <t xml:space="preserve">PS_PMT_FIL_DEF_HXX </t>
  </si>
  <si>
    <t xml:space="preserve">PS_PC_BUD_ITEMXX_H </t>
  </si>
  <si>
    <t xml:space="preserve">PS_PC_BUD_PLN_XX_H </t>
  </si>
  <si>
    <t xml:space="preserve">PS_PC_OPIDPRJREM_H </t>
  </si>
  <si>
    <t xml:space="preserve">PS_PC_PROJECT_XX_H </t>
  </si>
  <si>
    <t xml:space="preserve">PS_PM_SPRBRDN_XX_H </t>
  </si>
  <si>
    <t xml:space="preserve">PS_PM_SPRCUST_XX_H </t>
  </si>
  <si>
    <t xml:space="preserve">PS_PRJ_RESTMP_XX_H </t>
  </si>
  <si>
    <t xml:space="preserve">PS_PROJ_ACT_XX_H </t>
  </si>
  <si>
    <t xml:space="preserve">PS_PROJ_EV_APPRV_H </t>
  </si>
  <si>
    <t xml:space="preserve">PS_PROJ_SPRD_XX_H </t>
  </si>
  <si>
    <t xml:space="preserve">PS_PC_UB_FDET_XX_H </t>
  </si>
  <si>
    <t xml:space="preserve">PS_PC_APTOPC_SUM_H </t>
  </si>
  <si>
    <t xml:space="preserve">PS_PGM_CONVST2_XXH </t>
  </si>
  <si>
    <t xml:space="preserve">PS_PRCRQSTHIS_H_XX </t>
  </si>
  <si>
    <t xml:space="preserve">PS_GM_PROPOSAL_HXX </t>
  </si>
  <si>
    <t xml:space="preserve">PS_TE_EMP_OBU_H_XX </t>
  </si>
  <si>
    <t xml:space="preserve">PS_PERS_NID_H_XX </t>
  </si>
  <si>
    <t xml:space="preserve">PS_CMMTS_TBL_H_XX </t>
  </si>
  <si>
    <t xml:space="preserve">PS_ASET_ITMATR_HXX </t>
  </si>
  <si>
    <t xml:space="preserve">PS_PURCH_ITMBU_HXX </t>
  </si>
  <si>
    <t xml:space="preserve">PS_PURC_ITMATR_HXX </t>
  </si>
  <si>
    <t xml:space="preserve">PS_RTV_CMMNT_H_XX </t>
  </si>
  <si>
    <t xml:space="preserve">PS_RTV_LN_FEE_H_XX </t>
  </si>
  <si>
    <t xml:space="preserve">PS_CNTR_HDRRLS_HXX </t>
  </si>
  <si>
    <t xml:space="preserve">PS_CNTR_RLSDTL_HXX </t>
  </si>
  <si>
    <t xml:space="preserve">PS_CNTR_RLSHDR_HXX </t>
  </si>
  <si>
    <t xml:space="preserve">PS_PO_HDR_EXS_H_XX </t>
  </si>
  <si>
    <t xml:space="preserve">PS_PO_HDR_H_XX </t>
  </si>
  <si>
    <t xml:space="preserve">PS_PO_HDR_EMAL_HXX </t>
  </si>
  <si>
    <t xml:space="preserve">PS_PO_LN_SHIP_H_XX </t>
  </si>
  <si>
    <t xml:space="preserve">PS_PYMNT_ADVC_H_XX </t>
  </si>
  <si>
    <t xml:space="preserve">PS_AP_ARC_VOUCH_H </t>
  </si>
  <si>
    <t xml:space="preserve">PS_VCHR_UPDT_H_XX </t>
  </si>
  <si>
    <t xml:space="preserve">PS_AR_FRMATTD_XX_H </t>
  </si>
  <si>
    <t xml:space="preserve">PS_AR_FORMHDR_XX_H </t>
  </si>
  <si>
    <t xml:space="preserve">PS_AR_ITM_ACTVAT_H </t>
  </si>
  <si>
    <t xml:space="preserve">PS_AR_FRMMAR2_XX_H </t>
  </si>
  <si>
    <t xml:space="preserve">PS_AR_GROUP_CNTL_H </t>
  </si>
  <si>
    <t xml:space="preserve">PS_AR_PO_PRNT_XX_H </t>
  </si>
  <si>
    <t xml:space="preserve">PS_AR_820RMSG_XX_H </t>
  </si>
  <si>
    <t xml:space="preserve">PS_AR_PAY_IT_MRL_H </t>
  </si>
  <si>
    <t xml:space="preserve">PS_BICBIVCHDR_H_XX </t>
  </si>
  <si>
    <t xml:space="preserve">PS_BIX24DSTMPX_HXX </t>
  </si>
  <si>
    <t xml:space="preserve">PS_BIHDRX_H_XX </t>
  </si>
  <si>
    <t xml:space="preserve">PS_CA_AP_EVENT_H </t>
  </si>
  <si>
    <t xml:space="preserve">PS_CA_AP_UAR_H </t>
  </si>
  <si>
    <t xml:space="preserve">PS_CA_BP_CDATAXX_H </t>
  </si>
  <si>
    <t xml:space="preserve">PS_CA_BP_NOTE_H </t>
  </si>
  <si>
    <t xml:space="preserve">PS_CA_DETAIL_DST_H </t>
  </si>
  <si>
    <t xml:space="preserve">PS_CA_DETAIL_UAR_H </t>
  </si>
  <si>
    <t xml:space="preserve">PS_CA_DST_ERR_H </t>
  </si>
  <si>
    <t xml:space="preserve">PS_CA_HDR_REDUCT_H </t>
  </si>
  <si>
    <t xml:space="preserve">PS_CA_LMT_TXN_LG_H </t>
  </si>
  <si>
    <t xml:space="preserve">PS_CA_LREVRED_LG_H </t>
  </si>
  <si>
    <t xml:space="preserve">PS_CA_RNWLNRE_LG_H </t>
  </si>
  <si>
    <t xml:space="preserve">PS_CA_SUPPORT_TE_H </t>
  </si>
  <si>
    <t xml:space="preserve">PS_INTFCBINTCMPHXX </t>
  </si>
  <si>
    <t xml:space="preserve">PS_BNK_SDBAL_H_XX </t>
  </si>
  <si>
    <t xml:space="preserve">PS_EX_ADV_PYMT_H </t>
  </si>
  <si>
    <t xml:space="preserve">PS_EX_SHEET_AW_H </t>
  </si>
  <si>
    <t xml:space="preserve">PS_EX_ENHC_SUMM_H </t>
  </si>
  <si>
    <t xml:space="preserve">PS_EOAW_HISCOM_HXX </t>
  </si>
  <si>
    <t xml:space="preserve">PS_PMT_OTHID_H_XX </t>
  </si>
  <si>
    <t xml:space="preserve">PS_SNW_FILE_H_XX </t>
  </si>
  <si>
    <t xml:space="preserve">PS_JRNL_VAT_H </t>
  </si>
  <si>
    <t xml:space="preserve">PS_PC_BUD_DTL_XX_H </t>
  </si>
  <si>
    <t xml:space="preserve">PS_PC_CHC_INFO_H </t>
  </si>
  <si>
    <t xml:space="preserve">PS_PC_CMPRSTG_XX_H </t>
  </si>
  <si>
    <t xml:space="preserve">PS_PC_PRJ_BRDNXX_H </t>
  </si>
  <si>
    <t xml:space="preserve">PS_PC_COM_LN_XX_H </t>
  </si>
  <si>
    <t xml:space="preserve">PS_PC_POREF_XX_H </t>
  </si>
  <si>
    <t xml:space="preserve">PS_PROJECT_DESCR_H </t>
  </si>
  <si>
    <t xml:space="preserve">PS_PROJ_BIL_INFO_H </t>
  </si>
  <si>
    <t xml:space="preserve">PS_PROJ_LOCATION_H </t>
  </si>
  <si>
    <t xml:space="preserve">PS_PROJ_TM_SCHED_H </t>
  </si>
  <si>
    <t xml:space="preserve">PS_TL_RTS_ACT_XX_H </t>
  </si>
  <si>
    <t xml:space="preserve">PS_PGM_WRKLDST_HXX </t>
  </si>
  <si>
    <t xml:space="preserve">PS_GM_PROPCMMT_HXX </t>
  </si>
  <si>
    <t xml:space="preserve">PS_GM_PROPRJXX_HXX </t>
  </si>
  <si>
    <t xml:space="preserve">PS_RTV_ADDR_H_XX </t>
  </si>
  <si>
    <t xml:space="preserve">PS_RTV_LN_H_XX </t>
  </si>
  <si>
    <t xml:space="preserve">PS_CNTRCT_LN_H_XX </t>
  </si>
  <si>
    <t xml:space="preserve">PS_CNTR_LNRLS_HXX </t>
  </si>
  <si>
    <t xml:space="preserve">PS_CNTR_SCHDL_H_XX </t>
  </si>
  <si>
    <t xml:space="preserve">PS_PO_CHG_SHP_H_XX </t>
  </si>
  <si>
    <t xml:space="preserve">PS_PO_EST_SHIP_HXX </t>
  </si>
  <si>
    <t xml:space="preserve">PS_RECV_LNASET_HXX </t>
  </si>
  <si>
    <t xml:space="preserve">PS_TLRTSTRCXX_H_XX </t>
  </si>
  <si>
    <t xml:space="preserve">PS_VCHRREG_LC_H_XX </t>
  </si>
  <si>
    <t xml:space="preserve">PS_AP_ARC_VCH_VB_H </t>
  </si>
  <si>
    <t xml:space="preserve">PS_AP_ARC_BCH_XR_H </t>
  </si>
  <si>
    <t xml:space="preserve">PS_AP_ARC_PY_MSG_H </t>
  </si>
  <si>
    <t xml:space="preserve">PS_AP_ARC_VCH_HP_H </t>
  </si>
  <si>
    <t xml:space="preserve">PS_TSEALN_FLD_H_XX </t>
  </si>
  <si>
    <t xml:space="preserve">PS_TSEPMT_FLD_H_XX </t>
  </si>
  <si>
    <t xml:space="preserve">PS_VCHDUP_INV_H_XX </t>
  </si>
  <si>
    <t xml:space="preserve">PS_AR_FRMLIN3_XX_H </t>
  </si>
  <si>
    <t xml:space="preserve">PS_AR_IPAC_DET_H </t>
  </si>
  <si>
    <t xml:space="preserve">PS_AR_IPAC_HDR_H </t>
  </si>
  <si>
    <t xml:space="preserve">PS_AR_ITEM_H </t>
  </si>
  <si>
    <t xml:space="preserve">PS_AR_ITMNOTE_XX_H </t>
  </si>
  <si>
    <t xml:space="preserve">PS_AR_FRMMAR1_XX_H </t>
  </si>
  <si>
    <t xml:space="preserve">PS_AR_PEND_TAX_H </t>
  </si>
  <si>
    <t xml:space="preserve">PS_AR_PEND_TX_DT_H </t>
  </si>
  <si>
    <t xml:space="preserve">PS_AR_PO_DTL_XX_H </t>
  </si>
  <si>
    <t xml:space="preserve">PS_AR_PAY_ID_CUS_H </t>
  </si>
  <si>
    <t xml:space="preserve">PS_AR_PAY_MIS_DS_H </t>
  </si>
  <si>
    <t xml:space="preserve">PS_AR_STMT_CUSDT_H </t>
  </si>
  <si>
    <t xml:space="preserve">PS_AR_FRMXREF_XX_H </t>
  </si>
  <si>
    <t xml:space="preserve">PS_EIDFILEINVX_HXX </t>
  </si>
  <si>
    <t xml:space="preserve">PS_CA_ACCTG_LN_P_H </t>
  </si>
  <si>
    <t xml:space="preserve">PS_CA_AP_EVENT_D_H </t>
  </si>
  <si>
    <t xml:space="preserve">PS_CA_AP_FEE_WS_H </t>
  </si>
  <si>
    <t xml:space="preserve">PS_CA_AP_PC_UAR_H </t>
  </si>
  <si>
    <t xml:space="preserve">PS_CA_BP_EVT_LN_H </t>
  </si>
  <si>
    <t xml:space="preserve">PS_CA_BP_FEE_ADJ_H </t>
  </si>
  <si>
    <t xml:space="preserve">PS_CA_BP_SCHEDUL_H </t>
  </si>
  <si>
    <t xml:space="preserve">PS_CA_BP_XREF_H </t>
  </si>
  <si>
    <t xml:space="preserve">PS_CA_HDR_DC_H </t>
  </si>
  <si>
    <t xml:space="preserve">PS_CA_DETAIL_RED_H </t>
  </si>
  <si>
    <t xml:space="preserve">PS_CA_EMAIL_CONT_H </t>
  </si>
  <si>
    <t xml:space="preserve">PS_CA_HDRRED_LAN_H </t>
  </si>
  <si>
    <t xml:space="preserve">PS_CA_HDR_AE_ACC_H </t>
  </si>
  <si>
    <t xml:space="preserve">PS_CA_NOTE_H </t>
  </si>
  <si>
    <t xml:space="preserve">PS_CA_PGP_TERMS_H </t>
  </si>
  <si>
    <t xml:space="preserve">PS_CA_PREPAID_PR_H </t>
  </si>
  <si>
    <t xml:space="preserve">PS_CA_WTH_TRM_LA_H </t>
  </si>
  <si>
    <t xml:space="preserve">PS_BI_LN_TMP_XX_H </t>
  </si>
  <si>
    <t xml:space="preserve">PS_TR_AF_STL_H_XX </t>
  </si>
  <si>
    <t xml:space="preserve">PS_EX_SHEET_DIST_H </t>
  </si>
  <si>
    <t xml:space="preserve">PS_EX_APRVL_HIST_H </t>
  </si>
  <si>
    <t xml:space="preserve">PS_EOAW_COMNTS_HXX </t>
  </si>
  <si>
    <t xml:space="preserve">PS_EOAW_SUMDTL_HXX </t>
  </si>
  <si>
    <t xml:space="preserve">PS_PMT_FIL_ERR_HXX </t>
  </si>
  <si>
    <t xml:space="preserve">PS_BSP_FIL_INF_HXX </t>
  </si>
  <si>
    <t xml:space="preserve">PS_PMT_INTRM_H_XX </t>
  </si>
  <si>
    <t xml:space="preserve">PS_PC_ACT_IN_USE_H </t>
  </si>
  <si>
    <t xml:space="preserve">PS_PC_EMPPROJ_TM_H </t>
  </si>
  <si>
    <t xml:space="preserve">PS_PROJ_STATUS_H </t>
  </si>
  <si>
    <t xml:space="preserve">PS_PROJ_ACT_STAT_H </t>
  </si>
  <si>
    <t xml:space="preserve">PS_PSA_ORGPRJ_DF_H </t>
  </si>
  <si>
    <t xml:space="preserve">PS_TL_RTS_TRC_XX_H </t>
  </si>
  <si>
    <t xml:space="preserve">PS_PC_AMRULE_PRJ_H </t>
  </si>
  <si>
    <t xml:space="preserve">PS_PRCTEXTHIS_H_XX </t>
  </si>
  <si>
    <t xml:space="preserve">PS_GM_BUDHDRXX_HXX </t>
  </si>
  <si>
    <t xml:space="preserve">PS_GM_BUD_PERD_HXX </t>
  </si>
  <si>
    <t xml:space="preserve">PS_GM_PROPCHXX_HXX </t>
  </si>
  <si>
    <t xml:space="preserve">PS_ITM_VENDOR_H_XX </t>
  </si>
  <si>
    <t xml:space="preserve">PS_CNTR_RLSTBL_HXX </t>
  </si>
  <si>
    <t xml:space="preserve">PS_CNTR_RLS_LN_HXX </t>
  </si>
  <si>
    <t xml:space="preserve">PS_PO_CHG_ADDR_HXX </t>
  </si>
  <si>
    <t xml:space="preserve">PS_PO_CHG_LN_H_XX </t>
  </si>
  <si>
    <t xml:space="preserve">PS_PO_COMMENT_H_XX </t>
  </si>
  <si>
    <t xml:space="preserve">PS_RECV_HDR_H_XX </t>
  </si>
  <si>
    <t xml:space="preserve">PS_VMSTRNSHST_H_XX </t>
  </si>
  <si>
    <t xml:space="preserve">PS_TLRTSPRJXX_H_XX </t>
  </si>
  <si>
    <t xml:space="preserve">PS_AP_ARC_DIST_N_H </t>
  </si>
  <si>
    <t xml:space="preserve">PS_AP_ARC_VCH_TG_H </t>
  </si>
  <si>
    <t xml:space="preserve">PS_AP_ARC_VCH_WT_H </t>
  </si>
  <si>
    <t xml:space="preserve">PS_TSE_VCHR_H_XX </t>
  </si>
  <si>
    <t xml:space="preserve">PS_DSTRPMTXRF_H_XX </t>
  </si>
  <si>
    <t xml:space="preserve">PS_AR_FRMLIN1_XX_H </t>
  </si>
  <si>
    <t xml:space="preserve">PS_PO_EXTRACT_XX_H </t>
  </si>
  <si>
    <t xml:space="preserve">PS_AR_PO_PRTF_XX_H </t>
  </si>
  <si>
    <t xml:space="preserve">PS_AR_PO_XX_H </t>
  </si>
  <si>
    <t xml:space="preserve">PS_CA_ACCTG_LN_T_H </t>
  </si>
  <si>
    <t xml:space="preserve">PS_CA_ACCTPLAN_H </t>
  </si>
  <si>
    <t xml:space="preserve">PS_CA_AP_DST_H </t>
  </si>
  <si>
    <t xml:space="preserve">PS_CA_AP_FEE_ADJ_H </t>
  </si>
  <si>
    <t xml:space="preserve">PS_CA_AP_SCHEDUL_H </t>
  </si>
  <si>
    <t xml:space="preserve">PS_CA_BILL_PLAN_H </t>
  </si>
  <si>
    <t xml:space="preserve">PS_CA_BIL_PLN_XX_H </t>
  </si>
  <si>
    <t xml:space="preserve">PS_CA_CHG_HDR_H </t>
  </si>
  <si>
    <t xml:space="preserve">PS_CA_CONTR_HDR_H </t>
  </si>
  <si>
    <t xml:space="preserve">PS_CA_HREVRED_LG_H </t>
  </si>
  <si>
    <t xml:space="preserve">PS_CA_HDR_COMM_H </t>
  </si>
  <si>
    <t xml:space="preserve">PS_CA_INVTRKH_XX_H </t>
  </si>
  <si>
    <t xml:space="preserve">PS_CA_PGP_COSTS_H </t>
  </si>
  <si>
    <t xml:space="preserve">PS_CA_WTH_REL_LA_H </t>
  </si>
  <si>
    <t xml:space="preserve">PS_BANK_SDSTMT_HXX </t>
  </si>
  <si>
    <t xml:space="preserve">PS_EX_SHT_DOCSEQ_H </t>
  </si>
  <si>
    <t xml:space="preserve">PS_PMT_ADDR_H_XX </t>
  </si>
  <si>
    <t xml:space="preserve">PS_PMT_REF_H_XX </t>
  </si>
  <si>
    <t xml:space="preserve">PS_PC_BUD_ITEM_H </t>
  </si>
  <si>
    <t xml:space="preserve">PS_PC_BUD_PLAN_H </t>
  </si>
  <si>
    <t xml:space="preserve">PS_PC_BUD_SUMRY_H </t>
  </si>
  <si>
    <t xml:space="preserve">PS_PC_BUD_SUM_XX_H </t>
  </si>
  <si>
    <t xml:space="preserve">PS_PC_EMP_RES_TM_H </t>
  </si>
  <si>
    <t xml:space="preserve">PS_PM_ACT_STG_XX_H </t>
  </si>
  <si>
    <t xml:space="preserve">PS_PM_SPRASGN_XX_H </t>
  </si>
  <si>
    <t xml:space="preserve">PS_PM_SPRXREF_XX_H </t>
  </si>
  <si>
    <t xml:space="preserve">PS_PROJECT_MGR_H </t>
  </si>
  <si>
    <t xml:space="preserve">PS_PROJ_ACT_TEAM_H </t>
  </si>
  <si>
    <t xml:space="preserve">PS_INT_PRJACT_XX_H </t>
  </si>
  <si>
    <t xml:space="preserve">PS_PROJ_QUALITY_H </t>
  </si>
  <si>
    <t xml:space="preserve">PS_TL_RTS_PRJ_XX_H </t>
  </si>
  <si>
    <t xml:space="preserve">PS_PC_UB_PO_XX_H </t>
  </si>
  <si>
    <t xml:space="preserve">PS_PGM_CONVST1_XXH </t>
  </si>
  <si>
    <t xml:space="preserve">PS_PRCQUEHIST_H_XX </t>
  </si>
  <si>
    <t xml:space="preserve">PS_CDMFILELIS_H_XX </t>
  </si>
  <si>
    <t xml:space="preserve">PS_PRCRQSTFLE_H_XX </t>
  </si>
  <si>
    <t xml:space="preserve">PS_PRCRQSTSTR_H_XX </t>
  </si>
  <si>
    <t xml:space="preserve">PS_GM_BUD_LNSM_HXX </t>
  </si>
  <si>
    <t xml:space="preserve">PS_TE_EMP_UP_H_XX </t>
  </si>
  <si>
    <t xml:space="preserve">PS_JOB_H_XX </t>
  </si>
  <si>
    <t xml:space="preserve">PS_INV_ITEMUOM_HXX </t>
  </si>
  <si>
    <t xml:space="preserve">PS_INV_ITM_PHT_HXX </t>
  </si>
  <si>
    <t xml:space="preserve">PS_RTV_DSPTCH_H_XX </t>
  </si>
  <si>
    <t xml:space="preserve">PS_RTV_LN_DSTB_HXX </t>
  </si>
  <si>
    <t xml:space="preserve">PS_CNTRCT_HDR_H_XX </t>
  </si>
  <si>
    <t xml:space="preserve">PS_PO_CHG_ORD_H_XX </t>
  </si>
  <si>
    <t xml:space="preserve">PS_PO_ER_EMSGQ_HXX </t>
  </si>
  <si>
    <t xml:space="preserve">PS_PO_LN_DISTB_HXX </t>
  </si>
  <si>
    <t xml:space="preserve">PS_RECV_LNSHMT_HXX </t>
  </si>
  <si>
    <t xml:space="preserve">PS_TLRTSACTXX_H_XX </t>
  </si>
  <si>
    <t xml:space="preserve">APVCHRXX </t>
  </si>
  <si>
    <t xml:space="preserve">APPYTTXX </t>
  </si>
  <si>
    <t xml:space="preserve">ARBUR_XX </t>
  </si>
  <si>
    <t xml:space="preserve">ARITEM </t>
  </si>
  <si>
    <t xml:space="preserve">ARMAR_XX </t>
  </si>
  <si>
    <t xml:space="preserve">ARPEND </t>
  </si>
  <si>
    <t xml:space="preserve">ARPO_XX </t>
  </si>
  <si>
    <t xml:space="preserve">ARRAR_XX </t>
  </si>
  <si>
    <t xml:space="preserve">ARSTMT </t>
  </si>
  <si>
    <t xml:space="preserve">ARTAR_XX </t>
  </si>
  <si>
    <t xml:space="preserve">BICBINXX </t>
  </si>
  <si>
    <t xml:space="preserve">BIINVXX </t>
  </si>
  <si>
    <t xml:space="preserve">BIPCIXX </t>
  </si>
  <si>
    <t xml:space="preserve">BIRELXX </t>
  </si>
  <si>
    <t xml:space="preserve">CA_001 </t>
  </si>
  <si>
    <t xml:space="preserve">CM_FD_XX </t>
  </si>
  <si>
    <t xml:space="preserve">CM_AS_XX </t>
  </si>
  <si>
    <t xml:space="preserve">CM_EP_XX </t>
  </si>
  <si>
    <t xml:space="preserve">CM_FS_XX </t>
  </si>
  <si>
    <t xml:space="preserve">CM_SH_XX </t>
  </si>
  <si>
    <t xml:space="preserve">CM_ST_XX </t>
  </si>
  <si>
    <t xml:space="preserve">CM_WH_XX </t>
  </si>
  <si>
    <t xml:space="preserve">EXADV_XX </t>
  </si>
  <si>
    <t xml:space="preserve">EXSHT_XX </t>
  </si>
  <si>
    <t xml:space="preserve">EX_FL_XX </t>
  </si>
  <si>
    <t xml:space="preserve">EX_MYWAL </t>
  </si>
  <si>
    <t xml:space="preserve">FG_AK_XX </t>
  </si>
  <si>
    <t xml:space="preserve">FG_DL_XX </t>
  </si>
  <si>
    <t xml:space="preserve">GL_JRLXX </t>
  </si>
  <si>
    <t xml:space="preserve">GL_LEDXX </t>
  </si>
  <si>
    <t xml:space="preserve">PC_01_XX </t>
  </si>
  <si>
    <t xml:space="preserve">PGM_MHXX </t>
  </si>
  <si>
    <t xml:space="preserve">PGM_PRXX </t>
  </si>
  <si>
    <t xml:space="preserve">PRCS_XX </t>
  </si>
  <si>
    <t xml:space="preserve">PRMGT_XX </t>
  </si>
  <si>
    <t xml:space="preserve">PSPDA_XX </t>
  </si>
  <si>
    <t xml:space="preserve">PURITMXX </t>
  </si>
  <si>
    <t xml:space="preserve">PUR_CTXX </t>
  </si>
  <si>
    <t xml:space="preserve">PUR_POXX </t>
  </si>
  <si>
    <t xml:space="preserve">PUR_RCXX </t>
  </si>
  <si>
    <t xml:space="preserve">VCHAUDXX </t>
  </si>
  <si>
    <t xml:space="preserve">RS_SCHXX </t>
  </si>
  <si>
    <t xml:space="preserve">AGNGXX </t>
  </si>
  <si>
    <t xml:space="preserve">APPYMTXX </t>
  </si>
  <si>
    <t xml:space="preserve">APY42_XX </t>
  </si>
  <si>
    <t xml:space="preserve">AP_PYMNT </t>
  </si>
  <si>
    <t xml:space="preserve">ARACTLST </t>
  </si>
  <si>
    <t xml:space="preserve">ARPYMT </t>
  </si>
  <si>
    <t xml:space="preserve">BICANXX </t>
  </si>
  <si>
    <t xml:space="preserve">BINFADXX </t>
  </si>
  <si>
    <t xml:space="preserve">EX_ACCTG </t>
  </si>
  <si>
    <t xml:space="preserve">EX_NS_XX </t>
  </si>
  <si>
    <t xml:space="preserve">EX_SY_XX </t>
  </si>
  <si>
    <t xml:space="preserve">FG_FE_XX </t>
  </si>
  <si>
    <t xml:space="preserve">PC_05_XX </t>
  </si>
  <si>
    <t xml:space="preserve">PSPUR_XX </t>
  </si>
  <si>
    <t xml:space="preserve">PURRTVXX </t>
  </si>
  <si>
    <t xml:space="preserve">VMSCTRXX </t>
  </si>
  <si>
    <t xml:space="preserve">APY18_XX </t>
  </si>
  <si>
    <t xml:space="preserve">CA_PD_XX </t>
  </si>
  <si>
    <t xml:space="preserve">CM_BS_XX </t>
  </si>
  <si>
    <t xml:space="preserve">CM_FW_XX </t>
  </si>
  <si>
    <t xml:space="preserve">CM_NP_XX </t>
  </si>
  <si>
    <t xml:space="preserve">PC_04_XX </t>
  </si>
  <si>
    <t xml:space="preserve">PC_06_XX </t>
  </si>
  <si>
    <t xml:space="preserve">PC_10_XX </t>
  </si>
  <si>
    <t xml:space="preserve">PC_12_XX </t>
  </si>
  <si>
    <t xml:space="preserve">PMTAUDXX </t>
  </si>
  <si>
    <t xml:space="preserve">PURCMTXX </t>
  </si>
  <si>
    <t xml:space="preserve">BIADJXX </t>
  </si>
  <si>
    <t xml:space="preserve">BIINFXX </t>
  </si>
  <si>
    <t xml:space="preserve">EX_UI_XX </t>
  </si>
  <si>
    <t xml:space="preserve">FG_ET_XX </t>
  </si>
  <si>
    <t xml:space="preserve">PC_03_XX </t>
  </si>
  <si>
    <t xml:space="preserve">PC_07_XX </t>
  </si>
  <si>
    <t xml:space="preserve">PGM_MOXX </t>
  </si>
  <si>
    <t xml:space="preserve">PSHDR_XX </t>
  </si>
  <si>
    <t xml:space="preserve">PYMT_AUD </t>
  </si>
  <si>
    <t xml:space="preserve">VMSCSTXX </t>
  </si>
  <si>
    <t xml:space="preserve">VMSSTRXX </t>
  </si>
  <si>
    <t xml:space="preserve">EX_AT_XX </t>
  </si>
  <si>
    <t xml:space="preserve">PC_08_XX </t>
  </si>
  <si>
    <t xml:space="preserve">PC_11_XX </t>
  </si>
  <si>
    <t xml:space="preserve">PGMST2XX </t>
  </si>
  <si>
    <t xml:space="preserve">ARATTDXX </t>
  </si>
  <si>
    <t xml:space="preserve">CM_SL_XX </t>
  </si>
  <si>
    <t xml:space="preserve">EX_ER_AD </t>
  </si>
  <si>
    <t xml:space="preserve">FG_SF_XX </t>
  </si>
  <si>
    <t xml:space="preserve">PGM_WDXX </t>
  </si>
  <si>
    <t xml:space="preserve">TLRTS_XX </t>
  </si>
  <si>
    <t xml:space="preserve">ARXRF_XX </t>
  </si>
  <si>
    <t xml:space="preserve">BIEIDXX </t>
  </si>
  <si>
    <t xml:space="preserve">CM_XF_XX </t>
  </si>
  <si>
    <t xml:space="preserve">EX_APPR </t>
  </si>
  <si>
    <t xml:space="preserve">FG_BF_XX </t>
  </si>
  <si>
    <t xml:space="preserve">VMSTRNXX </t>
  </si>
  <si>
    <t xml:space="preserve">CM_SD_XX </t>
  </si>
  <si>
    <t xml:space="preserve">PC_02_XX </t>
  </si>
  <si>
    <t xml:space="preserve">PC_09_XX </t>
  </si>
  <si>
    <t xml:space="preserve">PGMST1XX </t>
  </si>
  <si>
    <t>Table Name</t>
  </si>
  <si>
    <t>Count</t>
  </si>
  <si>
    <t>Temp</t>
  </si>
  <si>
    <t>batch no.</t>
  </si>
  <si>
    <t>(blank)</t>
  </si>
  <si>
    <t>Grand Total</t>
  </si>
  <si>
    <t>Delete count</t>
  </si>
  <si>
    <t>PS_CUSTAGINGX_H_XX</t>
  </si>
  <si>
    <t>PS_AP_ARC_PYM_TB_H</t>
  </si>
  <si>
    <t>PS_WTH_TRXTBL_H_XX</t>
  </si>
  <si>
    <t>PS_AP_SUPPRES_H_XX</t>
  </si>
  <si>
    <t>PS_PAYMNT_TBL_H_XX</t>
  </si>
  <si>
    <t>PS_PYMNT_ADVC_H_XX</t>
  </si>
  <si>
    <t>PS_AP_ARC_PYM_RC_H</t>
  </si>
  <si>
    <t>PS_AP_ARC_PYM_AD_H</t>
  </si>
  <si>
    <t>PS_PAY_TRNSMT_H_XX</t>
  </si>
  <si>
    <t>PS_AP_ARC_VCH_AC_H</t>
  </si>
  <si>
    <t>PS_UNMTCH_TMP_H_XX</t>
  </si>
  <si>
    <t>PS_AP_ARC_VCHL_M_H</t>
  </si>
  <si>
    <t>PS_VCHRREG_LC_H_XX</t>
  </si>
  <si>
    <t>PS_AP_ARC_VCH_WT_H</t>
  </si>
  <si>
    <t>PS_AP_ARC_PYM_WT_H</t>
  </si>
  <si>
    <t>PS_AP_ARC_PY_MSG_H</t>
  </si>
  <si>
    <t>PS_VED_DUPINV_H_XX</t>
  </si>
  <si>
    <t>PS_DSTRPMTXRF_H_XX</t>
  </si>
  <si>
    <t>PS_AP_ARC_VCH_RM_H</t>
  </si>
  <si>
    <t>PS_AP_ARC_VCH_MS_H</t>
  </si>
  <si>
    <t>PS_AP_ARC_DIST_N_H</t>
  </si>
  <si>
    <t>PS_APVCH_DSPL_H_XX</t>
  </si>
  <si>
    <t>PS_WTHD_UPDT_H_XX</t>
  </si>
  <si>
    <t>PS_AP_ARC_BCH_XR_H</t>
  </si>
  <si>
    <t>PS_AP_ARC_EXP_DL_H</t>
  </si>
  <si>
    <t>PS_AP_ARC_VCHL_E_H</t>
  </si>
  <si>
    <t>PS_AP_ARC_VCH_HP_H</t>
  </si>
  <si>
    <t>PS_AP_ARC_VCH_TG_H</t>
  </si>
  <si>
    <t>PS_AP_ARC_VCH_TX_H</t>
  </si>
  <si>
    <t>PS_AP_ARC_VCH_VB_H</t>
  </si>
  <si>
    <t>PS_AP_ARC_VCH_VI_H</t>
  </si>
  <si>
    <t>PS_AP_ARC_VCH_VN_H</t>
  </si>
  <si>
    <t>PS_REMRPRT_H_XX</t>
  </si>
  <si>
    <t>PS_TSEALN_FLD_H_XX</t>
  </si>
  <si>
    <t>PS_TSEPMT_FLD_H_XX</t>
  </si>
  <si>
    <t>PS_TSEVCH_FLD_H_XX</t>
  </si>
  <si>
    <t>PS_TSEVLN_FLD_H_XX</t>
  </si>
  <si>
    <t>PS_TSE_VCHR_H_XX</t>
  </si>
  <si>
    <t>PS_AP_ARC_VCH_FR_H</t>
  </si>
  <si>
    <t>PS_AP_ARC_VCH_ST_H</t>
  </si>
  <si>
    <t>PS_VCHDUP_INV_H_XX</t>
  </si>
  <si>
    <t>PS_AP_ARC_VCH_DO_H</t>
  </si>
  <si>
    <t>PS_VCHR_UPDT_H_XX</t>
  </si>
  <si>
    <t>PS_AP_ARC_VCH_UT_H</t>
  </si>
  <si>
    <t>PS_VATXRF_VCH_H_XX</t>
  </si>
  <si>
    <t>PS_RVLACTG_LN_H_XX</t>
  </si>
  <si>
    <t>PS_LNWTHD_UPD_H_XX</t>
  </si>
  <si>
    <t>PS_AP_ARC_PYM_XR_H</t>
  </si>
  <si>
    <t>PS_AP_ARC_VOUCH_H</t>
  </si>
  <si>
    <t>PS_AP_ARC_VCH_LN_H</t>
  </si>
  <si>
    <t>PS_AP_ARC_DIST_L_H</t>
  </si>
  <si>
    <t>PS_APYX18_IFC_H_XX</t>
  </si>
  <si>
    <t>PS_APYX42_IFC_H_XX</t>
  </si>
  <si>
    <t>PS_AR_ACTION_LST_H</t>
  </si>
  <si>
    <t>PS_AR_FRMATTD_XX_H</t>
  </si>
  <si>
    <t>PS_AR_FORMATT_XX_H</t>
  </si>
  <si>
    <t>PS_AR_FORMHDR_XX_H</t>
  </si>
  <si>
    <t>PS_AR_FORMNAR_XX_H</t>
  </si>
  <si>
    <t>PS_AR_FORMTMP_XX_H</t>
  </si>
  <si>
    <t>PS_AR_FRMLIN1_XX_H</t>
  </si>
  <si>
    <t>PS_AR_FRMLIN2_XX_H</t>
  </si>
  <si>
    <t>PS_AR_FRMLIN3_XX_H</t>
  </si>
  <si>
    <t>PS_AR_FRMLIN4_XX_H</t>
  </si>
  <si>
    <t>PS_AR_ITM_ACTVTY_H</t>
  </si>
  <si>
    <t>PS_AR_ITEM_DST_H</t>
  </si>
  <si>
    <t>PS_AR_ITM_ACTVAT_H</t>
  </si>
  <si>
    <t>PS_AR_CCTRN_HDR_H</t>
  </si>
  <si>
    <t>PS_AR_CCTRN_TBL_H</t>
  </si>
  <si>
    <t>PS_AR_EE_ITACTLN_H</t>
  </si>
  <si>
    <t>PS_AR_IPAC_DET_H</t>
  </si>
  <si>
    <t>PS_AR_IPAC_HDR_H</t>
  </si>
  <si>
    <t>PS_AR_IPAC_SGL_H</t>
  </si>
  <si>
    <t>PS_AR_ITMAGNG_XX_H</t>
  </si>
  <si>
    <t>PS_AR_ITMDSP_XX_H</t>
  </si>
  <si>
    <t>PS_AR_ITM_ACTTAX_H</t>
  </si>
  <si>
    <t>PS_AR_ITM_ACTXDT_H</t>
  </si>
  <si>
    <t>PS_AR_ITMNOTE_XX_H</t>
  </si>
  <si>
    <t>PS_AR_ITEM_H</t>
  </si>
  <si>
    <t>PS_AR_FRMMAR2_XX_H</t>
  </si>
  <si>
    <t>PS_AR_FRMMAR1_XX_H</t>
  </si>
  <si>
    <t>PS_AR_FORMMAR_XX_H</t>
  </si>
  <si>
    <t>PS_AR_PEND_DST_H</t>
  </si>
  <si>
    <t>PS_AR_PEND_VAT_H</t>
  </si>
  <si>
    <t>PS_AR_PEND_IT_MR_H</t>
  </si>
  <si>
    <t>PS_AR_PEND_TAX_H</t>
  </si>
  <si>
    <t>PS_AR_PEND_TX_DT_H</t>
  </si>
  <si>
    <t>PS_AR_GROUP_CNTL_H</t>
  </si>
  <si>
    <t>PS_AR_PEND_ITM_H</t>
  </si>
  <si>
    <t>PS_AR_PO_DTL_XX_H</t>
  </si>
  <si>
    <t>PS_AR_PO_SEQ_XX_H</t>
  </si>
  <si>
    <t>PS_AR_PO_FLDS_XX_H</t>
  </si>
  <si>
    <t>PS_AR_PO_TOT_XX_H</t>
  </si>
  <si>
    <t>PS_AR_POKEYS_XX_H</t>
  </si>
  <si>
    <t>PS_AR_PO_XX_H</t>
  </si>
  <si>
    <t>PS_PO_KEY_DTA_XX_H</t>
  </si>
  <si>
    <t>PS_PO_EXTRACT_XX_H</t>
  </si>
  <si>
    <t>PS_AR_PO_WORK_XX_H</t>
  </si>
  <si>
    <t>PS_AR_PO_PRTF_XX_H</t>
  </si>
  <si>
    <t>PS_AR_PO_PRNT_XX_H</t>
  </si>
  <si>
    <t>PS_AR_PO_EML_XX_H</t>
  </si>
  <si>
    <t>PS_AR_PAY_ID_ITM_H</t>
  </si>
  <si>
    <t>PS_AR_PAY_ID_CUS_H</t>
  </si>
  <si>
    <t>PS_AR_PAY_MIS_DS_H</t>
  </si>
  <si>
    <t>PS_AR_PAY_ITEM_H</t>
  </si>
  <si>
    <t>PS_AR_820RMNF_XX_H</t>
  </si>
  <si>
    <t>PS_AR_820RMSG_XX_H</t>
  </si>
  <si>
    <t>PS_AR_EE_DJR_ACT_H</t>
  </si>
  <si>
    <t>PS_AR_PAY_IT_MRL_H</t>
  </si>
  <si>
    <t>PS_AR_DEP_CONTRL_H</t>
  </si>
  <si>
    <t>PS_AR_PAYMENT_H</t>
  </si>
  <si>
    <t>PS_AR_FORMRAR_XX_H</t>
  </si>
  <si>
    <t>PS_AR_FRMRAR1_XX_H</t>
  </si>
  <si>
    <t>PS_AR_FRMRARB_XX_H</t>
  </si>
  <si>
    <t>PS_AR_STMT_CUS_H</t>
  </si>
  <si>
    <t>PS_AR_STMT_CUST_H</t>
  </si>
  <si>
    <t>PS_AR_STMT_CUSBD_H</t>
  </si>
  <si>
    <t>PS_AR_STMT_CUSDT_H</t>
  </si>
  <si>
    <t>PS_AR_FORMTAR_XX_H</t>
  </si>
  <si>
    <t>PS_AR_FRMTAR1_XX_H</t>
  </si>
  <si>
    <t>PS_AR_FRMXREF_XX_H</t>
  </si>
  <si>
    <t>PS_BIADJHSTX_H_XX</t>
  </si>
  <si>
    <t>PS_BIHDR_H_XX</t>
  </si>
  <si>
    <t>PS_BILINE_H_XX</t>
  </si>
  <si>
    <t>PS_BILNDSDTLX_H_XX</t>
  </si>
  <si>
    <t>PS_BILNDSTUAR_H_XX</t>
  </si>
  <si>
    <t>PS_BILNTAX_H_XX</t>
  </si>
  <si>
    <t>PS_BILNTAXDTL_H_XX</t>
  </si>
  <si>
    <t>PS_BIHDRAR_H_XX</t>
  </si>
  <si>
    <t>PS_BIHDRVAT_H_XX</t>
  </si>
  <si>
    <t>PS_BIHDRCRCARD_HXX</t>
  </si>
  <si>
    <t>PS_BIHDRNOTE_H_XX</t>
  </si>
  <si>
    <t>PS_BILNDSTDFR_H_XX</t>
  </si>
  <si>
    <t>PS_BIX24DSTMPX_HXX</t>
  </si>
  <si>
    <t>PS_BILNNOTE_H_XX</t>
  </si>
  <si>
    <t>PS_BILNDSDFR_H_XX</t>
  </si>
  <si>
    <t>PS_BIHDRX_H_XX</t>
  </si>
  <si>
    <t>PS_BILINEX_H_XX</t>
  </si>
  <si>
    <t>PS_BILNDSTAR_H_XX</t>
  </si>
  <si>
    <t>PS_BILNIUEXP_H_XX</t>
  </si>
  <si>
    <t>PS_BILNIUPAY_H_XX</t>
  </si>
  <si>
    <t>PS_VMSACCTLNX_H_XX</t>
  </si>
  <si>
    <t>PS_BILNDSLVL_H_XX</t>
  </si>
  <si>
    <t>PS_BIALLTAXX_H_XX</t>
  </si>
  <si>
    <t>PS_BILNDSDTL_H_XX</t>
  </si>
  <si>
    <t>PS_BILNDST_H_XX</t>
  </si>
  <si>
    <t>PS_BICBIVCHDR_H_XX</t>
  </si>
  <si>
    <t>PS_BICBIVCLIN_H_XX</t>
  </si>
  <si>
    <t>PS_BIEXTCIIDS_H_XX</t>
  </si>
  <si>
    <t>PS_EIDFILEINVX_HXX</t>
  </si>
  <si>
    <t>PS_INTFCBINTCMPHXX</t>
  </si>
  <si>
    <t>PS_INTFCBICMP_H_XX</t>
  </si>
  <si>
    <t>PS_BIACCTENTRY_HXX</t>
  </si>
  <si>
    <t>PS_INTFCBIADCMPHXX</t>
  </si>
  <si>
    <t>PS_BIPCITRCKX_H_XX</t>
  </si>
  <si>
    <t>PS_BIRELCMPX_H_XX</t>
  </si>
  <si>
    <t>PS_CA_INVTRKL_XX_H</t>
  </si>
  <si>
    <t>PS_BI_HDR_TMP_XX_H</t>
  </si>
  <si>
    <t>PS_CA_BP_XREF_H</t>
  </si>
  <si>
    <t>PS_CA_INVTRKH_XX_H</t>
  </si>
  <si>
    <t>PS_CA_ACCTG_LINE_H</t>
  </si>
  <si>
    <t>PS_CA_AP_SCHEDUL_H</t>
  </si>
  <si>
    <t>PS_CA_DETAIL_PRO_H</t>
  </si>
  <si>
    <t>PS_CA_DETAIL_H</t>
  </si>
  <si>
    <t>PS_CA_BP_SCHEDUL_H</t>
  </si>
  <si>
    <t>PS_CA_AP_UAR_H</t>
  </si>
  <si>
    <t>PS_CA_AP_PC_DST_H</t>
  </si>
  <si>
    <t>PS_CA_AP_DST_H</t>
  </si>
  <si>
    <t>PS_CA_CONTR_HDR_H</t>
  </si>
  <si>
    <t>PS_CA_BILL_PLAN_H</t>
  </si>
  <si>
    <t>PS_CA_AP_EVENT_H</t>
  </si>
  <si>
    <t>PS_CA_MS_COND_H</t>
  </si>
  <si>
    <t>PS_CA_BP_EVENTS_H</t>
  </si>
  <si>
    <t>PS_CA_DETAIL_UAR_H</t>
  </si>
  <si>
    <t>PS_CA_CHG_HDR_H</t>
  </si>
  <si>
    <t>PS_CA_MILESTONE_H</t>
  </si>
  <si>
    <t>PS_CA_DETAIL_DST_H</t>
  </si>
  <si>
    <t>PS_CA_ACCTPLAN_H</t>
  </si>
  <si>
    <t>PS_CA_LMT_FEE_DT_H</t>
  </si>
  <si>
    <t>PS_CA_CHG_DTL_H</t>
  </si>
  <si>
    <t>PS_CA_BIL_PLN_XX_H</t>
  </si>
  <si>
    <t>PS_CA_BP_LINES_H</t>
  </si>
  <si>
    <t>PS_CA_DTL_DST_DA_H</t>
  </si>
  <si>
    <t>PS_CA_AP_PC_UAR_H</t>
  </si>
  <si>
    <t>PS_CA_RATE_H</t>
  </si>
  <si>
    <t>PS_CA_HDR_REDUCT_H</t>
  </si>
  <si>
    <t>PS_CA_HDREV_RED_H</t>
  </si>
  <si>
    <t>PS_CA_DETAIL_RED_H</t>
  </si>
  <si>
    <t>PS_CA_AP_EVENT_D_H</t>
  </si>
  <si>
    <t>PS_CA_IVC_PRT_XX_H</t>
  </si>
  <si>
    <t>PS_CA_LNREV_RED_H</t>
  </si>
  <si>
    <t>PS_CA_LN_REDUCTS_H</t>
  </si>
  <si>
    <t>PS_CA_DTL_RED_DA_H</t>
  </si>
  <si>
    <t>PS_CA_PREPAID_TB_H</t>
  </si>
  <si>
    <t>PS_CA_RECON_REV_H</t>
  </si>
  <si>
    <t>PS_CA_NOTE_H</t>
  </si>
  <si>
    <t>PS_CA_RECON_BI_H</t>
  </si>
  <si>
    <t>PS_CA_WTH_TERMS_H</t>
  </si>
  <si>
    <t>PS_CA_PREPAID_PR_H</t>
  </si>
  <si>
    <t>PS_CA_AP_EVT_CHG_H</t>
  </si>
  <si>
    <t>PS_CA_BP_EVT_CHG_H</t>
  </si>
  <si>
    <t>PS_CA_BP_NOTE_H</t>
  </si>
  <si>
    <t>PS_CA_ATTACHMENT_H</t>
  </si>
  <si>
    <t>PS_CA_OPP_TYP_XX_H</t>
  </si>
  <si>
    <t>PS_CA_OPRID_CONT_H</t>
  </si>
  <si>
    <t>PS_CA_ACCTG_LN_T_H</t>
  </si>
  <si>
    <t>PS_CA_ACCTPLN_LA_H</t>
  </si>
  <si>
    <t>PS_CA_AP_DFR_H</t>
  </si>
  <si>
    <t>PS_CA_AP_FEE_ADJ_H</t>
  </si>
  <si>
    <t>PS_CA_AP_FEE_WS_H</t>
  </si>
  <si>
    <t>PS_CA_AP_PC_DFR_H</t>
  </si>
  <si>
    <t>PS_CA_AP_TXN_DST_H</t>
  </si>
  <si>
    <t>PS_CA_AP_TXN_UAR_H</t>
  </si>
  <si>
    <t>PS_CA_BILLPLN_LA_H</t>
  </si>
  <si>
    <t>PS_CA_BONUS_PENL_H</t>
  </si>
  <si>
    <t>PS_CA_BP_CDATAXX_H</t>
  </si>
  <si>
    <t>PS_CA_BP_EVT_LN_H</t>
  </si>
  <si>
    <t>PS_CA_BP_EV_AMXX_H</t>
  </si>
  <si>
    <t>PS_CA_BP_FEE_ADJ_H</t>
  </si>
  <si>
    <t>PS_CA_BP_FEE_WS_H</t>
  </si>
  <si>
    <t>PS_CA_DETAIL_APP_H</t>
  </si>
  <si>
    <t>PS_CA_DETAIL_DC_H</t>
  </si>
  <si>
    <t>PS_CA_DETAIL_DFR_H</t>
  </si>
  <si>
    <t>PS_CA_DETAIL_LAN_H</t>
  </si>
  <si>
    <t>PS_CA_DETAIL_PRI_H</t>
  </si>
  <si>
    <t>PS_CA_DST_ERR_H</t>
  </si>
  <si>
    <t>PS_CA_EARLY_OPTI_H</t>
  </si>
  <si>
    <t>PS_CA_EMAIL_CON2_H</t>
  </si>
  <si>
    <t>PS_CA_EMAIL_CONT_H</t>
  </si>
  <si>
    <t>PS_CA_FC_MAIN_H</t>
  </si>
  <si>
    <t>PS_CA_FC_STG_RUN_H</t>
  </si>
  <si>
    <t>PS_CA_HDRRED_LAN_H</t>
  </si>
  <si>
    <t>PS_CA_HDR_AE_ACC_H</t>
  </si>
  <si>
    <t>PS_CA_HDR_COMM_H</t>
  </si>
  <si>
    <t>PS_CA_HDR_DC_H</t>
  </si>
  <si>
    <t>PS_CA_HREVRED_LG_H</t>
  </si>
  <si>
    <t>PS_CA_LMT_TXN_H</t>
  </si>
  <si>
    <t>PS_CA_LMT_TXN_LG_H</t>
  </si>
  <si>
    <t>PS_CA_LNRED_LANG_H</t>
  </si>
  <si>
    <t>PS_CA_LREVRED_LG_H</t>
  </si>
  <si>
    <t>PS_CA_NOTE_DETAI_H</t>
  </si>
  <si>
    <t>PS_CA_NOTE_TRANS_H</t>
  </si>
  <si>
    <t>PS_CA_PGP_COSTS_H</t>
  </si>
  <si>
    <t>PS_CA_PGP_PROJ_H</t>
  </si>
  <si>
    <t>PS_CA_PGP_TERMS_H</t>
  </si>
  <si>
    <t>PS_CA_PGP_WKS_H</t>
  </si>
  <si>
    <t>PS_CA_PREPAID_AU_H</t>
  </si>
  <si>
    <t>PS_CA_PROJ_SUMMA_H</t>
  </si>
  <si>
    <t>PS_CA_RECON_SUM_H</t>
  </si>
  <si>
    <t>PS_CA_RNWLNRE_LG_H</t>
  </si>
  <si>
    <t>PS_CA_RNWLNRR_LG_H</t>
  </si>
  <si>
    <t>PS_CA_RNW_APPLIE_H</t>
  </si>
  <si>
    <t>PS_CA_RNW_LN_LIN_H</t>
  </si>
  <si>
    <t>PS_CA_RNW_LN_RDS_H</t>
  </si>
  <si>
    <t>PS_CA_RNW_LN_RED_H</t>
  </si>
  <si>
    <t>PS_CA_SUPPORT_TE_H</t>
  </si>
  <si>
    <t>PS_CA_WTH_RELEAS_H</t>
  </si>
  <si>
    <t>PS_CA_WTH_REL_LA_H</t>
  </si>
  <si>
    <t>PS_CA_WTH_TRM_LA_H</t>
  </si>
  <si>
    <t>PS_CA_ACCTG_LN_P_H</t>
  </si>
  <si>
    <t>PS_BI_LN_TMP_XX_H</t>
  </si>
  <si>
    <t>PS_TR_ATTACH_H_XX</t>
  </si>
  <si>
    <t>PS_BANK_BAL_H_XX</t>
  </si>
  <si>
    <t>PS_BNK_EXCP_H_XX</t>
  </si>
  <si>
    <t>PS_CSH_CST_DTL_HXX</t>
  </si>
  <si>
    <t>PS_CSH_CST_SUM_HXX</t>
  </si>
  <si>
    <t>PS_CASH_FLW_TR_HXX</t>
  </si>
  <si>
    <t>PS_BANK_NON_PD_HXX</t>
  </si>
  <si>
    <t>PS_BANK_SDSTMT_HXX</t>
  </si>
  <si>
    <t>PS_BNK_SMT_HDR_HXX</t>
  </si>
  <si>
    <t>PS_BNK_SDBAL_H_XX</t>
  </si>
  <si>
    <t>PS_BANK_STMT_H_XX</t>
  </si>
  <si>
    <t>PS_TR_WR_DTL_H_XX</t>
  </si>
  <si>
    <t>PS_TR_WR_HDR_H_XX</t>
  </si>
  <si>
    <t>PS_TR_AF_STL_H_XX</t>
  </si>
  <si>
    <t>PS_EX_ADV_CHK_H</t>
  </si>
  <si>
    <t>PS_EX_ADV_DIST_H</t>
  </si>
  <si>
    <t>PS_EX_ADV_DOCSEQ_H</t>
  </si>
  <si>
    <t>PS_EX_ADV_HDR_H</t>
  </si>
  <si>
    <t>PS_EX_ADV_LINE_H</t>
  </si>
  <si>
    <t>PS_EX_ADV_PYMT_H</t>
  </si>
  <si>
    <t>PS_EX_SHEET_ADV_H</t>
  </si>
  <si>
    <t>PS_EX_SHEET_ATT_H</t>
  </si>
  <si>
    <t>PS_EX_SHEET_DIST_H</t>
  </si>
  <si>
    <t>PS_EX_SHEET_HDR_H</t>
  </si>
  <si>
    <t>PS_EX_SHEET_LINE_H</t>
  </si>
  <si>
    <t>PS_EX_SHEET_PYMT_H</t>
  </si>
  <si>
    <t>PS_EX_SHT_DOCSEQ_H</t>
  </si>
  <si>
    <t>PS_EX_SHT_LN_PD_H</t>
  </si>
  <si>
    <t>PS_EX_SHT_NOTE_HXX</t>
  </si>
  <si>
    <t>PS_EX_SHT_SPLIT_H</t>
  </si>
  <si>
    <t>PS_EX_ACCTG_LINE_H</t>
  </si>
  <si>
    <t>PS_EX_APRVL_HIST_H</t>
  </si>
  <si>
    <t>PS_EX_ER_ATCH_H_XX</t>
  </si>
  <si>
    <t>PS_EX_SHEET_AW_H</t>
  </si>
  <si>
    <t>PS_EID_FILE_EX_HXX</t>
  </si>
  <si>
    <t>PS_EX_ENHC_DET_H</t>
  </si>
  <si>
    <t>PS_EX_ENHC_DTAMX_H</t>
  </si>
  <si>
    <t>PS_EX_ENHC_SMAMX_H</t>
  </si>
  <si>
    <t>PS_EX_ENHC_SUMM_H</t>
  </si>
  <si>
    <t>PS_EX_TRANS_H</t>
  </si>
  <si>
    <t>PS_EOAW_NEMSTS_HXX</t>
  </si>
  <si>
    <t>PS_EOAW_COMNTS_HXX</t>
  </si>
  <si>
    <t>PS_EOAW_HISCOM_HXX</t>
  </si>
  <si>
    <t>PS_EOAW_SPINST_HXX</t>
  </si>
  <si>
    <t>PS_EOAW_SUMDTL_HXX</t>
  </si>
  <si>
    <t>PS_EOAW_SUMM_HXX</t>
  </si>
  <si>
    <t>PS_EOAW_WL_HXX</t>
  </si>
  <si>
    <t>PS_EOAW_UESCAL_HXX</t>
  </si>
  <si>
    <t>PS_EOAW_URINST_HXX</t>
  </si>
  <si>
    <t>PS_PMT_ACK_ERR_HXX</t>
  </si>
  <si>
    <t>PS_PMT_ACK_HDR_HXX</t>
  </si>
  <si>
    <t>PS_PMT_ACK_H_XX</t>
  </si>
  <si>
    <t>PS_PMT_FIL_ACK_HXX</t>
  </si>
  <si>
    <t>PS_PMT_FIL_ERR_HXX</t>
  </si>
  <si>
    <t>PS_BSP_FIL_INF_HXX</t>
  </si>
  <si>
    <t>PS_PMT_ADDR_H_XX</t>
  </si>
  <si>
    <t>PS_PMT_DTL_H_XX</t>
  </si>
  <si>
    <t>PS_PMT_INTRM_H_XX</t>
  </si>
  <si>
    <t>PS_PMT_OID_STG_HXX</t>
  </si>
  <si>
    <t>PS_PMT_OTHID_H_XX</t>
  </si>
  <si>
    <t>PS_PMT_REF_H_XX</t>
  </si>
  <si>
    <t>PS_PMT_REQ_LOG_HXX</t>
  </si>
  <si>
    <t>PS_PMT_UPARTY_H_XX</t>
  </si>
  <si>
    <t>PS_PMT_UPY_STG_HXX</t>
  </si>
  <si>
    <t>PS_TR_EVNT_LOG_HXX</t>
  </si>
  <si>
    <t>PS_PMT_FIL_DEF_HXX</t>
  </si>
  <si>
    <t>PS_PMT_FIL_REF_HXX</t>
  </si>
  <si>
    <t>PS_SNW_FILE_H_XX</t>
  </si>
  <si>
    <t>PS_JRNL_LN_H</t>
  </si>
  <si>
    <t>PS_JRNL_HDR_H</t>
  </si>
  <si>
    <t>PS_JRNL_VAT_H</t>
  </si>
  <si>
    <t>PS_JRNL_IUAC_H</t>
  </si>
  <si>
    <t>PS_GL_OITEM_H</t>
  </si>
  <si>
    <t>PS_JRNL_CF_BAL_H</t>
  </si>
  <si>
    <t>PS_LEDGER_H</t>
  </si>
  <si>
    <t>PS_PC_PRJ_BRDNXX_H</t>
  </si>
  <si>
    <t>PS_PROJ_ACT_STAT_H</t>
  </si>
  <si>
    <t>PS_PC_ACT_IN_USE_H</t>
  </si>
  <si>
    <t>PS_PC_EMPPROJ_TM_H</t>
  </si>
  <si>
    <t>PS_PC_ACT_SUM_H</t>
  </si>
  <si>
    <t>PS_PROJECT_H</t>
  </si>
  <si>
    <t>PS_PROJ_STATUS_H</t>
  </si>
  <si>
    <t>PS_PC_PROJHEALTH_H</t>
  </si>
  <si>
    <t>PS_PC_AMRULE_ACT_H</t>
  </si>
  <si>
    <t>PS_PROJ_ACTIVITY_H</t>
  </si>
  <si>
    <t>PS_PROJECT_TEAM_H</t>
  </si>
  <si>
    <t>PS_PROJ_ACT_DESC_H</t>
  </si>
  <si>
    <t>PS_PC_COM_HD_XX_H</t>
  </si>
  <si>
    <t>PS_PC_POREF_XX_H</t>
  </si>
  <si>
    <t>PS_PC_PROJECT_XX_H</t>
  </si>
  <si>
    <t>PS_PROJ_ACT_LOC_H</t>
  </si>
  <si>
    <t>PS_PC_PRJ_ACT_XX_H</t>
  </si>
  <si>
    <t>PS_PC_PRICE_RATE_H</t>
  </si>
  <si>
    <t>PS_PROJECT_MGR_H</t>
  </si>
  <si>
    <t>PS_PROJ_TM_SCHED_H</t>
  </si>
  <si>
    <t>PS_PC_EMP_RES_TM_H</t>
  </si>
  <si>
    <t>PS_PROJ_LOCATION_H</t>
  </si>
  <si>
    <t>PS_PROJECT_DESCR_H</t>
  </si>
  <si>
    <t>PS_PROJ_SPRD_XX_H</t>
  </si>
  <si>
    <t>PS_PC_AMRULE_PRJ_H</t>
  </si>
  <si>
    <t>PS_PC_CHC_INFO_H</t>
  </si>
  <si>
    <t>PS_PROJ_BIL_INFO_H</t>
  </si>
  <si>
    <t>PS_PROJ_QUALITY_H</t>
  </si>
  <si>
    <t>PS_PSA_ORGPRJ_DF_H</t>
  </si>
  <si>
    <t>PS_TL_RTS_TRC_XX_H</t>
  </si>
  <si>
    <t>PS_TL_RTS_ACT_XX_H</t>
  </si>
  <si>
    <t>PS_PC_COM_LN_XX_H</t>
  </si>
  <si>
    <t>PS_TL_RTS_PRJ_XX_H</t>
  </si>
  <si>
    <t>PS_PROJECT_XX_H</t>
  </si>
  <si>
    <t>PS_PROJ_JUSTIFY_H</t>
  </si>
  <si>
    <t>PS_PC_OPIDPRJACT_H</t>
  </si>
  <si>
    <t>PS_PROJ_ACT_XX_H</t>
  </si>
  <si>
    <t>PS_PROJ_EV_APPRV_H</t>
  </si>
  <si>
    <t>PS_INTF_PROJ_RES_H</t>
  </si>
  <si>
    <t>PS_PC_BITOPC_SUM_H</t>
  </si>
  <si>
    <t>PS_PC_BUD_ACT_H</t>
  </si>
  <si>
    <t>PS_PC_BUD_ALERT_H</t>
  </si>
  <si>
    <t>PS_PC_BUD_DETAIL_H</t>
  </si>
  <si>
    <t>PS_PC_BUD_DETLXX_H</t>
  </si>
  <si>
    <t>PS_PC_BUD_DTL_XX_H</t>
  </si>
  <si>
    <t>PS_PC_BUD_ITEMXX_H</t>
  </si>
  <si>
    <t>PS_PC_BUD_ITEM_H</t>
  </si>
  <si>
    <t>PS_PC_BUD_ITM_XX_H</t>
  </si>
  <si>
    <t>PS_PC_BUD_PLAN_H</t>
  </si>
  <si>
    <t>PS_PC_BUD_PLN_XX_H</t>
  </si>
  <si>
    <t>PS_PC_BUD_SUMRY_H</t>
  </si>
  <si>
    <t>PS_PC_BUD_SUM_XX_H</t>
  </si>
  <si>
    <t>PS_PC_CHCINFO_XX_H</t>
  </si>
  <si>
    <t>PS_PC_CMPRREPXX_H</t>
  </si>
  <si>
    <t>PS_PC_CMPRSTG_XX_H</t>
  </si>
  <si>
    <t>PS_PC_DELUTIL_RC_H</t>
  </si>
  <si>
    <t>PS_PC_OPIDPRJREM_H</t>
  </si>
  <si>
    <t>PS_PC_PICSTS_TBL_H</t>
  </si>
  <si>
    <t>PS_PC_RPO_H</t>
  </si>
  <si>
    <t>PS_PC_VP_REVIEW_H</t>
  </si>
  <si>
    <t>PS_PM_ACT_STG_XX_H</t>
  </si>
  <si>
    <t>PS_PM_RES_STG_XX_H</t>
  </si>
  <si>
    <t>PS_PM_SPRASGN_XX_H</t>
  </si>
  <si>
    <t>PS_PM_SPRBRDN_XX_H</t>
  </si>
  <si>
    <t>PS_PM_SPRCMSN_XX_H</t>
  </si>
  <si>
    <t>PS_PM_SPRCUST_XX_H</t>
  </si>
  <si>
    <t>PS_PM_SPRXREF_XX_H</t>
  </si>
  <si>
    <t>PS_PM_SPR_STG_XX_H</t>
  </si>
  <si>
    <t>PS_PRJSPRDEXT_XX_H</t>
  </si>
  <si>
    <t>PS_PRJ_RESTMP_XX_H</t>
  </si>
  <si>
    <t>PS_PRJ_TMACTDTXX_H</t>
  </si>
  <si>
    <t>PS_PROJECT_SCHED_H</t>
  </si>
  <si>
    <t>PS_PROJECT_SD_H</t>
  </si>
  <si>
    <t>PS_PROJ_ACT_TEAM_H</t>
  </si>
  <si>
    <t>PS_PROJ_APPROVAL_H</t>
  </si>
  <si>
    <t>PS_PROJ_DOCUMENT_H</t>
  </si>
  <si>
    <t>PS_PROJ_RES_DELT_H</t>
  </si>
  <si>
    <t>PS_PROJ_RSCTMPXX_H</t>
  </si>
  <si>
    <t>PS_PROJ_TEAMSVXX_H</t>
  </si>
  <si>
    <t>PS_PROJ_RESOURCE_H</t>
  </si>
  <si>
    <t>PS_INT_PRJACT_XX_H</t>
  </si>
  <si>
    <t>PS_PC_CMACCTLNXX_H</t>
  </si>
  <si>
    <t>PS_PCX0015_ERRXX_H</t>
  </si>
  <si>
    <t>PS_PC_INTFCSTGXX_H</t>
  </si>
  <si>
    <t>PS_PC_UPLD_CI_XX_H</t>
  </si>
  <si>
    <t>PS_PCX0013_ERRXX_H</t>
  </si>
  <si>
    <t>PS_PC_UB_FDET_XX_H</t>
  </si>
  <si>
    <t>PS_PC_UB_PO_XX_H</t>
  </si>
  <si>
    <t>PS_PC_GLTOPC_SUM_H</t>
  </si>
  <si>
    <t>PS_PC_APTOPC_SUM_H</t>
  </si>
  <si>
    <t>PS_PC_EXTOPC_SUM_H</t>
  </si>
  <si>
    <t>PS_PGM_CONVST1_XXH</t>
  </si>
  <si>
    <t>PS_PGM_CONVST2_XXH</t>
  </si>
  <si>
    <t>PS_PGM_MRHGRID_HXX</t>
  </si>
  <si>
    <t>PS_PGM_MROVRLD_HXX</t>
  </si>
  <si>
    <t>PS_PGM_PRLQLNT_HXX</t>
  </si>
  <si>
    <t>PS_PGM_WRKLDST_HXX</t>
  </si>
  <si>
    <t>PS_AP_PYMT_AUD_ARC</t>
  </si>
  <si>
    <t>PS_PRCPARMHIS_H_XX</t>
  </si>
  <si>
    <t>PS_PRCRQSTHIS_H_XX</t>
  </si>
  <si>
    <t>PS_PRCTXFRHIS_H_XX</t>
  </si>
  <si>
    <t>PS_PRCRQSTSTR_H_XX</t>
  </si>
  <si>
    <t>PS_CDMLISTHIS_H_XX</t>
  </si>
  <si>
    <t>PS_PRCRQSTFLE_H_XX</t>
  </si>
  <si>
    <t>PS_CDMAUTHIST_H_XX</t>
  </si>
  <si>
    <t>PS_PRCJOBSTAT_H_XX</t>
  </si>
  <si>
    <t>PS_PRCDISTHIS_H_XX</t>
  </si>
  <si>
    <t>PS_PRCTEXTHIS_H_XX</t>
  </si>
  <si>
    <t>PS_PRCQUEHIST_H_XX</t>
  </si>
  <si>
    <t>PS_CDMFILELIS_H_XX</t>
  </si>
  <si>
    <t>PS_GM_PROPOSAL_HXX</t>
  </si>
  <si>
    <t>PS_GM_OPTYDTTM_HXX</t>
  </si>
  <si>
    <t>PS_GM_PROP_XX_HXX</t>
  </si>
  <si>
    <t>PS_GM_BUD_LNSM_HXX</t>
  </si>
  <si>
    <t>PS_GM_PROP_PRJ_HXX</t>
  </si>
  <si>
    <t>PS_GM_BUD_HDR_HXX</t>
  </si>
  <si>
    <t>PS_GM_BUD_PERD_HXX</t>
  </si>
  <si>
    <t>PS_GM_PROPRJXX_HXX</t>
  </si>
  <si>
    <t>PS_GM_OPDTTMXX_HXX</t>
  </si>
  <si>
    <t>PS_GM_PMDTRSC_HXX</t>
  </si>
  <si>
    <t>PS_GM_BUDHDRXX_HXX</t>
  </si>
  <si>
    <t>PS_GM_PROPCHXX_HXX</t>
  </si>
  <si>
    <t>PS_GM_PROPCMMT_HXX</t>
  </si>
  <si>
    <t>PS_TE_EMP_HDR_H_XX</t>
  </si>
  <si>
    <t>PS_TE_EMP_OBU_H_XX</t>
  </si>
  <si>
    <t>PS_TE_EMP_UP_H_XX</t>
  </si>
  <si>
    <t>PS_BEN_PRGPRTC_HXX</t>
  </si>
  <si>
    <t>PS_COMPNSTION_H_XX</t>
  </si>
  <si>
    <t>PS_EMAILADRS_H_XX</t>
  </si>
  <si>
    <t>PS_EMPLOYMENT_H_XX</t>
  </si>
  <si>
    <t>PS_JOB_H_XX</t>
  </si>
  <si>
    <t>PS_JOB_XX_H_XX</t>
  </si>
  <si>
    <t>PS_PERSDATAEF_H_XX</t>
  </si>
  <si>
    <t>PS_PERSONALDA_H_XX</t>
  </si>
  <si>
    <t>PS_PERSONALPH_H_XX</t>
  </si>
  <si>
    <t>PS_PERS_NID_H_XX</t>
  </si>
  <si>
    <t>PS_PURGEDATA_H_XX</t>
  </si>
  <si>
    <t>PS_CMMTS_TBL_H_XX</t>
  </si>
  <si>
    <t>PS_COMMENT_TBL_HXX</t>
  </si>
  <si>
    <t>PS_PURC_ITMATR_HXX</t>
  </si>
  <si>
    <t>PS_MSTR_ITMTBL_HXX</t>
  </si>
  <si>
    <t>PS_PURCH_ITMBU_HXX</t>
  </si>
  <si>
    <t>PS_INV_ITEMS_H_XX</t>
  </si>
  <si>
    <t>PS_INV_ITEMUOM_HXX</t>
  </si>
  <si>
    <t>PS_INV_ITM_PHT_HXX</t>
  </si>
  <si>
    <t>PS_ASET_ITMATR_HXX</t>
  </si>
  <si>
    <t>PS_ITM_VENDOR_H_XX</t>
  </si>
  <si>
    <t>PS_RTV_DSPTCH_H_XX</t>
  </si>
  <si>
    <t>PS_RTV_LN_DSTB_HXX</t>
  </si>
  <si>
    <t>PS_RTV_LN_H_XX</t>
  </si>
  <si>
    <t>PS_RTV_HDR_H_XX</t>
  </si>
  <si>
    <t>PS_RTV_ADDR_H_XX</t>
  </si>
  <si>
    <t>PS_RTV_LN_FEE_H_XX</t>
  </si>
  <si>
    <t>PS_RTV_CMMNT_H_XX</t>
  </si>
  <si>
    <t>PS_CNTR_RLSDTL_HXX</t>
  </si>
  <si>
    <t>PS_CNTR_RLSHDR_HXX</t>
  </si>
  <si>
    <t>PS_CNTR_RLS_LN_HXX</t>
  </si>
  <si>
    <t>PS_CNTRCT_HDR_H_XX</t>
  </si>
  <si>
    <t>PS_CNTR_EVTVCH_HXX</t>
  </si>
  <si>
    <t>PS_CNTRCT_LN_H_XX</t>
  </si>
  <si>
    <t>PS_CNTRCT_DSTB_HXX</t>
  </si>
  <si>
    <t>PS_CNTR_SCHDL_H_XX</t>
  </si>
  <si>
    <t>PS_CNTR_BUDSTB_HXX</t>
  </si>
  <si>
    <t>PS_CNTR_LNRLS_HXX</t>
  </si>
  <si>
    <t>PS_CNTR_HDRRLS_HXX</t>
  </si>
  <si>
    <t>PS_CNTR_RLSTBL_HXX</t>
  </si>
  <si>
    <t>PS_CNTRCT_DFLT_HXX</t>
  </si>
  <si>
    <t>PS_CNTRCT_MLST_HXX</t>
  </si>
  <si>
    <t>PS_CNTR_LN_UOM_HXX</t>
  </si>
  <si>
    <t>PS_PO_LN_DISTB_HXX</t>
  </si>
  <si>
    <t>PS_PO_LN_SHIP_H_XX</t>
  </si>
  <si>
    <t>PS_PO_LINE_H_XX</t>
  </si>
  <si>
    <t>PS_PO_DFLTDSTB_HXX</t>
  </si>
  <si>
    <t>PS_PO_DFLT_TBL_HXX</t>
  </si>
  <si>
    <t>PS_PO_DISPATCH_HXX</t>
  </si>
  <si>
    <t>PS_PO_LNSHPMCH_HXX</t>
  </si>
  <si>
    <t>PS_PO_LNSHPSUT_HXX</t>
  </si>
  <si>
    <t>PS_PO_HDR_EXS_H_XX</t>
  </si>
  <si>
    <t>PS_PO_CHG_HDR_H_XX</t>
  </si>
  <si>
    <t>PS_PO_CHG_SHP_H_XX</t>
  </si>
  <si>
    <t>PS_PO_CHG_ORD_H_XX</t>
  </si>
  <si>
    <t>PS_PO_HDR_H_XX</t>
  </si>
  <si>
    <t>PS_PO_HDR_VAT_H_XX</t>
  </si>
  <si>
    <t>PS_PO_CHG_LN_H_XX</t>
  </si>
  <si>
    <t>PS_PO_EST_SHIP_HXX</t>
  </si>
  <si>
    <t>PS_PO_COMMENT_H_XX</t>
  </si>
  <si>
    <t>PS_PO_RC_WB_EX_HXX</t>
  </si>
  <si>
    <t>PS_PO_APPROVAL_HXX</t>
  </si>
  <si>
    <t>PS_PO_CHG_ADDR_HXX</t>
  </si>
  <si>
    <t>PS_PO_HDR_EMAL_HXX</t>
  </si>
  <si>
    <t>PS_PO_ER_EMSGQ_HXX</t>
  </si>
  <si>
    <t>PS_RECV_LNDSTB_HXX</t>
  </si>
  <si>
    <t>PS_RECV_LN_SHP_HXX</t>
  </si>
  <si>
    <t>PS_RECV_HDR_H_XX</t>
  </si>
  <si>
    <t>PS_RECV_LNINSP_HXX</t>
  </si>
  <si>
    <t>PS_RECV_LNSHMT_HXX</t>
  </si>
  <si>
    <t>PS_RECV_COMNT_HXX</t>
  </si>
  <si>
    <t>PS_RECV_LNASET_HXX</t>
  </si>
  <si>
    <t>PS_RS_SCHED_TASK_H</t>
  </si>
  <si>
    <t>PS_TLRTSACTXX_H_XX</t>
  </si>
  <si>
    <t>PS_TLRTSPRJXX_H_XX</t>
  </si>
  <si>
    <t>PS_TLRTSTRCXX_H_XX</t>
  </si>
  <si>
    <t>PS_AP_VCHR_AUD_ARC</t>
  </si>
  <si>
    <t>PS_VMSSRCCNLX_H_XX</t>
  </si>
  <si>
    <t>PS_VMSTRNCNLX_H_XX</t>
  </si>
  <si>
    <t>PS_VMSSRCARCX_H_XX</t>
  </si>
  <si>
    <t>PS_VMSTRNSHST_H_XX</t>
  </si>
  <si>
    <t>count</t>
  </si>
  <si>
    <t>PRD EXP table name</t>
  </si>
  <si>
    <t>Exported count</t>
  </si>
  <si>
    <t>Table name</t>
  </si>
  <si>
    <t>GrandTotal</t>
  </si>
  <si>
    <t>PRD EXP Count</t>
  </si>
  <si>
    <t>Count compare</t>
  </si>
  <si>
    <t>APVCHRXX,</t>
  </si>
  <si>
    <t>APPYTTXX,</t>
  </si>
  <si>
    <t>ARBUR_XX,</t>
  </si>
  <si>
    <t>ARITEM,</t>
  </si>
  <si>
    <t>ARMAR_XX,</t>
  </si>
  <si>
    <t>ARPEND,</t>
  </si>
  <si>
    <t>ARPO_XX,</t>
  </si>
  <si>
    <t>ARRAR_XX,</t>
  </si>
  <si>
    <t>ARSTMT,</t>
  </si>
  <si>
    <t>ARTAR_XX,</t>
  </si>
  <si>
    <t>BICBINXX,</t>
  </si>
  <si>
    <t>BIINVXX,</t>
  </si>
  <si>
    <t>BIPCIXX,</t>
  </si>
  <si>
    <t>BIRELXX,</t>
  </si>
  <si>
    <t>CA_001,</t>
  </si>
  <si>
    <t>CM_FD_XX,</t>
  </si>
  <si>
    <t>CM_AS_XX,</t>
  </si>
  <si>
    <t>CM_EP_XX,</t>
  </si>
  <si>
    <t>CM_FS_XX,</t>
  </si>
  <si>
    <t>CM_SH_XX,</t>
  </si>
  <si>
    <t>CM_ST_XX,</t>
  </si>
  <si>
    <t>CM_WH_XX,</t>
  </si>
  <si>
    <t>EXADV_XX,</t>
  </si>
  <si>
    <t>EXSHT_XX,</t>
  </si>
  <si>
    <t>EX_FL_XX,</t>
  </si>
  <si>
    <t>EX_MYWAL,</t>
  </si>
  <si>
    <t>FG_AK_XX,</t>
  </si>
  <si>
    <t>FG_DL_XX,</t>
  </si>
  <si>
    <t>GL_JRLXX,</t>
  </si>
  <si>
    <t>GL_LEDXX,</t>
  </si>
  <si>
    <t>PC_01_XX,</t>
  </si>
  <si>
    <t>PGM_MHXX,</t>
  </si>
  <si>
    <t>PGM_PRXX,</t>
  </si>
  <si>
    <t>PRCS_XX,</t>
  </si>
  <si>
    <t>PRMGT_XX,</t>
  </si>
  <si>
    <t>PSPDA_XX,</t>
  </si>
  <si>
    <t>PURITMXX,</t>
  </si>
  <si>
    <t>PUR_CTXX,</t>
  </si>
  <si>
    <t>PUR_POXX,</t>
  </si>
  <si>
    <t>PUR_RCXX,</t>
  </si>
  <si>
    <t>VCHAUDXX,</t>
  </si>
  <si>
    <t>RS_SCHXX,</t>
  </si>
  <si>
    <t>AGNGXX,</t>
  </si>
  <si>
    <t>APPYMTXX,</t>
  </si>
  <si>
    <t>APY42_XX,</t>
  </si>
  <si>
    <t>AP_PYMNT,</t>
  </si>
  <si>
    <t>ARACTLST,</t>
  </si>
  <si>
    <t>ARPYMT,</t>
  </si>
  <si>
    <t>BICANXX,</t>
  </si>
  <si>
    <t>BINFADXX,</t>
  </si>
  <si>
    <t>EX_ACCTG,</t>
  </si>
  <si>
    <t>EX_NS_XX,</t>
  </si>
  <si>
    <t>EX_SY_XX,</t>
  </si>
  <si>
    <t>FG_FE_XX,</t>
  </si>
  <si>
    <t>PC_05_XX,</t>
  </si>
  <si>
    <t>PSPUR_XX,</t>
  </si>
  <si>
    <t>PURRTVXX,</t>
  </si>
  <si>
    <t>VMSCTRXX,</t>
  </si>
  <si>
    <t>APY18_XX,</t>
  </si>
  <si>
    <t>CA_PD_XX,</t>
  </si>
  <si>
    <t>CM_BS_XX,</t>
  </si>
  <si>
    <t>CM_FW_XX,</t>
  </si>
  <si>
    <t>CM_NP_XX,</t>
  </si>
  <si>
    <t>PC_04_XX,</t>
  </si>
  <si>
    <t>PC_06_XX,</t>
  </si>
  <si>
    <t>PC_10_XX,</t>
  </si>
  <si>
    <t>PC_12_XX,</t>
  </si>
  <si>
    <t>PMTAUDXX,</t>
  </si>
  <si>
    <t>PURCMTXX,</t>
  </si>
  <si>
    <t>BIADJXX,</t>
  </si>
  <si>
    <t>BIINFXX,</t>
  </si>
  <si>
    <t>EX_UI_XX,</t>
  </si>
  <si>
    <t>FG_ET_XX,</t>
  </si>
  <si>
    <t>PC_03_XX,</t>
  </si>
  <si>
    <t>PC_07_XX,</t>
  </si>
  <si>
    <t>PGM_MOXX,</t>
  </si>
  <si>
    <t>PSHDR_XX,</t>
  </si>
  <si>
    <t>PYMT_AUD,</t>
  </si>
  <si>
    <t>VMSCSTXX,</t>
  </si>
  <si>
    <t>VMSSTRXX,</t>
  </si>
  <si>
    <t>EX_AT_XX,</t>
  </si>
  <si>
    <t>PC_08_XX,</t>
  </si>
  <si>
    <t>PC_11_XX,</t>
  </si>
  <si>
    <t>PGMST2XX,</t>
  </si>
  <si>
    <t>ARATTDXX,</t>
  </si>
  <si>
    <t>CM_SL_XX,</t>
  </si>
  <si>
    <t>EX_ER_AD,</t>
  </si>
  <si>
    <t>FG_SF_XX,</t>
  </si>
  <si>
    <t>PGM_WDXX,</t>
  </si>
  <si>
    <t>TLRTS_XX,</t>
  </si>
  <si>
    <t>ARXRF_XX,</t>
  </si>
  <si>
    <t>BIEIDXX,</t>
  </si>
  <si>
    <t>CM_XF_XX,</t>
  </si>
  <si>
    <t>EX_APPR,</t>
  </si>
  <si>
    <t>FG_BF_XX,</t>
  </si>
  <si>
    <t>VMSTRNXX,</t>
  </si>
  <si>
    <t>CM_SD_XX,</t>
  </si>
  <si>
    <t>PC_02_XX,</t>
  </si>
  <si>
    <t>PC_09_XX,</t>
  </si>
  <si>
    <t>PGMST1XX,</t>
  </si>
  <si>
    <t>Deleted Count</t>
  </si>
  <si>
    <t>count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</si>
</sst>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1.517153009256" createdVersion="8" refreshedVersion="8" minRefreshableVersion="3" recordCount="576" xr:uid="{61207200-8BD1-430B-BB2E-9190EC383718}">
  <cacheSource type="worksheet">
    <worksheetSource ref="A1:B1048576" sheet="Sheet3"/>
  </cacheSource>
  <cacheFields count="2">
    <cacheField name="PRD EXP table name" numFmtId="0">
      <sharedItems containsBlank="1" count="543">
        <s v="PS_CUSTAGINGX_H_XX"/>
        <s v="PS_AP_ARC_PYM_TB_H"/>
        <s v="PS_WTH_TRXTBL_H_XX"/>
        <s v="PS_AP_SUPPRES_H_XX"/>
        <s v="PS_PAYMNT_TBL_H_XX"/>
        <s v="PS_PYMNT_ADVC_H_XX"/>
        <s v="PS_AP_ARC_PYM_RC_H"/>
        <s v="PS_AP_ARC_PYM_AD_H"/>
        <s v="PS_PAY_TRNSMT_H_XX"/>
        <s v="PS_AP_ARC_VCH_AC_H"/>
        <s v="PS_UNMTCH_TMP_H_XX"/>
        <s v="PS_AP_ARC_VCHL_M_H"/>
        <s v="PS_VCHRREG_LC_H_XX"/>
        <s v="PS_AP_ARC_VCH_WT_H"/>
        <s v="PS_AP_ARC_PYM_WT_H"/>
        <s v="PS_AP_ARC_PY_MSG_H"/>
        <s v="PS_VED_DUPINV_H_XX"/>
        <s v="PS_DSTRPMTXRF_H_XX"/>
        <s v="PS_AP_ARC_VCH_RM_H"/>
        <s v="PS_AP_ARC_VCH_MS_H"/>
        <s v="PS_AP_ARC_DIST_N_H"/>
        <s v="PS_APVCH_DSPL_H_XX"/>
        <s v="PS_WTHD_UPDT_H_XX"/>
        <s v="PS_AP_ARC_BCH_XR_H"/>
        <s v="PS_AP_ARC_EXP_DL_H"/>
        <s v="PS_AP_ARC_VCHL_E_H"/>
        <s v="PS_AP_ARC_VCH_HP_H"/>
        <s v="PS_AP_ARC_VCH_TG_H"/>
        <s v="PS_AP_ARC_VCH_TX_H"/>
        <s v="PS_AP_ARC_VCH_VB_H"/>
        <s v="PS_AP_ARC_VCH_VI_H"/>
        <s v="PS_AP_ARC_VCH_VN_H"/>
        <s v="PS_REMRPRT_H_XX"/>
        <s v="PS_TSEALN_FLD_H_XX"/>
        <s v="PS_TSEPMT_FLD_H_XX"/>
        <s v="PS_TSEVCH_FLD_H_XX"/>
        <s v="PS_TSEVLN_FLD_H_XX"/>
        <s v="PS_TSE_VCHR_H_XX"/>
        <s v="PS_AP_ARC_VCH_FR_H"/>
        <s v="PS_AP_ARC_VCH_ST_H"/>
        <s v="PS_VCHDUP_INV_H_XX"/>
        <s v="PS_AP_ARC_VCH_DO_H"/>
        <s v="PS_VCHR_UPDT_H_XX"/>
        <s v="PS_AP_ARC_VCH_UT_H"/>
        <s v="PS_VATXRF_VCH_H_XX"/>
        <s v="PS_RVLACTG_LN_H_XX"/>
        <s v="PS_LNWTHD_UPD_H_XX"/>
        <s v="PS_AP_ARC_PYM_XR_H"/>
        <s v="PS_AP_ARC_VOUCH_H"/>
        <s v="PS_AP_ARC_VCH_LN_H"/>
        <s v="PS_AP_ARC_DIST_L_H"/>
        <s v="PS_APYX18_IFC_H_XX"/>
        <s v="PS_APYX42_IFC_H_XX"/>
        <s v="PS_AR_ACTION_LST_H"/>
        <s v="PS_AR_FRMATTD_XX_H"/>
        <s v="PS_AR_FORMATT_XX_H"/>
        <s v="PS_AR_FORMHDR_XX_H"/>
        <s v="PS_AR_FORMNAR_XX_H"/>
        <s v="PS_AR_FORMTMP_XX_H"/>
        <s v="PS_AR_FRMLIN1_XX_H"/>
        <s v="PS_AR_FRMLIN2_XX_H"/>
        <s v="PS_AR_FRMLIN3_XX_H"/>
        <s v="PS_AR_FRMLIN4_XX_H"/>
        <s v="PS_AR_ITM_ACTVTY_H"/>
        <s v="PS_AR_ITEM_DST_H"/>
        <s v="PS_AR_ITM_ACTVAT_H"/>
        <s v="PS_AR_CCTRN_HDR_H"/>
        <s v="PS_AR_CCTRN_TBL_H"/>
        <s v="PS_AR_EE_ITACTLN_H"/>
        <s v="PS_AR_IPAC_DET_H"/>
        <s v="PS_AR_IPAC_HDR_H"/>
        <s v="PS_AR_IPAC_SGL_H"/>
        <s v="PS_AR_ITMAGNG_XX_H"/>
        <s v="PS_AR_ITMDSP_XX_H"/>
        <s v="PS_AR_ITM_ACTTAX_H"/>
        <s v="PS_AR_ITM_ACTXDT_H"/>
        <s v="PS_AR_ITMNOTE_XX_H"/>
        <s v="PS_AR_ITEM_H"/>
        <s v="PS_AR_FRMMAR2_XX_H"/>
        <s v="PS_AR_FRMMAR1_XX_H"/>
        <s v="PS_AR_FORMMAR_XX_H"/>
        <s v="PS_AR_PEND_DST_H"/>
        <s v="PS_AR_PEND_VAT_H"/>
        <s v="PS_AR_PEND_IT_MR_H"/>
        <s v="PS_AR_PEND_TAX_H"/>
        <s v="PS_AR_PEND_TX_DT_H"/>
        <s v="PS_AR_GROUP_CNTL_H"/>
        <s v="PS_AR_PEND_ITM_H"/>
        <s v="PS_AR_PO_DTL_XX_H"/>
        <s v="PS_AR_PO_SEQ_XX_H"/>
        <s v="PS_AR_PO_FLDS_XX_H"/>
        <s v="PS_AR_PO_TOT_XX_H"/>
        <s v="PS_AR_POKEYS_XX_H"/>
        <s v="PS_AR_PO_XX_H"/>
        <s v="PS_PO_KEY_DTA_XX_H"/>
        <s v="PS_PO_EXTRACT_XX_H"/>
        <s v="PS_AR_PO_WORK_XX_H"/>
        <s v="PS_AR_PO_PRTF_XX_H"/>
        <s v="PS_AR_PO_PRNT_XX_H"/>
        <s v="PS_AR_PO_EML_XX_H"/>
        <s v="PS_AR_PAY_ID_ITM_H"/>
        <s v="PS_AR_PAY_ID_CUS_H"/>
        <s v="PS_AR_PAY_MIS_DS_H"/>
        <s v="PS_AR_PAY_ITEM_H"/>
        <s v="PS_AR_820RMNF_XX_H"/>
        <s v="PS_AR_820RMSG_XX_H"/>
        <s v="PS_AR_EE_DJR_ACT_H"/>
        <s v="PS_AR_PAY_IT_MRL_H"/>
        <s v="PS_AR_DEP_CONTRL_H"/>
        <s v="PS_AR_PAYMENT_H"/>
        <s v="PS_AR_FORMRAR_XX_H"/>
        <s v="PS_AR_FRMRAR1_XX_H"/>
        <s v="PS_AR_FRMRARB_XX_H"/>
        <s v="PS_AR_STMT_CUS_H"/>
        <s v="PS_AR_STMT_CUST_H"/>
        <s v="PS_AR_STMT_CUSBD_H"/>
        <s v="PS_AR_STMT_CUSDT_H"/>
        <s v="PS_AR_FORMTAR_XX_H"/>
        <s v="PS_AR_FRMTAR1_XX_H"/>
        <s v="PS_AR_FRMXREF_XX_H"/>
        <s v="PS_BIADJHSTX_H_XX"/>
        <s v="PS_BIHDR_H_XX"/>
        <s v="PS_BILINE_H_XX"/>
        <s v="PS_BILNDSDTLX_H_XX"/>
        <s v="PS_BILNDSTUAR_H_XX"/>
        <s v="PS_BILNTAX_H_XX"/>
        <s v="PS_BILNTAXDTL_H_XX"/>
        <s v="PS_BIHDRAR_H_XX"/>
        <s v="PS_BIHDRVAT_H_XX"/>
        <s v="PS_BIHDRCRCARD_HXX"/>
        <s v="PS_BIHDRNOTE_H_XX"/>
        <s v="PS_BILNDSTDFR_H_XX"/>
        <s v="PS_BIX24DSTMPX_HXX"/>
        <s v="PS_BILNNOTE_H_XX"/>
        <s v="PS_BILNDSDFR_H_XX"/>
        <s v="PS_BIHDRX_H_XX"/>
        <s v="PS_BILINEX_H_XX"/>
        <s v="PS_BILNDSTAR_H_XX"/>
        <s v="PS_BILNIUEXP_H_XX"/>
        <s v="PS_BILNIUPAY_H_XX"/>
        <s v="PS_VMSACCTLNX_H_XX"/>
        <s v="PS_BILNDSLVL_H_XX"/>
        <s v="PS_BIALLTAXX_H_XX"/>
        <s v="PS_BILNDSDTL_H_XX"/>
        <s v="PS_BILNDST_H_XX"/>
        <s v="PS_BICBIVCHDR_H_XX"/>
        <s v="PS_BICBIVCLIN_H_XX"/>
        <s v="PS_BIEXTCIIDS_H_XX"/>
        <s v="PS_EIDFILEINVX_HXX"/>
        <s v="PS_INTFCBINTCMPHXX"/>
        <s v="PS_INTFCBICMP_H_XX"/>
        <s v="PS_BIACCTENTRY_HXX"/>
        <s v="PS_INTFCBIADCMPHXX"/>
        <s v="PS_BIPCITRCKX_H_XX"/>
        <s v="PS_BIRELCMPX_H_XX"/>
        <s v="PS_CA_INVTRKL_XX_H"/>
        <s v="PS_BI_HDR_TMP_XX_H"/>
        <s v="PS_CA_BP_XREF_H"/>
        <s v="PS_CA_INVTRKH_XX_H"/>
        <s v="PS_CA_ACCTG_LINE_H"/>
        <s v="PS_CA_AP_SCHEDUL_H"/>
        <s v="PS_CA_DETAIL_PRO_H"/>
        <s v="PS_CA_DETAIL_H"/>
        <s v="PS_CA_BP_SCHEDUL_H"/>
        <s v="PS_CA_AP_UAR_H"/>
        <s v="PS_CA_AP_PC_DST_H"/>
        <s v="PS_CA_AP_DST_H"/>
        <s v="PS_CA_CONTR_HDR_H"/>
        <s v="PS_CA_BILL_PLAN_H"/>
        <s v="PS_CA_AP_EVENT_H"/>
        <s v="PS_CA_MS_COND_H"/>
        <s v="PS_CA_BP_EVENTS_H"/>
        <s v="PS_CA_DETAIL_UAR_H"/>
        <s v="PS_CA_CHG_HDR_H"/>
        <s v="PS_CA_MILESTONE_H"/>
        <s v="PS_CA_DETAIL_DST_H"/>
        <s v="PS_CA_ACCTPLAN_H"/>
        <s v="PS_CA_LMT_FEE_DT_H"/>
        <s v="PS_CA_CHG_DTL_H"/>
        <s v="PS_CA_BIL_PLN_XX_H"/>
        <s v="PS_CA_BP_LINES_H"/>
        <s v="PS_CA_DTL_DST_DA_H"/>
        <s v="PS_CA_AP_PC_UAR_H"/>
        <s v="PS_CA_RATE_H"/>
        <s v="PS_CA_HDR_REDUCT_H"/>
        <s v="PS_CA_HDREV_RED_H"/>
        <s v="PS_CA_DETAIL_RED_H"/>
        <s v="PS_CA_AP_EVENT_D_H"/>
        <s v="PS_CA_IVC_PRT_XX_H"/>
        <s v="PS_CA_LNREV_RED_H"/>
        <s v="PS_CA_LN_REDUCTS_H"/>
        <s v="PS_CA_DTL_RED_DA_H"/>
        <s v="PS_CA_PREPAID_TB_H"/>
        <s v="PS_CA_RECON_REV_H"/>
        <s v="PS_CA_NOTE_H"/>
        <s v="PS_CA_RECON_BI_H"/>
        <s v="PS_CA_WTH_TERMS_H"/>
        <s v="PS_CA_PREPAID_PR_H"/>
        <s v="PS_CA_AP_EVT_CHG_H"/>
        <s v="PS_CA_BP_EVT_CHG_H"/>
        <s v="PS_CA_BP_NOTE_H"/>
        <s v="PS_CA_ATTACHMENT_H"/>
        <s v="PS_CA_OPP_TYP_XX_H"/>
        <s v="PS_CA_OPRID_CONT_H"/>
        <s v="PS_CA_ACCTG_LN_T_H"/>
        <s v="PS_CA_ACCTPLN_LA_H"/>
        <s v="PS_CA_AP_DFR_H"/>
        <s v="PS_CA_AP_FEE_ADJ_H"/>
        <s v="PS_CA_AP_FEE_WS_H"/>
        <s v="PS_CA_AP_PC_DFR_H"/>
        <s v="PS_CA_AP_TXN_DST_H"/>
        <s v="PS_CA_AP_TXN_UAR_H"/>
        <s v="PS_CA_BILLPLN_LA_H"/>
        <s v="PS_CA_BONUS_PENL_H"/>
        <s v="PS_CA_BP_CDATAXX_H"/>
        <s v="PS_CA_BP_EVT_LN_H"/>
        <s v="PS_CA_BP_EV_AMXX_H"/>
        <s v="PS_CA_BP_FEE_ADJ_H"/>
        <s v="PS_CA_BP_FEE_WS_H"/>
        <s v="PS_CA_DETAIL_APP_H"/>
        <s v="PS_CA_DETAIL_DC_H"/>
        <s v="PS_CA_DETAIL_DFR_H"/>
        <s v="PS_CA_DETAIL_LAN_H"/>
        <s v="PS_CA_DETAIL_PRI_H"/>
        <s v="PS_CA_DST_ERR_H"/>
        <s v="PS_CA_EARLY_OPTI_H"/>
        <s v="PS_CA_EMAIL_CON2_H"/>
        <s v="PS_CA_EMAIL_CONT_H"/>
        <s v="PS_CA_FC_MAIN_H"/>
        <s v="PS_CA_FC_STG_RUN_H"/>
        <s v="PS_CA_HDRRED_LAN_H"/>
        <s v="PS_CA_HDR_AE_ACC_H"/>
        <s v="PS_CA_HDR_COMM_H"/>
        <s v="PS_CA_HDR_DC_H"/>
        <s v="PS_CA_HREVRED_LG_H"/>
        <s v="PS_CA_LMT_TXN_H"/>
        <s v="PS_CA_LMT_TXN_LG_H"/>
        <s v="PS_CA_LNRED_LANG_H"/>
        <s v="PS_CA_LREVRED_LG_H"/>
        <s v="PS_CA_NOTE_DETAI_H"/>
        <s v="PS_CA_NOTE_TRANS_H"/>
        <s v="PS_CA_PGP_COSTS_H"/>
        <s v="PS_CA_PGP_PROJ_H"/>
        <s v="PS_CA_PGP_TERMS_H"/>
        <s v="PS_CA_PGP_WKS_H"/>
        <s v="PS_CA_PREPAID_AU_H"/>
        <s v="PS_CA_PROJ_SUMMA_H"/>
        <s v="PS_CA_RECON_SUM_H"/>
        <s v="PS_CA_RNWLNRE_LG_H"/>
        <s v="PS_CA_RNWLNRR_LG_H"/>
        <s v="PS_CA_RNW_APPLIE_H"/>
        <s v="PS_CA_RNW_LN_LIN_H"/>
        <s v="PS_CA_RNW_LN_RDS_H"/>
        <s v="PS_CA_RNW_LN_RED_H"/>
        <s v="PS_CA_SUPPORT_TE_H"/>
        <s v="PS_CA_WTH_RELEAS_H"/>
        <s v="PS_CA_WTH_REL_LA_H"/>
        <s v="PS_CA_WTH_TRM_LA_H"/>
        <s v="PS_CA_ACCTG_LN_P_H"/>
        <s v="PS_BI_LN_TMP_XX_H"/>
        <s v="PS_TR_ATTACH_H_XX"/>
        <s v="PS_BANK_BAL_H_XX"/>
        <s v="PS_BNK_EXCP_H_XX"/>
        <s v="PS_CSH_CST_DTL_HXX"/>
        <s v="PS_CSH_CST_SUM_HXX"/>
        <s v="PS_CASH_FLW_TR_HXX"/>
        <s v="PS_BANK_NON_PD_HXX"/>
        <s v="PS_BANK_SDSTMT_HXX"/>
        <s v="PS_BNK_SMT_HDR_HXX"/>
        <s v="PS_BNK_SDBAL_H_XX"/>
        <s v="PS_BANK_STMT_H_XX"/>
        <s v="PS_TR_WR_DTL_H_XX"/>
        <s v="PS_TR_WR_HDR_H_XX"/>
        <s v="PS_TR_AF_STL_H_XX"/>
        <s v="PS_EX_ADV_CHK_H"/>
        <s v="PS_EX_ADV_DIST_H"/>
        <s v="PS_EX_ADV_DOCSEQ_H"/>
        <s v="PS_EX_ADV_HDR_H"/>
        <s v="PS_EX_ADV_LINE_H"/>
        <s v="PS_EX_ADV_PYMT_H"/>
        <s v="PS_EX_SHEET_ADV_H"/>
        <s v="PS_EX_SHEET_ATT_H"/>
        <s v="PS_EX_SHEET_DIST_H"/>
        <s v="PS_EX_SHEET_HDR_H"/>
        <s v="PS_EX_SHEET_LINE_H"/>
        <s v="PS_EX_SHEET_PYMT_H"/>
        <s v="PS_EX_SHT_DOCSEQ_H"/>
        <s v="PS_EX_SHT_LN_PD_H"/>
        <s v="PS_EX_SHT_NOTE_HXX"/>
        <s v="PS_EX_SHT_SPLIT_H"/>
        <s v="PS_EX_ACCTG_LINE_H"/>
        <s v="PS_EX_APRVL_HIST_H"/>
        <s v="PS_EX_ER_ATCH_H_XX"/>
        <s v="PS_EX_SHEET_AW_H"/>
        <s v="PS_EID_FILE_EX_HXX"/>
        <s v="PS_EX_ENHC_DET_H"/>
        <s v="PS_EX_ENHC_DTAMX_H"/>
        <s v="PS_EX_ENHC_SMAMX_H"/>
        <s v="PS_EX_ENHC_SUMM_H"/>
        <s v="PS_EX_TRANS_H"/>
        <s v="PS_EOAW_NEMSTS_HXX"/>
        <s v="PS_EOAW_COMNTS_HXX"/>
        <s v="PS_EOAW_HISCOM_HXX"/>
        <s v="PS_EOAW_SPINST_HXX"/>
        <s v="PS_EOAW_SUMDTL_HXX"/>
        <s v="PS_EOAW_SUMM_HXX"/>
        <s v="PS_EOAW_WL_HXX"/>
        <s v="PS_EOAW_UESCAL_HXX"/>
        <s v="PS_EOAW_URINST_HXX"/>
        <s v="PS_PMT_ACK_ERR_HXX"/>
        <s v="PS_PMT_ACK_HDR_HXX"/>
        <s v="PS_PMT_ACK_H_XX"/>
        <s v="PS_PMT_FIL_ACK_HXX"/>
        <s v="PS_PMT_FIL_ERR_HXX"/>
        <s v="PS_BSP_FIL_INF_HXX"/>
        <s v="PS_PMT_ADDR_H_XX"/>
        <s v="PS_PMT_DTL_H_XX"/>
        <s v="PS_PMT_INTRM_H_XX"/>
        <s v="PS_PMT_OID_STG_HXX"/>
        <s v="PS_PMT_OTHID_H_XX"/>
        <s v="PS_PMT_REF_H_XX"/>
        <s v="PS_PMT_REQ_LOG_HXX"/>
        <s v="PS_PMT_UPARTY_H_XX"/>
        <s v="PS_PMT_UPY_STG_HXX"/>
        <s v="PS_TR_EVNT_LOG_HXX"/>
        <s v="PS_PMT_FIL_DEF_HXX"/>
        <s v="PS_PMT_FIL_REF_HXX"/>
        <s v="PS_SNW_FILE_H_XX"/>
        <s v="PS_JRNL_LN_H"/>
        <s v="PS_JRNL_HDR_H"/>
        <s v="PS_JRNL_VAT_H"/>
        <s v="PS_JRNL_IUAC_H"/>
        <s v="PS_GL_OITEM_H"/>
        <s v="PS_JRNL_CF_BAL_H"/>
        <s v="PS_LEDGER_H"/>
        <s v="PS_PC_PRJ_BRDNXX_H"/>
        <s v="PS_PROJ_ACT_STAT_H"/>
        <s v="PS_PC_ACT_IN_USE_H"/>
        <s v="PS_PC_EMPPROJ_TM_H"/>
        <s v="PS_PC_ACT_SUM_H"/>
        <s v="PS_PROJECT_H"/>
        <s v="PS_PROJ_STATUS_H"/>
        <s v="PS_PC_PROJHEALTH_H"/>
        <s v="PS_PC_AMRULE_ACT_H"/>
        <s v="PS_PROJ_ACTIVITY_H"/>
        <s v="PS_PROJECT_TEAM_H"/>
        <s v="PS_PROJ_ACT_DESC_H"/>
        <s v="PS_PC_COM_HD_XX_H"/>
        <s v="PS_PC_POREF_XX_H"/>
        <s v="PS_PC_PROJECT_XX_H"/>
        <s v="PS_PROJ_ACT_LOC_H"/>
        <s v="PS_PC_PRJ_ACT_XX_H"/>
        <s v="PS_PC_PRICE_RATE_H"/>
        <s v="PS_PROJECT_MGR_H"/>
        <s v="PS_PROJ_TM_SCHED_H"/>
        <s v="PS_PC_EMP_RES_TM_H"/>
        <s v="PS_PROJ_LOCATION_H"/>
        <s v="PS_PROJECT_DESCR_H"/>
        <s v="PS_PROJ_SPRD_XX_H"/>
        <s v="PS_PC_AMRULE_PRJ_H"/>
        <s v="PS_PC_CHC_INFO_H"/>
        <s v="PS_PROJ_BIL_INFO_H"/>
        <s v="PS_PROJ_QUALITY_H"/>
        <s v="PS_PSA_ORGPRJ_DF_H"/>
        <s v="PS_TL_RTS_TRC_XX_H"/>
        <s v="PS_TL_RTS_ACT_XX_H"/>
        <s v="PS_PC_COM_LN_XX_H"/>
        <s v="PS_TL_RTS_PRJ_XX_H"/>
        <s v="PS_PROJECT_XX_H"/>
        <s v="PS_PROJ_JUSTIFY_H"/>
        <s v="PS_PC_OPIDPRJACT_H"/>
        <s v="PS_PROJ_ACT_XX_H"/>
        <s v="PS_PROJ_EV_APPRV_H"/>
        <s v="PS_INTF_PROJ_RES_H"/>
        <s v="PS_PC_BITOPC_SUM_H"/>
        <s v="PS_PC_BUD_ACT_H"/>
        <s v="PS_PC_BUD_ALERT_H"/>
        <s v="PS_PC_BUD_DETAIL_H"/>
        <s v="PS_PC_BUD_DETLXX_H"/>
        <s v="PS_PC_BUD_DTL_XX_H"/>
        <s v="PS_PC_BUD_ITEMXX_H"/>
        <s v="PS_PC_BUD_ITEM_H"/>
        <s v="PS_PC_BUD_ITM_XX_H"/>
        <s v="PS_PC_BUD_PLAN_H"/>
        <s v="PS_PC_BUD_PLN_XX_H"/>
        <s v="PS_PC_BUD_SUMRY_H"/>
        <s v="PS_PC_BUD_SUM_XX_H"/>
        <s v="PS_PC_CHCINFO_XX_H"/>
        <s v="PS_PC_CMPRREPXX_H"/>
        <s v="PS_PC_CMPRSTG_XX_H"/>
        <s v="PS_PC_DELUTIL_RC_H"/>
        <s v="PS_PC_OPIDPRJREM_H"/>
        <s v="PS_PC_PICSTS_TBL_H"/>
        <s v="PS_PC_RPO_H"/>
        <s v="PS_PC_VP_REVIEW_H"/>
        <s v="PS_PM_ACT_STG_XX_H"/>
        <s v="PS_PM_RES_STG_XX_H"/>
        <s v="PS_PM_SPRASGN_XX_H"/>
        <s v="PS_PM_SPRBRDN_XX_H"/>
        <s v="PS_PM_SPRCMSN_XX_H"/>
        <s v="PS_PM_SPRCUST_XX_H"/>
        <s v="PS_PM_SPRXREF_XX_H"/>
        <s v="PS_PM_SPR_STG_XX_H"/>
        <s v="PS_PRJSPRDEXT_XX_H"/>
        <s v="PS_PRJ_RESTMP_XX_H"/>
        <s v="PS_PRJ_TMACTDTXX_H"/>
        <s v="PS_PROJECT_SCHED_H"/>
        <s v="PS_PROJECT_SD_H"/>
        <s v="PS_PROJ_ACT_TEAM_H"/>
        <s v="PS_PROJ_APPROVAL_H"/>
        <s v="PS_PROJ_DOCUMENT_H"/>
        <s v="PS_PROJ_RES_DELT_H"/>
        <s v="PS_PROJ_RSCTMPXX_H"/>
        <s v="PS_PROJ_TEAMSVXX_H"/>
        <s v="PS_PROJ_RESOURCE_H"/>
        <s v="PS_INT_PRJACT_XX_H"/>
        <s v="PS_PC_CMACCTLNXX_H"/>
        <s v="PS_PCX0015_ERRXX_H"/>
        <s v="PS_PC_INTFCSTGXX_H"/>
        <s v="PS_PC_UPLD_CI_XX_H"/>
        <s v="PS_PCX0013_ERRXX_H"/>
        <s v="PS_PC_UB_FDET_XX_H"/>
        <s v="PS_PC_UB_PO_XX_H"/>
        <s v="PS_PC_GLTOPC_SUM_H"/>
        <s v="PS_PC_APTOPC_SUM_H"/>
        <s v="PS_PC_EXTOPC_SUM_H"/>
        <s v="PS_PGM_CONVST1_XXH"/>
        <s v="PS_PGM_CONVST2_XXH"/>
        <s v="PS_PGM_MRHGRID_HXX"/>
        <s v="PS_PGM_MROVRLD_HXX"/>
        <s v="PS_PGM_PRLQLNT_HXX"/>
        <s v="PS_PGM_WRKLDST_HXX"/>
        <s v="PS_AP_PYMT_AUD_ARC"/>
        <s v="PS_PRCPARMHIS_H_XX"/>
        <s v="PS_PRCRQSTHIS_H_XX"/>
        <s v="PS_PRCTXFRHIS_H_XX"/>
        <s v="PS_PRCRQSTSTR_H_XX"/>
        <s v="PS_CDMLISTHIS_H_XX"/>
        <s v="PS_PRCRQSTFLE_H_XX"/>
        <s v="PS_CDMAUTHIST_H_XX"/>
        <s v="PS_PRCJOBSTAT_H_XX"/>
        <s v="PS_PRCDISTHIS_H_XX"/>
        <s v="PS_PRCTEXTHIS_H_XX"/>
        <s v="PS_PRCQUEHIST_H_XX"/>
        <s v="PS_CDMFILELIS_H_XX"/>
        <s v="PS_GM_PROPOSAL_HXX"/>
        <s v="PS_GM_OPTYDTTM_HXX"/>
        <s v="PS_GM_PROP_XX_HXX"/>
        <s v="PS_GM_BUD_LNSM_HXX"/>
        <s v="PS_GM_PROP_PRJ_HXX"/>
        <s v="PS_GM_BUD_HDR_HXX"/>
        <s v="PS_GM_BUD_PERD_HXX"/>
        <s v="PS_GM_PROPRJXX_HXX"/>
        <s v="PS_GM_OPDTTMXX_HXX"/>
        <s v="PS_GM_PMDTRSC_HXX"/>
        <s v="PS_GM_BUDHDRXX_HXX"/>
        <s v="PS_GM_PROPCHXX_HXX"/>
        <s v="PS_GM_PROPCMMT_HXX"/>
        <s v="PS_TE_EMP_HDR_H_XX"/>
        <s v="PS_TE_EMP_OBU_H_XX"/>
        <s v="PS_TE_EMP_UP_H_XX"/>
        <s v="PS_BEN_PRGPRTC_HXX"/>
        <s v="PS_COMPNSTION_H_XX"/>
        <s v="PS_EMAILADRS_H_XX"/>
        <s v="PS_EMPLOYMENT_H_XX"/>
        <s v="PS_JOB_H_XX"/>
        <s v="PS_JOB_XX_H_XX"/>
        <s v="PS_PERSDATAEF_H_XX"/>
        <s v="PS_PERSONALDA_H_XX"/>
        <s v="PS_PERSONALPH_H_XX"/>
        <s v="PS_PERS_NID_H_XX"/>
        <s v="PS_PURGEDATA_H_XX"/>
        <s v="PS_CMMTS_TBL_H_XX"/>
        <s v="PS_COMMENT_TBL_HXX"/>
        <s v="PS_PURC_ITMATR_HXX"/>
        <s v="PS_MSTR_ITMTBL_HXX"/>
        <s v="PS_PURCH_ITMBU_HXX"/>
        <s v="PS_INV_ITEMS_H_XX"/>
        <s v="PS_INV_ITEMUOM_HXX"/>
        <s v="PS_INV_ITM_PHT_HXX"/>
        <s v="PS_ASET_ITMATR_HXX"/>
        <s v="PS_ITM_VENDOR_H_XX"/>
        <s v="PS_RTV_DSPTCH_H_XX"/>
        <s v="PS_RTV_LN_DSTB_HXX"/>
        <s v="PS_RTV_LN_H_XX"/>
        <s v="PS_RTV_HDR_H_XX"/>
        <s v="PS_RTV_ADDR_H_XX"/>
        <s v="PS_RTV_LN_FEE_H_XX"/>
        <s v="PS_RTV_CMMNT_H_XX"/>
        <s v="PS_CNTR_RLSDTL_HXX"/>
        <s v="PS_CNTR_RLSHDR_HXX"/>
        <s v="PS_CNTR_RLS_LN_HXX"/>
        <s v="PS_CNTRCT_HDR_H_XX"/>
        <s v="PS_CNTR_EVTVCH_HXX"/>
        <s v="PS_CNTRCT_LN_H_XX"/>
        <s v="PS_CNTRCT_DSTB_HXX"/>
        <s v="PS_CNTR_SCHDL_H_XX"/>
        <s v="PS_CNTR_BUDSTB_HXX"/>
        <s v="PS_CNTR_LNRLS_HXX"/>
        <s v="PS_CNTR_HDRRLS_HXX"/>
        <s v="PS_CNTR_RLSTBL_HXX"/>
        <s v="PS_CNTRCT_DFLT_HXX"/>
        <s v="PS_CNTRCT_MLST_HXX"/>
        <s v="PS_CNTR_LN_UOM_HXX"/>
        <s v="PS_PO_LN_DISTB_HXX"/>
        <s v="PS_PO_LN_SHIP_H_XX"/>
        <s v="PS_PO_LINE_H_XX"/>
        <s v="PS_PO_DFLTDSTB_HXX"/>
        <s v="PS_PO_DFLT_TBL_HXX"/>
        <s v="PS_PO_DISPATCH_HXX"/>
        <s v="PS_PO_LNSHPMCH_HXX"/>
        <s v="PS_PO_LNSHPSUT_HXX"/>
        <s v="PS_PO_HDR_EXS_H_XX"/>
        <s v="PS_PO_CHG_HDR_H_XX"/>
        <s v="PS_PO_CHG_SHP_H_XX"/>
        <s v="PS_PO_CHG_ORD_H_XX"/>
        <s v="PS_PO_HDR_H_XX"/>
        <s v="PS_PO_HDR_VAT_H_XX"/>
        <s v="PS_PO_CHG_LN_H_XX"/>
        <s v="PS_PO_EST_SHIP_HXX"/>
        <s v="PS_PO_COMMENT_H_XX"/>
        <s v="PS_PO_RC_WB_EX_HXX"/>
        <s v="PS_PO_APPROVAL_HXX"/>
        <s v="PS_PO_CHG_ADDR_HXX"/>
        <s v="PS_PO_HDR_EMAL_HXX"/>
        <s v="PS_PO_ER_EMSGQ_HXX"/>
        <s v="PS_RECV_LNDSTB_HXX"/>
        <s v="PS_RECV_LN_SHP_HXX"/>
        <s v="PS_RECV_HDR_H_XX"/>
        <s v="PS_RECV_LNINSP_HXX"/>
        <s v="PS_RECV_LNSHMT_HXX"/>
        <s v="PS_RECV_COMNT_HXX"/>
        <s v="PS_RECV_LNASET_HXX"/>
        <s v="PS_RS_SCHED_TASK_H"/>
        <s v="PS_TLRTSACTXX_H_XX"/>
        <s v="PS_TLRTSPRJXX_H_XX"/>
        <s v="PS_TLRTSTRCXX_H_XX"/>
        <s v="PS_AP_VCHR_AUD_ARC"/>
        <s v="PS_VMSSRCCNLX_H_XX"/>
        <s v="PS_VMSTRNCNLX_H_XX"/>
        <s v="PS_VMSSRCARCX_H_XX"/>
        <s v="PS_VMSTRNSHST_H_XX"/>
        <m/>
      </sharedItems>
    </cacheField>
    <cacheField name="count" numFmtId="0">
      <sharedItems containsString="0" containsBlank="1" containsNumber="1" containsInteger="1" minValue="0" maxValue="2239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1.545539814811" createdVersion="8" refreshedVersion="8" minRefreshableVersion="3" recordCount="617" xr:uid="{341E1857-E278-4075-BDA7-FA2D725DDDC8}">
  <cacheSource type="worksheet">
    <worksheetSource ref="A1:B1048576" sheet="Sheet1"/>
  </cacheSource>
  <cacheFields count="2">
    <cacheField name="Table Name" numFmtId="0">
      <sharedItems containsBlank="1" count="544">
        <s v="PS_AP_ARC_EXP_DL_H "/>
        <s v="PS_AP_ARC_VCHL_M_H "/>
        <s v="PS_AP_ARC_VCHL_E_H "/>
        <s v="PS_AP_ARC_VCH_ST_H "/>
        <s v="PS_AP_ARC_VCH_UT_H "/>
        <s v="PS_AP_ARC_VCH_LN_H "/>
        <s v="PS_LNWTHD_UPD_H_XX "/>
        <s v="PS_VED_DUPINV_H_XX "/>
        <s v="PS_PAY_TRNSMT_H_XX "/>
        <s v="PS_AR_FRMLIN2_XX_H "/>
        <s v="PS_AR_FORMTMP_XX_H "/>
        <s v="PS_AR_FORMNAR_XX_H "/>
        <s v="PS_AR_CCTRN_HDR_H "/>
        <s v="PS_AR_ITM_ACTXDT_H "/>
        <s v="PS_AR_FORMMAR_XX_H "/>
        <s v="PS_AR_PEND_DST_H "/>
        <s v="PS_AR_PEND_IT_MR_H "/>
        <s v="PS_AR_PEND_VAT_H "/>
        <s v="PS_AR_PO_FLDS_XX_H "/>
        <s v="PS_AR_FRMRARB_XX_H "/>
        <s v="PS_AR_STMT_CUST_H "/>
        <s v="PS_AR_FORMTAR_XX_H "/>
        <s v="PS_BICBIVCLIN_H_XX "/>
        <s v="PS_BIACCTENTRY_HXX "/>
        <s v="PS_BIHDRAR_H_XX "/>
        <s v="PS_BIHDRCRCARD_HXX "/>
        <s v="PS_BILNDSTAR_H_XX "/>
        <s v="PS_BIALLTAXX_H_XX "/>
        <s v="PS_BILNDST_H_XX "/>
        <s v="PS_VMSACCTLNX_H_XX "/>
        <s v="PS_BIPCITRCKX_H_XX "/>
        <s v="PS_BIRELCMPX_H_XX "/>
        <s v="PS_CA_BP_EVENTS_H "/>
        <s v="PS_CA_DETAIL_DFR_H "/>
        <s v="PS_CA_DETAIL_PRI_H "/>
        <s v="PS_CA_DTL_RED_DA_H "/>
        <s v="PS_CA_FC_MAIN_H "/>
        <s v="PS_CA_LNRED_LANG_H "/>
        <s v="PS_CA_OPRID_CONT_H "/>
        <s v="PS_CA_PROJ_SUMMA_H "/>
        <s v="PS_CA_RNW_LN_RED_H "/>
        <s v="PS_CSH_CST_DTL_HXX "/>
        <s v="PS_TR_ATTACH_H_XX "/>
        <s v="PS_BNK_EXCP_H_XX "/>
        <s v="PS_CSH_CST_SUM_HXX "/>
        <s v="PS_BNK_SMT_HDR_HXX "/>
        <s v="PS_BANK_STMT_H_XX "/>
        <s v="PS_TR_WR_HDR_H_XX "/>
        <s v="PS_EX_ADV_CHK_H "/>
        <s v="PS_EX_ADV_DIST_H "/>
        <s v="PS_EX_ADV_DOCSEQ_H "/>
        <s v="PS_EX_SHEET_LINE_H "/>
        <s v="PS_EX_SHT_LN_PD_H "/>
        <s v="PS_EID_FILE_EX_HXX "/>
        <s v="PS_EX_ENHC_SMAMX_H "/>
        <s v="PS_PMT_ACK_H_XX "/>
        <s v="PS_PMT_ACK_HDR_HXX "/>
        <s v="PS_PMT_UPARTY_H_XX "/>
        <s v="PS_JRNL_IUAC_H "/>
        <s v="PS_JRNL_LN_H "/>
        <s v="PS_GL_OITEM_H "/>
        <s v="PS_JRNL_HDR_H "/>
        <s v="PS_LEDGER_H "/>
        <s v="PS_PC_BUD_DETAIL_H "/>
        <s v="PS_PC_BUD_ITM_XX_H "/>
        <s v="PS_PC_CHCINFO_XX_H "/>
        <s v="PS_PC_CMPRREPXX_H "/>
        <s v="PS_PC_RPO_H "/>
        <s v="PS_PC_VP_REVIEW_H "/>
        <s v="PS_PM_RES_STG_XX_H "/>
        <s v="PS_PRJ_TMACTDTXX_H "/>
        <s v="PS_PROJECT_TEAM_H "/>
        <s v="PS_PROJ_JUSTIFY_H "/>
        <s v="PS_PROJ_RESOURCE_H "/>
        <s v="PS_PROJ_RES_DELT_H "/>
        <s v="PS_PROJ_RSCTMPXX_H "/>
        <s v="PS_PGM_MRHGRID_HXX "/>
        <s v="PS_PGM_PRLQLNT_HXX "/>
        <s v="PS_CDMAUTHIST_H_XX "/>
        <s v="PS_CDMLISTHIS_H_XX "/>
        <s v="PS_PRCDISTHIS_H_XX "/>
        <s v="PS_GM_PROP_PRJ_HXX "/>
        <s v="PS_BEN_PRGPRTC_HXX "/>
        <s v="PS_JOB_XX_H_XX "/>
        <s v="PS_PERSONALDA_H_XX "/>
        <s v="PS_MSTR_ITMTBL_HXX "/>
        <s v="PS_CNTRCT_DSTB_HXX "/>
        <s v="PS_CNTR_EVTVCH_HXX "/>
        <s v="PS_CNTR_LN_UOM_HXX "/>
        <s v="PS_PO_DFLT_TBL_HXX "/>
        <s v="PS_PO_APPROVAL_HXX "/>
        <s v="PS_PO_DISPATCH_HXX "/>
        <s v="PS_RECV_LN_SHP_HXX "/>
        <s v="PS_AP_VCHR_AUD_ARC "/>
        <s v="PS_RS_SCHED_TASK_H "/>
        <s v="PS_CUSTAGINGX_H_XX "/>
        <s v="PS_AP_ARC_PYM_RC_H "/>
        <s v="PS_AP_ARC_PYM_AD_H "/>
        <s v="PS_AP_ARC_VCH_RM_H "/>
        <s v="PS_APVCH_DSPL_H_XX "/>
        <s v="PS_APYX42_IFC_H_XX "/>
        <s v="PS_PAYMNT_TBL_H_XX "/>
        <s v="PS_AP_SUPPRES_H_XX "/>
        <s v="PS_AR_ACTION_LST_H "/>
        <s v="PS_AR_IPAC_SGL_H "/>
        <s v="PS_AR_PO_WORK_XX_H "/>
        <s v="PS_AR_DEP_CONTRL_H "/>
        <s v="PS_BILNNOTE_H_XX "/>
        <s v="PS_BILNDSDTLX_H_XX "/>
        <s v="PS_BILNDSTDFR_H_XX "/>
        <s v="PS_BILNTAXDTL_H_XX "/>
        <s v="PS_BILINE_H_XX "/>
        <s v="PS_BILNIUEXP_H_XX "/>
        <s v="PS_BILINEX_H_XX "/>
        <s v="PS_CA_AP_DFR_H "/>
        <s v="PS_CA_AP_EVT_CHG_H "/>
        <s v="PS_CA_AP_PC_DFR_H "/>
        <s v="PS_CA_BONUS_PENL_H "/>
        <s v="PS_CA_BP_EV_AMXX_H "/>
        <s v="PS_CA_DTL_DST_DA_H "/>
        <s v="PS_CA_FC_STG_RUN_H "/>
        <s v="PS_CA_HDREV_RED_H "/>
        <s v="PS_CA_MS_COND_H "/>
        <s v="PS_CA_RATE_H "/>
        <s v="PS_CA_RECON_BI_H "/>
        <s v="PS_CA_RECON_SUM_H "/>
        <s v="PS_CA_RNW_LN_LIN_H "/>
        <s v="PS_INTFCBIADCMPHXX "/>
        <s v="PS_EX_ADV_LINE_H "/>
        <s v="PS_EX_ADV_HDR_H "/>
        <s v="PS_EX_SHEET_ADV_H "/>
        <s v="PS_EX_ACCTG_LINE_H "/>
        <s v="PS_EX_ENHC_DET_H "/>
        <s v="PS_EOAW_NEMSTS_HXX "/>
        <s v="PS_EOAW_SPINST_HXX "/>
        <s v="PS_EOAW_SUMM_HXX "/>
        <s v="PS_PMT_FIL_REF_HXX "/>
        <s v="PS_PC_ACT_SUM_H "/>
        <s v="PS_PC_AMRULE_ACT_H "/>
        <s v="PS_PC_PRICE_RATE_H "/>
        <s v="PS_PC_PROJHEALTH_H "/>
        <s v="PS_PC_COM_HD_XX_H "/>
        <s v="PS_PM_SPR_STG_XX_H "/>
        <s v="PS_PROJ_ACT_LOC_H "/>
        <s v="PS_PROJ_APPROVAL_H "/>
        <s v="PS_PROJ_DOCUMENT_H "/>
        <s v="PS_INTF_PROJ_RES_H "/>
        <s v="PS_PC_INTFCSTGXX_H "/>
        <s v="PS_EMAILADRS_H_XX "/>
        <s v="PS_PURGEDATA_H_XX "/>
        <s v="PS_RTV_HDR_H_XX "/>
        <s v="PS_CNTR_BUDSTB_HXX "/>
        <s v="PS_CNTRCT_DFLT_HXX "/>
        <s v="PS_PO_LINE_H_XX "/>
        <s v="PS_RECV_COMNT_HXX "/>
        <s v="PS_RECV_LNDSTB_HXX "/>
        <s v="PS_RECV_LNINSP_HXX "/>
        <s v="PS_VMSTRNCNLX_H_XX "/>
        <s v="PS_AP_ARC_PYM_TB_H "/>
        <s v="PS_WTH_TRXTBL_H_XX "/>
        <s v="PS_AP_ARC_PYM_XR_H "/>
        <s v="PS_APYX18_IFC_H_XX "/>
        <s v="PS_AR_ITM_ACTTAX_H "/>
        <s v="PS_AR_ITMDSP_XX_H "/>
        <s v="PS_AR_ITEM_DST_H "/>
        <s v="PS_AR_PO_TOT_XX_H "/>
        <s v="PS_PO_KEY_DTA_XX_H "/>
        <s v="PS_AR_PAY_ITEM_H "/>
        <s v="PS_AR_STMT_CUS_H "/>
        <s v="PS_BILNDSTUAR_H_XX "/>
        <s v="PS_BILNDSLVL_H_XX "/>
        <s v="PS_BIHDR_H_XX "/>
        <s v="PS_CA_ACCTG_LINE_H "/>
        <s v="PS_CA_ACCTPLN_LA_H "/>
        <s v="PS_CA_AP_TXN_UAR_H "/>
        <s v="PS_CA_BP_FEE_WS_H "/>
        <s v="PS_CA_CHG_DTL_H "/>
        <s v="PS_CA_DETAIL_DC_H "/>
        <s v="PS_CA_INVTRKL_XX_H "/>
        <s v="PS_CA_IVC_PRT_XX_H "/>
        <s v="PS_CA_LMT_FEE_DT_H "/>
        <s v="PS_CA_LNREV_RED_H "/>
        <s v="PS_CA_NOTE_TRANS_H "/>
        <s v="PS_CA_OPP_TYP_XX_H "/>
        <s v="PS_CA_PGP_PROJ_H "/>
        <s v="PS_CA_PGP_WKS_H "/>
        <s v="PS_CA_RNWLNRR_LG_H "/>
        <s v="PS_CA_RNW_APPLIE_H "/>
        <s v="PS_CA_RNW_LN_RDS_H "/>
        <s v="PS_CA_WTH_RELEAS_H "/>
        <s v="PS_BI_HDR_TMP_XX_H "/>
        <s v="PS_CA_DETAIL_PRO_H "/>
        <s v="PS_BANK_BAL_H_XX "/>
        <s v="PS_CASH_FLW_TR_HXX "/>
        <s v="PS_BANK_NON_PD_HXX "/>
        <s v="PS_EX_SHEET_HDR_H "/>
        <s v="PS_EX_SHEET_PYMT_H "/>
        <s v="PS_EX_SHT_SPLIT_H "/>
        <s v="PS_EX_ENHC_DTAMX_H "/>
        <s v="PS_PMT_FIL_ACK_HXX "/>
        <s v="PS_JRNL_CF_BAL_H "/>
        <s v="PS_PC_BUD_ALERT_H "/>
        <s v="PS_PC_BUD_DETLXX_H "/>
        <s v="PS_PC_DELUTIL_RC_H "/>
        <s v="PS_PC_OPIDPRJACT_H "/>
        <s v="PS_PC_PICSTS_TBL_H "/>
        <s v="PS_PC_PRJ_ACT_XX_H "/>
        <s v="PS_PROJECT_H "/>
        <s v="PS_PROJECT_SD_H "/>
        <s v="PS_PROJ_ACTIVITY_H "/>
        <s v="PS_PROJ_ACT_DESC_H "/>
        <s v="PS_PROJ_TEAMSVXX_H "/>
        <s v="PS_PCX0015_ERRXX_H "/>
        <s v="PS_PC_UPLD_CI_XX_H "/>
        <s v="PS_PC_GLTOPC_SUM_H "/>
        <s v="PS_PC_EXTOPC_SUM_H "/>
        <s v="PS_AP_PYMT_AUD_ARC "/>
        <s v="PS_PRCPARMHIS_H_XX "/>
        <s v="PS_GM_BUD_HDR_HXX "/>
        <s v="PS_GM_OPTYDTTM_HXX "/>
        <s v="PS_GM_PROP_XX_HXX "/>
        <s v="PS_EMPLOYMENT_H_XX "/>
        <s v="PS_INV_ITEMS_H_XX "/>
        <s v="PS_COMMENT_TBL_HXX "/>
        <s v="PS_CNTRCT_MLST_HXX "/>
        <s v="PS_PO_LNSHPMCH_HXX "/>
        <s v="PS_PO_RC_WB_EX_HXX "/>
        <s v="PS_AP_ARC_VCH_AC_H "/>
        <s v="PS_AP_ARC_VCH_DO_H "/>
        <s v="PS_AP_ARC_VCH_FR_H "/>
        <s v="PS_AP_ARC_VCH_TX_H "/>
        <s v="PS_AP_ARC_VCH_VI_H "/>
        <s v="PS_TSEVLN_FLD_H_XX "/>
        <s v="PS_TSEVCH_FLD_H_XX "/>
        <s v="PS_REMRPRT_H_XX "/>
        <s v="PS_RVLACTG_LN_H_XX "/>
        <s v="PS_AR_FORMATT_XX_H "/>
        <s v="PS_AR_FRMLIN4_XX_H "/>
        <s v="PS_AR_EE_ITACTLN_H "/>
        <s v="PS_AR_PEND_ITM_H "/>
        <s v="PS_AR_PO_EML_XX_H "/>
        <s v="PS_AR_PO_SEQ_XX_H "/>
        <s v="PS_AR_EE_DJR_ACT_H "/>
        <s v="PS_AR_PAY_ID_ITM_H "/>
        <s v="PS_AR_FRMRAR1_XX_H "/>
        <s v="PS_BILNTAX_H_XX "/>
        <s v="PS_BIADJHSTX_H_XX "/>
        <s v="PS_BIEXTCIIDS_H_XX "/>
        <s v="PS_BIHDRNOTE_H_XX "/>
        <s v="PS_BILNDSDTL_H_XX "/>
        <s v="PS_BILNIUPAY_H_XX "/>
        <s v="PS_CA_AP_PC_DST_H "/>
        <s v="PS_CA_AP_TXN_DST_H "/>
        <s v="PS_CA_ATTACHMENT_H "/>
        <s v="PS_CA_BILLPLN_LA_H "/>
        <s v="PS_CA_BP_EVT_CHG_H "/>
        <s v="PS_CA_EARLY_OPTI_H "/>
        <s v="PS_CA_LMT_TXN_H "/>
        <s v="PS_CA_LN_REDUCTS_H "/>
        <s v="PS_CA_NOTE_DETAI_H "/>
        <s v="PS_CA_PREPAID_AU_H "/>
        <s v="PS_CA_WTH_TERMS_H "/>
        <s v="PS_INTFCBICMP_H_XX "/>
        <s v="PS_TR_WR_DTL_H_XX "/>
        <s v="PS_EX_SHT_NOTE_HXX "/>
        <s v="PS_EOAW_WL_HXX "/>
        <s v="PS_EOAW_URINST_HXX "/>
        <s v="PS_EOAW_UESCAL_HXX "/>
        <s v="PS_PMT_DTL_H_XX "/>
        <s v="PS_PMT_UPY_STG_HXX "/>
        <s v="PS_TR_EVNT_LOG_HXX "/>
        <s v="PS_PC_BITOPC_SUM_H "/>
        <s v="PS_PC_BUD_ACT_H "/>
        <s v="PS_PM_SPRCMSN_XX_H "/>
        <s v="PS_PRJSPRDEXT_XX_H "/>
        <s v="PS_PROJECT_SCHED_H "/>
        <s v="PS_PROJECT_XX_H "/>
        <s v="PS_PC_CMACCTLNXX_H "/>
        <s v="PS_PCX0013_ERRXX_H "/>
        <s v="PS_PGM_MROVRLD_HXX "/>
        <s v="PS_PRCJOBSTAT_H_XX "/>
        <s v="PS_PRCTXFRHIS_H_XX "/>
        <s v="PS_GM_OPDTTMXX_HXX "/>
        <s v="PS_GM_PMDTRSC_HXX "/>
        <s v="PS_TE_EMP_HDR_H_XX "/>
        <s v="PS_COMPNSTION_H_XX "/>
        <s v="PS_PERSONALPH_H_XX "/>
        <s v="PS_PERSDATAEF_H_XX "/>
        <s v="PS_PO_HDR_VAT_H_XX "/>
        <s v="PS_PO_CHG_HDR_H_XX "/>
        <s v="PS_PO_DFLTDSTB_HXX "/>
        <s v="PS_PO_LNSHPSUT_HXX "/>
        <s v="PS_VMSSRCCNLX_H_XX "/>
        <s v="PS_VMSSRCARCX_H_XX "/>
        <s v="PS_AP_ARC_VCH_VN_H "/>
        <s v="PS_AP_ARC_DIST_L_H "/>
        <s v="PS_AP_ARC_PYM_WT_H "/>
        <s v="PS_AP_ARC_VCH_MS_H "/>
        <s v="PS_UNMTCH_TMP_H_XX "/>
        <s v="PS_VATXRF_VCH_H_XX "/>
        <s v="PS_WTHD_UPDT_H_XX "/>
        <s v="PS_AR_CCTRN_TBL_H "/>
        <s v="PS_AR_ITM_ACTVTY_H "/>
        <s v="PS_AR_ITMAGNG_XX_H "/>
        <s v="PS_AR_POKEYS_XX_H "/>
        <s v="PS_AR_820RMNF_XX_H "/>
        <s v="PS_AR_PAYMENT_H "/>
        <s v="PS_AR_FORMRAR_XX_H "/>
        <s v="PS_AR_STMT_CUSBD_H "/>
        <s v="PS_AR_FRMTAR1_XX_H "/>
        <s v="PS_BILNDSDFR_H_XX "/>
        <s v="PS_BIHDRVAT_H_XX "/>
        <s v="PS_CA_BP_LINES_H "/>
        <s v="PS_CA_DETAIL_H "/>
        <s v="PS_CA_DETAIL_APP_H "/>
        <s v="PS_CA_DETAIL_LAN_H "/>
        <s v="PS_CA_EMAIL_CON2_H "/>
        <s v="PS_CA_MILESTONE_H "/>
        <s v="PS_CA_PREPAID_TB_H "/>
        <s v="PS_CA_RECON_REV_H "/>
        <s v="PS_EX_SHEET_ATT_H "/>
        <s v="PS_EX_ER_ATCH_H_XX "/>
        <s v="PS_EX_TRANS_H "/>
        <s v="PS_PMT_ACK_ERR_HXX "/>
        <s v="PS_PMT_OID_STG_HXX "/>
        <s v="PS_PMT_REQ_LOG_HXX "/>
        <s v="PS_PMT_FIL_DEF_HXX "/>
        <s v="PS_PC_BUD_ITEMXX_H "/>
        <s v="PS_PC_BUD_PLN_XX_H "/>
        <s v="PS_PC_OPIDPRJREM_H "/>
        <s v="PS_PC_PROJECT_XX_H "/>
        <s v="PS_PM_SPRBRDN_XX_H "/>
        <s v="PS_PM_SPRCUST_XX_H "/>
        <s v="PS_PRJ_RESTMP_XX_H "/>
        <s v="PS_PROJ_ACT_XX_H "/>
        <s v="PS_PROJ_EV_APPRV_H "/>
        <s v="PS_PROJ_SPRD_XX_H "/>
        <s v="PS_PC_UB_FDET_XX_H "/>
        <s v="PS_PC_APTOPC_SUM_H "/>
        <s v="PS_PGM_CONVST2_XXH "/>
        <s v="PS_PRCRQSTHIS_H_XX "/>
        <s v="PS_GM_PROPOSAL_HXX "/>
        <s v="PS_TE_EMP_OBU_H_XX "/>
        <s v="PS_PERS_NID_H_XX "/>
        <s v="PS_CMMTS_TBL_H_XX "/>
        <s v="PS_ASET_ITMATR_HXX "/>
        <s v="PS_PURCH_ITMBU_HXX "/>
        <s v="PS_PURC_ITMATR_HXX "/>
        <s v="PS_RTV_CMMNT_H_XX "/>
        <s v="PS_RTV_LN_FEE_H_XX "/>
        <s v="PS_CNTR_HDRRLS_HXX "/>
        <s v="PS_CNTR_RLSDTL_HXX "/>
        <s v="PS_CNTR_RLSHDR_HXX "/>
        <s v="PS_PO_HDR_EXS_H_XX "/>
        <s v="PS_PO_HDR_H_XX "/>
        <s v="PS_PO_HDR_EMAL_HXX "/>
        <s v="PS_PO_LN_SHIP_H_XX "/>
        <s v="PS_PYMNT_ADVC_H_XX "/>
        <s v="PS_AP_ARC_VOUCH_H "/>
        <s v="PS_VCHR_UPDT_H_XX "/>
        <s v="PS_AR_FRMATTD_XX_H "/>
        <s v="PS_AR_FORMHDR_XX_H "/>
        <s v="PS_AR_ITM_ACTVAT_H "/>
        <s v="PS_AR_FRMMAR2_XX_H "/>
        <s v="PS_AR_GROUP_CNTL_H "/>
        <s v="PS_AR_PO_PRNT_XX_H "/>
        <s v="PS_AR_820RMSG_XX_H "/>
        <s v="PS_AR_PAY_IT_MRL_H "/>
        <s v="PS_BICBIVCHDR_H_XX "/>
        <s v="PS_BIX24DSTMPX_HXX "/>
        <s v="PS_BIHDRX_H_XX "/>
        <s v="PS_CA_AP_EVENT_H "/>
        <s v="PS_CA_AP_UAR_H "/>
        <s v="PS_CA_BP_CDATAXX_H "/>
        <s v="PS_CA_BP_NOTE_H "/>
        <s v="PS_CA_DETAIL_DST_H "/>
        <s v="PS_CA_DETAIL_UAR_H "/>
        <s v="PS_CA_DST_ERR_H "/>
        <s v="PS_CA_HDR_REDUCT_H "/>
        <s v="PS_CA_LMT_TXN_LG_H "/>
        <s v="PS_CA_LREVRED_LG_H "/>
        <s v="PS_CA_RNWLNRE_LG_H "/>
        <s v="PS_CA_SUPPORT_TE_H "/>
        <s v="PS_INTFCBINTCMPHXX "/>
        <s v="PS_BNK_SDBAL_H_XX "/>
        <s v="PS_EX_ADV_PYMT_H "/>
        <s v="PS_EX_SHEET_AW_H "/>
        <s v="PS_EX_ENHC_SUMM_H "/>
        <s v="PS_EOAW_HISCOM_HXX "/>
        <s v="PS_PMT_OTHID_H_XX "/>
        <s v="PS_SNW_FILE_H_XX "/>
        <s v="PS_JRNL_VAT_H "/>
        <s v="PS_PC_BUD_DTL_XX_H "/>
        <s v="PS_PC_CHC_INFO_H "/>
        <s v="PS_PC_CMPRSTG_XX_H "/>
        <s v="PS_PC_PRJ_BRDNXX_H "/>
        <s v="PS_PC_COM_LN_XX_H "/>
        <s v="PS_PC_POREF_XX_H "/>
        <s v="PS_PROJECT_DESCR_H "/>
        <s v="PS_PROJ_BIL_INFO_H "/>
        <s v="PS_PROJ_LOCATION_H "/>
        <s v="PS_PROJ_TM_SCHED_H "/>
        <s v="PS_TL_RTS_ACT_XX_H "/>
        <s v="PS_PGM_WRKLDST_HXX "/>
        <s v="PS_GM_PROPCMMT_HXX "/>
        <s v="PS_GM_PROPRJXX_HXX "/>
        <s v="PS_RTV_ADDR_H_XX "/>
        <s v="PS_RTV_LN_H_XX "/>
        <s v="PS_CNTRCT_LN_H_XX "/>
        <s v="PS_CNTR_LNRLS_HXX "/>
        <s v="PS_CNTR_SCHDL_H_XX "/>
        <s v="PS_PO_CHG_SHP_H_XX "/>
        <s v="PS_PO_EST_SHIP_HXX "/>
        <s v="PS_RECV_LNASET_HXX "/>
        <s v="PS_TLRTSTRCXX_H_XX "/>
        <s v="PS_VCHRREG_LC_H_XX "/>
        <s v="PS_AP_ARC_VCH_VB_H "/>
        <s v="PS_AP_ARC_BCH_XR_H "/>
        <s v="PS_AP_ARC_PY_MSG_H "/>
        <s v="PS_AP_ARC_VCH_HP_H "/>
        <s v="PS_TSEALN_FLD_H_XX "/>
        <s v="PS_TSEPMT_FLD_H_XX "/>
        <s v="PS_VCHDUP_INV_H_XX "/>
        <s v="PS_AR_FRMLIN3_XX_H "/>
        <s v="PS_AR_IPAC_DET_H "/>
        <s v="PS_AR_IPAC_HDR_H "/>
        <s v="PS_AR_ITEM_H "/>
        <s v="PS_AR_ITMNOTE_XX_H "/>
        <s v="PS_AR_FRMMAR1_XX_H "/>
        <s v="PS_AR_PEND_TAX_H "/>
        <s v="PS_AR_PEND_TX_DT_H "/>
        <s v="PS_AR_PO_DTL_XX_H "/>
        <s v="PS_AR_PAY_ID_CUS_H "/>
        <s v="PS_AR_PAY_MIS_DS_H "/>
        <s v="PS_AR_STMT_CUSDT_H "/>
        <s v="PS_AR_FRMXREF_XX_H "/>
        <s v="PS_EIDFILEINVX_HXX "/>
        <s v="PS_CA_ACCTG_LN_P_H "/>
        <s v="PS_CA_AP_EVENT_D_H "/>
        <s v="PS_CA_AP_FEE_WS_H "/>
        <s v="PS_CA_AP_PC_UAR_H "/>
        <s v="PS_CA_BP_EVT_LN_H "/>
        <s v="PS_CA_BP_FEE_ADJ_H "/>
        <s v="PS_CA_BP_SCHEDUL_H "/>
        <s v="PS_CA_BP_XREF_H "/>
        <s v="PS_CA_HDR_DC_H "/>
        <s v="PS_CA_DETAIL_RED_H "/>
        <s v="PS_CA_EMAIL_CONT_H "/>
        <s v="PS_CA_HDRRED_LAN_H "/>
        <s v="PS_CA_HDR_AE_ACC_H "/>
        <s v="PS_CA_NOTE_H "/>
        <s v="PS_CA_PGP_TERMS_H "/>
        <s v="PS_CA_PREPAID_PR_H "/>
        <s v="PS_CA_WTH_TRM_LA_H "/>
        <s v="PS_BI_LN_TMP_XX_H "/>
        <s v="PS_TR_AF_STL_H_XX "/>
        <s v="PS_EX_SHEET_DIST_H "/>
        <s v="PS_EX_APRVL_HIST_H "/>
        <s v="PS_EOAW_COMNTS_HXX "/>
        <s v="PS_EOAW_SUMDTL_HXX "/>
        <s v="PS_PMT_FIL_ERR_HXX "/>
        <s v="PS_BSP_FIL_INF_HXX "/>
        <s v="PS_PMT_INTRM_H_XX "/>
        <s v="PS_PC_ACT_IN_USE_H "/>
        <s v="PS_PC_EMPPROJ_TM_H "/>
        <s v="PS_PROJ_STATUS_H "/>
        <s v="PS_PROJ_ACT_STAT_H "/>
        <s v="PS_PSA_ORGPRJ_DF_H "/>
        <s v="PS_TL_RTS_TRC_XX_H "/>
        <s v="PS_PC_AMRULE_PRJ_H "/>
        <s v="PS_PRCTEXTHIS_H_XX "/>
        <s v="PS_GM_BUDHDRXX_HXX "/>
        <s v="PS_GM_BUD_PERD_HXX "/>
        <s v="PS_GM_PROPCHXX_HXX "/>
        <s v="PS_ITM_VENDOR_H_XX "/>
        <s v="PS_CNTR_RLSTBL_HXX "/>
        <s v="PS_CNTR_RLS_LN_HXX "/>
        <s v="PS_PO_CHG_ADDR_HXX "/>
        <s v="PS_PO_CHG_LN_H_XX "/>
        <s v="PS_PO_COMMENT_H_XX "/>
        <s v="PS_RECV_HDR_H_XX "/>
        <s v="PS_VMSTRNSHST_H_XX "/>
        <s v="PS_TLRTSPRJXX_H_XX "/>
        <s v="PS_AP_ARC_DIST_N_H "/>
        <s v="PS_AP_ARC_VCH_TG_H "/>
        <s v="PS_AP_ARC_VCH_WT_H "/>
        <s v="PS_TSE_VCHR_H_XX "/>
        <s v="PS_DSTRPMTXRF_H_XX "/>
        <s v="PS_AR_FRMLIN1_XX_H "/>
        <s v="PS_PO_EXTRACT_XX_H "/>
        <s v="PS_AR_PO_PRTF_XX_H "/>
        <s v="PS_AR_PO_XX_H "/>
        <s v="PS_CA_ACCTG_LN_T_H "/>
        <s v="PS_CA_ACCTPLAN_H "/>
        <s v="PS_CA_AP_DST_H "/>
        <s v="PS_CA_AP_FEE_ADJ_H "/>
        <s v="PS_CA_AP_SCHEDUL_H "/>
        <s v="PS_CA_BILL_PLAN_H "/>
        <s v="PS_CA_BIL_PLN_XX_H "/>
        <s v="PS_CA_CHG_HDR_H "/>
        <s v="PS_CA_CONTR_HDR_H "/>
        <s v="PS_CA_HREVRED_LG_H "/>
        <s v="PS_CA_HDR_COMM_H "/>
        <s v="PS_CA_INVTRKH_XX_H "/>
        <s v="PS_CA_PGP_COSTS_H "/>
        <s v="PS_CA_WTH_REL_LA_H "/>
        <s v="PS_BANK_SDSTMT_HXX "/>
        <s v="PS_EX_SHT_DOCSEQ_H "/>
        <s v="PS_PMT_ADDR_H_XX "/>
        <s v="PS_PMT_REF_H_XX "/>
        <s v="PS_PC_BUD_ITEM_H "/>
        <s v="PS_PC_BUD_PLAN_H "/>
        <s v="PS_PC_BUD_SUMRY_H "/>
        <s v="PS_PC_BUD_SUM_XX_H "/>
        <s v="PS_PC_EMP_RES_TM_H "/>
        <s v="PS_PM_ACT_STG_XX_H "/>
        <s v="PS_PM_SPRASGN_XX_H "/>
        <s v="PS_PM_SPRXREF_XX_H "/>
        <s v="PS_PROJECT_MGR_H "/>
        <s v="PS_PROJ_ACT_TEAM_H "/>
        <s v="PS_INT_PRJACT_XX_H "/>
        <s v="PS_PROJ_QUALITY_H "/>
        <s v="PS_TL_RTS_PRJ_XX_H "/>
        <s v="PS_PC_UB_PO_XX_H "/>
        <s v="PS_PGM_CONVST1_XXH "/>
        <s v="PS_PRCQUEHIST_H_XX "/>
        <s v="PS_CDMFILELIS_H_XX "/>
        <s v="PS_PRCRQSTFLE_H_XX "/>
        <s v="PS_PRCRQSTSTR_H_XX "/>
        <s v="PS_GM_BUD_LNSM_HXX "/>
        <s v="PS_TE_EMP_UP_H_XX "/>
        <s v="PS_JOB_H_XX "/>
        <s v="PS_INV_ITEMUOM_HXX "/>
        <s v="PS_INV_ITM_PHT_HXX "/>
        <s v="PS_RTV_DSPTCH_H_XX "/>
        <s v="PS_RTV_LN_DSTB_HXX "/>
        <s v="PS_CNTRCT_HDR_H_XX "/>
        <s v="PS_PO_CHG_ORD_H_XX "/>
        <s v="PS_PO_ER_EMSGQ_HXX "/>
        <s v="PS_PO_LN_DISTB_HXX "/>
        <s v="PS_RECV_LNSHMT_HXX "/>
        <s v="PS_TLRTSACTXX_H_XX "/>
        <m/>
        <s v="PS_TLRTSACTXX_H_XX | deleted" u="1"/>
      </sharedItems>
    </cacheField>
    <cacheField name="Count" numFmtId="0">
      <sharedItems containsString="0" containsBlank="1" containsNumber="1" containsInteger="1" minValue="0" maxValue="2239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4.498790277779" createdVersion="8" refreshedVersion="8" minRefreshableVersion="3" recordCount="617" xr:uid="{D834FA80-FA53-4DC7-8446-EA89BADB100F}">
  <cacheSource type="worksheet">
    <worksheetSource ref="G1:H1048576" sheet="Generic 2"/>
  </cacheSource>
  <cacheFields count="2">
    <cacheField name="Table Name" numFmtId="0">
      <sharedItems containsBlank="1" count="543">
        <s v="PS_AP_ARC_EXP_DL_H"/>
        <s v="PS_AP_ARC_VCHL_M_H"/>
        <s v="PS_AP_ARC_VCHL_E_H"/>
        <s v="PS_AP_ARC_VCH_ST_H"/>
        <s v="PS_AP_ARC_VCH_UT_H"/>
        <s v="PS_AP_ARC_VCH_LN_H"/>
        <s v="PS_LNWTHD_UPD_H_XX"/>
        <s v="PS_VED_DUPINV_H_XX"/>
        <s v="PS_PAY_TRNSMT_H_XX"/>
        <s v="PS_AR_FRMLIN2_XX_H"/>
        <s v="PS_AR_FORMTMP_XX_H"/>
        <s v="PS_AR_FORMNAR_XX_H"/>
        <s v="PS_AR_CCTRN_HDR_H"/>
        <s v="PS_AR_ITM_ACTXDT_H"/>
        <s v="PS_AR_FORMMAR_XX_H"/>
        <s v="PS_AR_PEND_DST_H"/>
        <s v="PS_AR_PEND_IT_MR_H"/>
        <s v="PS_AR_PEND_VAT_H"/>
        <s v="PS_AR_PO_FLDS_XX_H"/>
        <s v="PS_AR_FRMRARB_XX_H"/>
        <s v="PS_AR_STMT_CUST_H"/>
        <s v="PS_AR_FORMTAR_XX_H"/>
        <s v="PS_BICBIVCLIN_H_XX"/>
        <s v="PS_BIACCTENTRY_HXX"/>
        <s v="PS_BIHDRAR_H_XX"/>
        <s v="PS_BIHDRCRCARD_HXX"/>
        <s v="PS_BILNDSTAR_H_XX"/>
        <s v="PS_BIALLTAXX_H_XX"/>
        <s v="PS_BILNDST_H_XX"/>
        <s v="PS_VMSACCTLNX_H_XX"/>
        <s v="PS_BIPCITRCKX_H_XX"/>
        <s v="PS_BIRELCMPX_H_XX"/>
        <s v="PS_CA_BP_EVENTS_H"/>
        <s v="PS_CA_DETAIL_DFR_H"/>
        <s v="PS_CA_DETAIL_PRI_H"/>
        <s v="PS_CA_DTL_RED_DA_H"/>
        <s v="PS_CA_FC_MAIN_H"/>
        <s v="PS_CA_LNRED_LANG_H"/>
        <s v="PS_CA_OPRID_CONT_H"/>
        <s v="PS_CA_PROJ_SUMMA_H"/>
        <s v="PS_CA_RNW_LN_RED_H"/>
        <s v="PS_CSH_CST_DTL_HXX"/>
        <s v="PS_TR_ATTACH_H_XX"/>
        <s v="PS_BNK_EXCP_H_XX"/>
        <s v="PS_CSH_CST_SUM_HXX"/>
        <s v="PS_BNK_SMT_HDR_HXX"/>
        <s v="PS_BANK_STMT_H_XX"/>
        <s v="PS_TR_WR_HDR_H_XX"/>
        <s v="PS_EX_ADV_CHK_H"/>
        <s v="PS_EX_ADV_DIST_H"/>
        <s v="PS_EX_ADV_DOCSEQ_H"/>
        <s v="PS_EX_SHEET_LINE_H"/>
        <s v="PS_EX_SHT_LN_PD_H"/>
        <s v="PS_EID_FILE_EX_HXX"/>
        <s v="PS_EX_ENHC_SMAMX_H"/>
        <s v="PS_PMT_ACK_H_XX"/>
        <s v="PS_PMT_ACK_HDR_HXX"/>
        <s v="PS_PMT_UPARTY_H_XX"/>
        <s v="PS_JRNL_IUAC_H"/>
        <s v="PS_JRNL_LN_H"/>
        <s v="PS_GL_OITEM_H"/>
        <s v="PS_JRNL_HDR_H"/>
        <s v="PS_LEDGER_H"/>
        <s v="PS_PC_BUD_DETAIL_H"/>
        <s v="PS_PC_BUD_ITM_XX_H"/>
        <s v="PS_PC_CHCINFO_XX_H"/>
        <s v="PS_PC_CMPRREPXX_H"/>
        <s v="PS_PC_RPO_H"/>
        <s v="PS_PC_VP_REVIEW_H"/>
        <s v="PS_PM_RES_STG_XX_H"/>
        <s v="PS_PRJ_TMACTDTXX_H"/>
        <s v="PS_PROJECT_TEAM_H"/>
        <s v="PS_PROJ_JUSTIFY_H"/>
        <s v="PS_PROJ_RESOURCE_H"/>
        <s v="PS_PROJ_RES_DELT_H"/>
        <s v="PS_PROJ_RSCTMPXX_H"/>
        <s v="PS_PGM_MRHGRID_HXX"/>
        <s v="PS_PGM_PRLQLNT_HXX"/>
        <s v="PS_CDMAUTHIST_H_XX"/>
        <s v="PS_CDMLISTHIS_H_XX"/>
        <s v="PS_PRCDISTHIS_H_XX"/>
        <s v="PS_GM_PROP_PRJ_HXX"/>
        <s v="PS_BEN_PRGPRTC_HXX"/>
        <s v="PS_JOB_XX_H_XX"/>
        <s v="PS_PERSONALDA_H_XX"/>
        <s v="PS_MSTR_ITMTBL_HXX"/>
        <s v="PS_CNTRCT_DSTB_HXX"/>
        <s v="PS_CNTR_EVTVCH_HXX"/>
        <s v="PS_CNTR_LN_UOM_HXX"/>
        <s v="PS_PO_DFLT_TBL_HXX"/>
        <s v="PS_PO_APPROVAL_HXX"/>
        <s v="PS_PO_DISPATCH_HXX"/>
        <s v="PS_RECV_LN_SHP_HXX"/>
        <s v="PS_AP_VCHR_AUD_ARC"/>
        <s v="PS_RS_SCHED_TASK_H"/>
        <s v="PS_CUSTAGINGX_H_XX"/>
        <s v="PS_AP_ARC_PYM_RC_H"/>
        <s v="PS_AP_ARC_PYM_AD_H"/>
        <s v="PS_AP_ARC_VCH_RM_H"/>
        <s v="PS_APVCH_DSPL_H_XX"/>
        <s v="PS_APYX42_IFC_H_XX"/>
        <s v="PS_PAYMNT_TBL_H_XX"/>
        <s v="PS_AP_SUPPRES_H_XX"/>
        <s v="PS_AR_ACTION_LST_H"/>
        <s v="PS_AR_IPAC_SGL_H"/>
        <s v="PS_AR_PO_WORK_XX_H"/>
        <s v="PS_AR_DEP_CONTRL_H"/>
        <s v="PS_BILNNOTE_H_XX"/>
        <s v="PS_BILNDSDTLX_H_XX"/>
        <s v="PS_BILNDSTDFR_H_XX"/>
        <s v="PS_BILNTAXDTL_H_XX"/>
        <s v="PS_BILINE_H_XX"/>
        <s v="PS_BILNIUEXP_H_XX"/>
        <s v="PS_BILINEX_H_XX"/>
        <s v="PS_CA_AP_DFR_H"/>
        <s v="PS_CA_AP_EVT_CHG_H"/>
        <s v="PS_CA_AP_PC_DFR_H"/>
        <s v="PS_CA_BONUS_PENL_H"/>
        <s v="PS_CA_BP_EV_AMXX_H"/>
        <s v="PS_CA_DTL_DST_DA_H"/>
        <s v="PS_CA_FC_STG_RUN_H"/>
        <s v="PS_CA_HDREV_RED_H"/>
        <s v="PS_CA_MS_COND_H"/>
        <s v="PS_CA_RATE_H"/>
        <s v="PS_CA_RECON_BI_H"/>
        <s v="PS_CA_RECON_SUM_H"/>
        <s v="PS_CA_RNW_LN_LIN_H"/>
        <s v="PS_INTFCBIADCMPHXX"/>
        <s v="PS_EX_ADV_LINE_H"/>
        <s v="PS_EX_ADV_HDR_H"/>
        <s v="PS_EX_SHEET_ADV_H"/>
        <s v="PS_EX_ACCTG_LINE_H"/>
        <s v="PS_EX_ENHC_DET_H"/>
        <s v="PS_EOAW_NEMSTS_HXX"/>
        <s v="PS_EOAW_SPINST_HXX"/>
        <s v="PS_EOAW_SUMM_HXX"/>
        <s v="PS_PMT_FIL_REF_HXX"/>
        <s v="PS_PC_ACT_SUM_H"/>
        <s v="PS_PC_AMRULE_ACT_H"/>
        <s v="PS_PC_PRICE_RATE_H"/>
        <s v="PS_PC_PROJHEALTH_H"/>
        <s v="PS_PC_COM_HD_XX_H"/>
        <s v="PS_PM_SPR_STG_XX_H"/>
        <s v="PS_PROJ_ACT_LOC_H"/>
        <s v="PS_PROJ_APPROVAL_H"/>
        <s v="PS_PROJ_DOCUMENT_H"/>
        <s v="PS_INTF_PROJ_RES_H"/>
        <s v="PS_PC_INTFCSTGXX_H"/>
        <s v="PS_EMAILADRS_H_XX"/>
        <s v="PS_PURGEDATA_H_XX"/>
        <s v="PS_RTV_HDR_H_XX"/>
        <s v="PS_CNTR_BUDSTB_HXX"/>
        <s v="PS_CNTRCT_DFLT_HXX"/>
        <s v="PS_PO_LINE_H_XX"/>
        <s v="PS_RECV_COMNT_HXX"/>
        <s v="PS_RECV_LNDSTB_HXX"/>
        <s v="PS_RECV_LNINSP_HXX"/>
        <s v="PS_VMSTRNCNLX_H_XX"/>
        <s v="PS_AP_ARC_PYM_TB_H"/>
        <s v="PS_WTH_TRXTBL_H_XX"/>
        <s v="PS_AP_ARC_PYM_XR_H"/>
        <s v="PS_APYX18_IFC_H_XX"/>
        <s v="PS_AR_ITM_ACTTAX_H"/>
        <s v="PS_AR_ITMDSP_XX_H"/>
        <s v="PS_AR_ITEM_DST_H"/>
        <s v="PS_AR_PO_TOT_XX_H"/>
        <s v="PS_PO_KEY_DTA_XX_H"/>
        <s v="PS_AR_PAY_ITEM_H"/>
        <s v="PS_AR_STMT_CUS_H"/>
        <s v="PS_BILNDSTUAR_H_XX"/>
        <s v="PS_BILNDSLVL_H_XX"/>
        <s v="PS_BIHDR_H_XX"/>
        <s v="PS_CA_ACCTG_LINE_H"/>
        <s v="PS_CA_ACCTPLN_LA_H"/>
        <s v="PS_CA_AP_TXN_UAR_H"/>
        <s v="PS_CA_BP_FEE_WS_H"/>
        <s v="PS_CA_CHG_DTL_H"/>
        <s v="PS_CA_DETAIL_DC_H"/>
        <s v="PS_CA_INVTRKL_XX_H"/>
        <s v="PS_CA_IVC_PRT_XX_H"/>
        <s v="PS_CA_LMT_FEE_DT_H"/>
        <s v="PS_CA_LNREV_RED_H"/>
        <s v="PS_CA_NOTE_TRANS_H"/>
        <s v="PS_CA_OPP_TYP_XX_H"/>
        <s v="PS_CA_PGP_PROJ_H"/>
        <s v="PS_CA_PGP_WKS_H"/>
        <s v="PS_CA_RNWLNRR_LG_H"/>
        <s v="PS_CA_RNW_APPLIE_H"/>
        <s v="PS_CA_RNW_LN_RDS_H"/>
        <s v="PS_CA_WTH_RELEAS_H"/>
        <s v="PS_BI_HDR_TMP_XX_H"/>
        <s v="PS_CA_DETAIL_PRO_H"/>
        <s v="PS_BANK_BAL_H_XX"/>
        <s v="PS_CASH_FLW_TR_HXX"/>
        <s v="PS_BANK_NON_PD_HXX"/>
        <s v="PS_EX_SHEET_HDR_H"/>
        <s v="PS_EX_SHEET_PYMT_H"/>
        <s v="PS_EX_SHT_SPLIT_H"/>
        <s v="PS_EX_ENHC_DTAMX_H"/>
        <s v="PS_PMT_FIL_ACK_HXX"/>
        <s v="PS_JRNL_CF_BAL_H"/>
        <s v="PS_PC_BUD_ALERT_H"/>
        <s v="PS_PC_BUD_DETLXX_H"/>
        <s v="PS_PC_DELUTIL_RC_H"/>
        <s v="PS_PC_OPIDPRJACT_H"/>
        <s v="PS_PC_PICSTS_TBL_H"/>
        <s v="PS_PC_PRJ_ACT_XX_H"/>
        <s v="PS_PROJECT_H"/>
        <s v="PS_PROJECT_SD_H"/>
        <s v="PS_PROJ_ACTIVITY_H"/>
        <s v="PS_PROJ_ACT_DESC_H"/>
        <s v="PS_PROJ_TEAMSVXX_H"/>
        <s v="PS_PCX0015_ERRXX_H"/>
        <s v="PS_PC_UPLD_CI_XX_H"/>
        <s v="PS_PC_GLTOPC_SUM_H"/>
        <s v="PS_PC_EXTOPC_SUM_H"/>
        <s v="PS_AP_PYMT_AUD_ARC"/>
        <s v="PS_PRCPARMHIS_H_XX"/>
        <s v="PS_GM_BUD_HDR_HXX"/>
        <s v="PS_GM_OPTYDTTM_HXX"/>
        <s v="PS_GM_PROP_XX_HXX"/>
        <s v="PS_EMPLOYMENT_H_XX"/>
        <s v="PS_INV_ITEMS_H_XX"/>
        <s v="PS_COMMENT_TBL_HXX"/>
        <s v="PS_CNTRCT_MLST_HXX"/>
        <s v="PS_PO_LNSHPMCH_HXX"/>
        <s v="PS_PO_RC_WB_EX_HXX"/>
        <s v="PS_AP_ARC_VCH_AC_H"/>
        <s v="PS_AP_ARC_VCH_DO_H"/>
        <s v="PS_AP_ARC_VCH_FR_H"/>
        <s v="PS_AP_ARC_VCH_TX_H"/>
        <s v="PS_AP_ARC_VCH_VI_H"/>
        <s v="PS_TSEVLN_FLD_H_XX"/>
        <s v="PS_TSEVCH_FLD_H_XX"/>
        <s v="PS_REMRPRT_H_XX"/>
        <s v="PS_RVLACTG_LN_H_XX"/>
        <s v="PS_AR_FORMATT_XX_H"/>
        <s v="PS_AR_FRMLIN4_XX_H"/>
        <s v="PS_AR_EE_ITACTLN_H"/>
        <s v="PS_AR_PEND_ITM_H"/>
        <s v="PS_AR_PO_EML_XX_H"/>
        <s v="PS_AR_PO_SEQ_XX_H"/>
        <s v="PS_AR_EE_DJR_ACT_H"/>
        <s v="PS_AR_PAY_ID_ITM_H"/>
        <s v="PS_AR_FRMRAR1_XX_H"/>
        <s v="PS_BILNTAX_H_XX"/>
        <s v="PS_BIADJHSTX_H_XX"/>
        <s v="PS_BIEXTCIIDS_H_XX"/>
        <s v="PS_BIHDRNOTE_H_XX"/>
        <s v="PS_BILNDSDTL_H_XX"/>
        <s v="PS_BILNIUPAY_H_XX"/>
        <s v="PS_CA_AP_PC_DST_H"/>
        <s v="PS_CA_AP_TXN_DST_H"/>
        <s v="PS_CA_ATTACHMENT_H"/>
        <s v="PS_CA_BILLPLN_LA_H"/>
        <s v="PS_CA_BP_EVT_CHG_H"/>
        <s v="PS_CA_EARLY_OPTI_H"/>
        <s v="PS_CA_LMT_TXN_H"/>
        <s v="PS_CA_LN_REDUCTS_H"/>
        <s v="PS_CA_NOTE_DETAI_H"/>
        <s v="PS_CA_PREPAID_AU_H"/>
        <s v="PS_CA_WTH_TERMS_H"/>
        <s v="PS_INTFCBICMP_H_XX"/>
        <s v="PS_TR_WR_DTL_H_XX"/>
        <s v="PS_EX_SHT_NOTE_HXX"/>
        <s v="PS_EOAW_WL_HXX"/>
        <s v="PS_EOAW_URINST_HXX"/>
        <s v="PS_EOAW_UESCAL_HXX"/>
        <s v="PS_PMT_DTL_H_XX"/>
        <s v="PS_PMT_UPY_STG_HXX"/>
        <s v="PS_TR_EVNT_LOG_HXX"/>
        <s v="PS_PC_BITOPC_SUM_H"/>
        <s v="PS_PC_BUD_ACT_H"/>
        <s v="PS_PM_SPRCMSN_XX_H"/>
        <s v="PS_PRJSPRDEXT_XX_H"/>
        <s v="PS_PROJECT_SCHED_H"/>
        <s v="PS_PROJECT_XX_H"/>
        <s v="PS_PC_CMACCTLNXX_H"/>
        <s v="PS_PCX0013_ERRXX_H"/>
        <s v="PS_PGM_MROVRLD_HXX"/>
        <s v="PS_PRCJOBSTAT_H_XX"/>
        <s v="PS_PRCTXFRHIS_H_XX"/>
        <s v="PS_GM_OPDTTMXX_HXX"/>
        <s v="PS_GM_PMDTRSC_HXX"/>
        <s v="PS_TE_EMP_HDR_H_XX"/>
        <s v="PS_COMPNSTION_H_XX"/>
        <s v="PS_PERSONALPH_H_XX"/>
        <s v="PS_PERSDATAEF_H_XX"/>
        <s v="PS_PO_HDR_VAT_H_XX"/>
        <s v="PS_PO_CHG_HDR_H_XX"/>
        <s v="PS_PO_DFLTDSTB_HXX"/>
        <s v="PS_PO_LNSHPSUT_HXX"/>
        <s v="PS_VMSSRCCNLX_H_XX"/>
        <s v="PS_VMSSRCARCX_H_XX"/>
        <s v="PS_AP_ARC_VCH_VN_H"/>
        <s v="PS_AP_ARC_DIST_L_H"/>
        <s v="PS_AP_ARC_PYM_WT_H"/>
        <s v="PS_AP_ARC_VCH_MS_H"/>
        <s v="PS_UNMTCH_TMP_H_XX"/>
        <s v="PS_VATXRF_VCH_H_XX"/>
        <s v="PS_WTHD_UPDT_H_XX"/>
        <s v="PS_AR_CCTRN_TBL_H"/>
        <s v="PS_AR_ITM_ACTVTY_H"/>
        <s v="PS_AR_ITMAGNG_XX_H"/>
        <s v="PS_AR_POKEYS_XX_H"/>
        <s v="PS_AR_820RMNF_XX_H"/>
        <s v="PS_AR_PAYMENT_H"/>
        <s v="PS_AR_FORMRAR_XX_H"/>
        <s v="PS_AR_STMT_CUSBD_H"/>
        <s v="PS_AR_FRMTAR1_XX_H"/>
        <s v="PS_BILNDSDFR_H_XX"/>
        <s v="PS_BIHDRVAT_H_XX"/>
        <s v="PS_CA_BP_LINES_H"/>
        <s v="PS_CA_DETAIL_H"/>
        <s v="PS_CA_DETAIL_APP_H"/>
        <s v="PS_CA_DETAIL_LAN_H"/>
        <s v="PS_CA_EMAIL_CON2_H"/>
        <s v="PS_CA_MILESTONE_H"/>
        <s v="PS_CA_PREPAID_TB_H"/>
        <s v="PS_CA_RECON_REV_H"/>
        <s v="PS_EX_SHEET_ATT_H"/>
        <s v="PS_EX_ER_ATCH_H_XX"/>
        <s v="PS_EX_TRANS_H"/>
        <s v="PS_PMT_ACK_ERR_HXX"/>
        <s v="PS_PMT_OID_STG_HXX"/>
        <s v="PS_PMT_REQ_LOG_HXX"/>
        <s v="PS_PMT_FIL_DEF_HXX"/>
        <s v="PS_PC_BUD_ITEMXX_H"/>
        <s v="PS_PC_BUD_PLN_XX_H"/>
        <s v="PS_PC_OPIDPRJREM_H"/>
        <s v="PS_PC_PROJECT_XX_H"/>
        <s v="PS_PM_SPRBRDN_XX_H"/>
        <s v="PS_PM_SPRCUST_XX_H"/>
        <s v="PS_PRJ_RESTMP_XX_H"/>
        <s v="PS_PROJ_ACT_XX_H"/>
        <s v="PS_PROJ_EV_APPRV_H"/>
        <s v="PS_PROJ_SPRD_XX_H"/>
        <s v="PS_PC_UB_FDET_XX_H"/>
        <s v="PS_PC_APTOPC_SUM_H"/>
        <s v="PS_PGM_CONVST2_XXH"/>
        <s v="PS_PRCRQSTHIS_H_XX"/>
        <s v="PS_GM_PROPOSAL_HXX"/>
        <s v="PS_TE_EMP_OBU_H_XX"/>
        <s v="PS_PERS_NID_H_XX"/>
        <s v="PS_CMMTS_TBL_H_XX"/>
        <s v="PS_ASET_ITMATR_HXX"/>
        <s v="PS_PURCH_ITMBU_HXX"/>
        <s v="PS_PURC_ITMATR_HXX"/>
        <s v="PS_RTV_CMMNT_H_XX"/>
        <s v="PS_RTV_LN_FEE_H_XX"/>
        <s v="PS_CNTR_HDRRLS_HXX"/>
        <s v="PS_CNTR_RLSDTL_HXX"/>
        <s v="PS_CNTR_RLSHDR_HXX"/>
        <s v="PS_PO_HDR_EXS_H_XX"/>
        <s v="PS_PO_HDR_H_XX"/>
        <s v="PS_PO_HDR_EMAL_HXX"/>
        <s v="PS_PO_LN_SHIP_H_XX"/>
        <s v="PS_PYMNT_ADVC_H_XX"/>
        <s v="PS_AP_ARC_VOUCH_H"/>
        <s v="PS_VCHR_UPDT_H_XX"/>
        <s v="PS_AR_FRMATTD_XX_H"/>
        <s v="PS_AR_FORMHDR_XX_H"/>
        <s v="PS_AR_ITM_ACTVAT_H"/>
        <s v="PS_AR_FRMMAR2_XX_H"/>
        <s v="PS_AR_GROUP_CNTL_H"/>
        <s v="PS_AR_PO_PRNT_XX_H"/>
        <s v="PS_AR_820RMSG_XX_H"/>
        <s v="PS_AR_PAY_IT_MRL_H"/>
        <s v="PS_BICBIVCHDR_H_XX"/>
        <s v="PS_BIX24DSTMPX_HXX"/>
        <s v="PS_BIHDRX_H_XX"/>
        <s v="PS_CA_AP_EVENT_H"/>
        <s v="PS_CA_AP_UAR_H"/>
        <s v="PS_CA_BP_CDATAXX_H"/>
        <s v="PS_CA_BP_NOTE_H"/>
        <s v="PS_CA_DETAIL_DST_H"/>
        <s v="PS_CA_DETAIL_UAR_H"/>
        <s v="PS_CA_DST_ERR_H"/>
        <s v="PS_CA_HDR_REDUCT_H"/>
        <s v="PS_CA_LMT_TXN_LG_H"/>
        <s v="PS_CA_LREVRED_LG_H"/>
        <s v="PS_CA_RNWLNRE_LG_H"/>
        <s v="PS_CA_SUPPORT_TE_H"/>
        <s v="PS_INTFCBINTCMPHXX"/>
        <s v="PS_BNK_SDBAL_H_XX"/>
        <s v="PS_EX_ADV_PYMT_H"/>
        <s v="PS_EX_SHEET_AW_H"/>
        <s v="PS_EX_ENHC_SUMM_H"/>
        <s v="PS_EOAW_HISCOM_HXX"/>
        <s v="PS_PMT_OTHID_H_XX"/>
        <s v="PS_SNW_FILE_H_XX"/>
        <s v="PS_JRNL_VAT_H"/>
        <s v="PS_PC_BUD_DTL_XX_H"/>
        <s v="PS_PC_CHC_INFO_H"/>
        <s v="PS_PC_CMPRSTG_XX_H"/>
        <s v="PS_PC_PRJ_BRDNXX_H"/>
        <s v="PS_PC_COM_LN_XX_H"/>
        <s v="PS_PC_POREF_XX_H"/>
        <s v="PS_PROJECT_DESCR_H"/>
        <s v="PS_PROJ_BIL_INFO_H"/>
        <s v="PS_PROJ_LOCATION_H"/>
        <s v="PS_PROJ_TM_SCHED_H"/>
        <s v="PS_TL_RTS_ACT_XX_H"/>
        <s v="PS_PGM_WRKLDST_HXX"/>
        <s v="PS_GM_PROPCMMT_HXX"/>
        <s v="PS_GM_PROPRJXX_HXX"/>
        <s v="PS_RTV_ADDR_H_XX"/>
        <s v="PS_RTV_LN_H_XX"/>
        <s v="PS_CNTRCT_LN_H_XX"/>
        <s v="PS_CNTR_LNRLS_HXX"/>
        <s v="PS_CNTR_SCHDL_H_XX"/>
        <s v="PS_PO_CHG_SHP_H_XX"/>
        <s v="PS_PO_EST_SHIP_HXX"/>
        <s v="PS_RECV_LNASET_HXX"/>
        <s v="PS_TLRTSTRCXX_H_XX"/>
        <s v="PS_VCHRREG_LC_H_XX"/>
        <s v="PS_AP_ARC_VCH_VB_H"/>
        <s v="PS_AP_ARC_BCH_XR_H"/>
        <s v="PS_AP_ARC_PY_MSG_H"/>
        <s v="PS_AP_ARC_VCH_HP_H"/>
        <s v="PS_TSEALN_FLD_H_XX"/>
        <s v="PS_TSEPMT_FLD_H_XX"/>
        <s v="PS_VCHDUP_INV_H_XX"/>
        <s v="PS_AR_FRMLIN3_XX_H"/>
        <s v="PS_AR_IPAC_DET_H"/>
        <s v="PS_AR_IPAC_HDR_H"/>
        <s v="PS_AR_ITEM_H"/>
        <s v="PS_AR_ITMNOTE_XX_H"/>
        <s v="PS_AR_FRMMAR1_XX_H"/>
        <s v="PS_AR_PEND_TAX_H"/>
        <s v="PS_AR_PEND_TX_DT_H"/>
        <s v="PS_AR_PO_DTL_XX_H"/>
        <s v="PS_AR_PAY_ID_CUS_H"/>
        <s v="PS_AR_PAY_MIS_DS_H"/>
        <s v="PS_AR_STMT_CUSDT_H"/>
        <s v="PS_AR_FRMXREF_XX_H"/>
        <s v="PS_EIDFILEINVX_HXX"/>
        <s v="PS_CA_ACCTG_LN_P_H"/>
        <s v="PS_CA_AP_EVENT_D_H"/>
        <s v="PS_CA_AP_FEE_WS_H"/>
        <s v="PS_CA_AP_PC_UAR_H"/>
        <s v="PS_CA_BP_EVT_LN_H"/>
        <s v="PS_CA_BP_FEE_ADJ_H"/>
        <s v="PS_CA_BP_SCHEDUL_H"/>
        <s v="PS_CA_BP_XREF_H"/>
        <s v="PS_CA_HDR_DC_H"/>
        <s v="PS_CA_DETAIL_RED_H"/>
        <s v="PS_CA_EMAIL_CONT_H"/>
        <s v="PS_CA_HDRRED_LAN_H"/>
        <s v="PS_CA_HDR_AE_ACC_H"/>
        <s v="PS_CA_NOTE_H"/>
        <s v="PS_CA_PGP_TERMS_H"/>
        <s v="PS_CA_PREPAID_PR_H"/>
        <s v="PS_CA_WTH_TRM_LA_H"/>
        <s v="PS_BI_LN_TMP_XX_H"/>
        <s v="PS_TR_AF_STL_H_XX"/>
        <s v="PS_EX_SHEET_DIST_H"/>
        <s v="PS_EX_APRVL_HIST_H"/>
        <s v="PS_EOAW_COMNTS_HXX"/>
        <s v="PS_EOAW_SUMDTL_HXX"/>
        <s v="PS_PMT_FIL_ERR_HXX"/>
        <s v="PS_BSP_FIL_INF_HXX"/>
        <s v="PS_PMT_INTRM_H_XX"/>
        <s v="PS_PC_ACT_IN_USE_H"/>
        <s v="PS_PC_EMPPROJ_TM_H"/>
        <s v="PS_PROJ_STATUS_H"/>
        <s v="PS_PROJ_ACT_STAT_H"/>
        <s v="PS_PSA_ORGPRJ_DF_H"/>
        <s v="PS_TL_RTS_TRC_XX_H"/>
        <s v="PS_PC_AMRULE_PRJ_H"/>
        <s v="PS_PRCTEXTHIS_H_XX"/>
        <s v="PS_GM_BUDHDRXX_HXX"/>
        <s v="PS_GM_BUD_PERD_HXX"/>
        <s v="PS_GM_PROPCHXX_HXX"/>
        <s v="PS_ITM_VENDOR_H_XX"/>
        <s v="PS_CNTR_RLSTBL_HXX"/>
        <s v="PS_CNTR_RLS_LN_HXX"/>
        <s v="PS_PO_CHG_ADDR_HXX"/>
        <s v="PS_PO_CHG_LN_H_XX"/>
        <s v="PS_PO_COMMENT_H_XX"/>
        <s v="PS_RECV_HDR_H_XX"/>
        <s v="PS_VMSTRNSHST_H_XX"/>
        <s v="PS_TLRTSPRJXX_H_XX"/>
        <s v="PS_AP_ARC_DIST_N_H"/>
        <s v="PS_AP_ARC_VCH_TG_H"/>
        <s v="PS_AP_ARC_VCH_WT_H"/>
        <s v="PS_TSE_VCHR_H_XX"/>
        <s v="PS_DSTRPMTXRF_H_XX"/>
        <s v="PS_AR_FRMLIN1_XX_H"/>
        <s v="PS_PO_EXTRACT_XX_H"/>
        <s v="PS_AR_PO_PRTF_XX_H"/>
        <s v="PS_AR_PO_XX_H"/>
        <s v="PS_CA_ACCTG_LN_T_H"/>
        <s v="PS_CA_ACCTPLAN_H"/>
        <s v="PS_CA_AP_DST_H"/>
        <s v="PS_CA_AP_FEE_ADJ_H"/>
        <s v="PS_CA_AP_SCHEDUL_H"/>
        <s v="PS_CA_BILL_PLAN_H"/>
        <s v="PS_CA_BIL_PLN_XX_H"/>
        <s v="PS_CA_CHG_HDR_H"/>
        <s v="PS_CA_CONTR_HDR_H"/>
        <s v="PS_CA_HREVRED_LG_H"/>
        <s v="PS_CA_HDR_COMM_H"/>
        <s v="PS_CA_INVTRKH_XX_H"/>
        <s v="PS_CA_PGP_COSTS_H"/>
        <s v="PS_CA_WTH_REL_LA_H"/>
        <s v="PS_BANK_SDSTMT_HXX"/>
        <s v="PS_EX_SHT_DOCSEQ_H"/>
        <s v="PS_PMT_ADDR_H_XX"/>
        <s v="PS_PMT_REF_H_XX"/>
        <s v="PS_PC_BUD_ITEM_H"/>
        <s v="PS_PC_BUD_PLAN_H"/>
        <s v="PS_PC_BUD_SUMRY_H"/>
        <s v="PS_PC_BUD_SUM_XX_H"/>
        <s v="PS_PC_EMP_RES_TM_H"/>
        <s v="PS_PM_ACT_STG_XX_H"/>
        <s v="PS_PM_SPRASGN_XX_H"/>
        <s v="PS_PM_SPRXREF_XX_H"/>
        <s v="PS_PROJECT_MGR_H"/>
        <s v="PS_PROJ_ACT_TEAM_H"/>
        <s v="PS_INT_PRJACT_XX_H"/>
        <s v="PS_PROJ_QUALITY_H"/>
        <s v="PS_TL_RTS_PRJ_XX_H"/>
        <s v="PS_PC_UB_PO_XX_H"/>
        <s v="PS_PGM_CONVST1_XXH"/>
        <s v="PS_PRCQUEHIST_H_XX"/>
        <s v="PS_CDMFILELIS_H_XX"/>
        <s v="PS_PRCRQSTFLE_H_XX"/>
        <s v="PS_PRCRQSTSTR_H_XX"/>
        <s v="PS_GM_BUD_LNSM_HXX"/>
        <s v="PS_TE_EMP_UP_H_XX"/>
        <s v="PS_JOB_H_XX"/>
        <s v="PS_INV_ITEMUOM_HXX"/>
        <s v="PS_INV_ITM_PHT_HXX"/>
        <s v="PS_RTV_DSPTCH_H_XX"/>
        <s v="PS_RTV_LN_DSTB_HXX"/>
        <s v="PS_CNTRCT_HDR_H_XX"/>
        <s v="PS_PO_CHG_ORD_H_XX"/>
        <s v="PS_PO_ER_EMSGQ_HXX"/>
        <s v="PS_PO_LN_DISTB_HXX"/>
        <s v="PS_RECV_LNSHMT_HXX"/>
        <s v="PS_TLRTSACTXX_H_XX"/>
        <m/>
      </sharedItems>
    </cacheField>
    <cacheField name="Count" numFmtId="0">
      <sharedItems containsString="0" containsBlank="1" containsNumber="1" containsInteger="1" minValue="0" maxValue="22396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n v="0"/>
  </r>
  <r>
    <x v="1"/>
    <n v="402580"/>
  </r>
  <r>
    <x v="2"/>
    <n v="14674"/>
  </r>
  <r>
    <x v="3"/>
    <n v="0"/>
  </r>
  <r>
    <x v="4"/>
    <n v="402580"/>
  </r>
  <r>
    <x v="5"/>
    <n v="26515"/>
  </r>
  <r>
    <x v="6"/>
    <n v="403197"/>
  </r>
  <r>
    <x v="7"/>
    <n v="442649"/>
  </r>
  <r>
    <x v="8"/>
    <n v="892"/>
  </r>
  <r>
    <x v="9"/>
    <n v="5181089"/>
  </r>
  <r>
    <x v="10"/>
    <n v="19"/>
  </r>
  <r>
    <x v="11"/>
    <n v="82946"/>
  </r>
  <r>
    <x v="12"/>
    <n v="566074"/>
  </r>
  <r>
    <x v="13"/>
    <n v="22074"/>
  </r>
  <r>
    <x v="14"/>
    <n v="19568"/>
  </r>
  <r>
    <x v="15"/>
    <n v="20"/>
  </r>
  <r>
    <x v="16"/>
    <n v="0"/>
  </r>
  <r>
    <x v="17"/>
    <n v="42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29105"/>
  </r>
  <r>
    <x v="39"/>
    <n v="51160"/>
  </r>
  <r>
    <x v="40"/>
    <n v="957"/>
  </r>
  <r>
    <x v="41"/>
    <n v="0"/>
  </r>
  <r>
    <x v="42"/>
    <n v="0"/>
  </r>
  <r>
    <x v="43"/>
    <n v="51333"/>
  </r>
  <r>
    <x v="44"/>
    <n v="0"/>
  </r>
  <r>
    <x v="45"/>
    <n v="0"/>
  </r>
  <r>
    <x v="46"/>
    <n v="0"/>
  </r>
  <r>
    <x v="47"/>
    <n v="579392"/>
  </r>
  <r>
    <x v="48"/>
    <n v="566074"/>
  </r>
  <r>
    <x v="49"/>
    <n v="654395"/>
  </r>
  <r>
    <x v="50"/>
    <n v="1124091"/>
  </r>
  <r>
    <x v="51"/>
    <n v="0"/>
  </r>
  <r>
    <x v="52"/>
    <n v="0"/>
  </r>
  <r>
    <x v="7"/>
    <n v="0"/>
  </r>
  <r>
    <x v="1"/>
    <n v="0"/>
  </r>
  <r>
    <x v="2"/>
    <n v="0"/>
  </r>
  <r>
    <x v="3"/>
    <n v="0"/>
  </r>
  <r>
    <x v="4"/>
    <n v="0"/>
  </r>
  <r>
    <x v="6"/>
    <n v="0"/>
  </r>
  <r>
    <x v="5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11861178"/>
  </r>
  <r>
    <x v="64"/>
    <n v="22396043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5678877"/>
  </r>
  <r>
    <x v="78"/>
    <n v="0"/>
  </r>
  <r>
    <x v="79"/>
    <n v="0"/>
  </r>
  <r>
    <x v="80"/>
    <n v="0"/>
  </r>
  <r>
    <x v="81"/>
    <n v="20453457"/>
  </r>
  <r>
    <x v="82"/>
    <n v="0"/>
  </r>
  <r>
    <x v="83"/>
    <n v="0"/>
  </r>
  <r>
    <x v="84"/>
    <n v="0"/>
  </r>
  <r>
    <x v="85"/>
    <n v="0"/>
  </r>
  <r>
    <x v="86"/>
    <n v="1500586"/>
  </r>
  <r>
    <x v="87"/>
    <n v="11776783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4776291"/>
  </r>
  <r>
    <x v="101"/>
    <n v="458084"/>
  </r>
  <r>
    <x v="102"/>
    <n v="1989"/>
  </r>
  <r>
    <x v="103"/>
    <n v="0"/>
  </r>
  <r>
    <x v="104"/>
    <n v="0"/>
  </r>
  <r>
    <x v="105"/>
    <n v="0"/>
  </r>
  <r>
    <x v="106"/>
    <n v="0"/>
  </r>
  <r>
    <x v="107"/>
    <n v="0"/>
  </r>
  <r>
    <x v="108"/>
    <n v="39396"/>
  </r>
  <r>
    <x v="109"/>
    <n v="1335452"/>
  </r>
  <r>
    <x v="110"/>
    <n v="0"/>
  </r>
  <r>
    <x v="111"/>
    <n v="0"/>
  </r>
  <r>
    <x v="112"/>
    <n v="0"/>
  </r>
  <r>
    <x v="113"/>
    <n v="6428"/>
  </r>
  <r>
    <x v="114"/>
    <n v="6460"/>
  </r>
  <r>
    <x v="115"/>
    <n v="0"/>
  </r>
  <r>
    <x v="116"/>
    <n v="87387"/>
  </r>
  <r>
    <x v="117"/>
    <n v="4"/>
  </r>
  <r>
    <x v="118"/>
    <n v="1"/>
  </r>
  <r>
    <x v="119"/>
    <n v="7"/>
  </r>
  <r>
    <x v="120"/>
    <n v="96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15179486"/>
  </r>
  <r>
    <x v="141"/>
    <n v="0"/>
  </r>
  <r>
    <x v="126"/>
    <n v="598134"/>
  </r>
  <r>
    <x v="143"/>
    <n v="0"/>
  </r>
  <r>
    <x v="124"/>
    <n v="0"/>
  </r>
  <r>
    <x v="122"/>
    <n v="10583254"/>
  </r>
  <r>
    <x v="123"/>
    <n v="0"/>
  </r>
  <r>
    <x v="125"/>
    <n v="0"/>
  </r>
  <r>
    <x v="128"/>
    <n v="0"/>
  </r>
  <r>
    <x v="131"/>
    <n v="0"/>
  </r>
  <r>
    <x v="133"/>
    <n v="0"/>
  </r>
  <r>
    <x v="142"/>
    <n v="0"/>
  </r>
  <r>
    <x v="129"/>
    <n v="0"/>
  </r>
  <r>
    <x v="130"/>
    <n v="0"/>
  </r>
  <r>
    <x v="132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27"/>
    <n v="3998098"/>
  </r>
  <r>
    <x v="121"/>
    <n v="3998098"/>
  </r>
  <r>
    <x v="144"/>
    <n v="10583254"/>
  </r>
  <r>
    <x v="152"/>
    <n v="0"/>
  </r>
  <r>
    <x v="153"/>
    <n v="0"/>
  </r>
  <r>
    <x v="154"/>
    <n v="2"/>
  </r>
  <r>
    <x v="155"/>
    <n v="177"/>
  </r>
  <r>
    <x v="156"/>
    <n v="66206"/>
  </r>
  <r>
    <x v="157"/>
    <n v="94"/>
  </r>
  <r>
    <x v="158"/>
    <n v="116"/>
  </r>
  <r>
    <x v="159"/>
    <n v="0"/>
  </r>
  <r>
    <x v="160"/>
    <n v="0"/>
  </r>
  <r>
    <x v="161"/>
    <n v="4"/>
  </r>
  <r>
    <x v="162"/>
    <n v="2"/>
  </r>
  <r>
    <x v="163"/>
    <n v="0"/>
  </r>
  <r>
    <x v="164"/>
    <n v="0"/>
  </r>
  <r>
    <x v="165"/>
    <n v="141"/>
  </r>
  <r>
    <x v="166"/>
    <n v="0"/>
  </r>
  <r>
    <x v="167"/>
    <n v="2"/>
  </r>
  <r>
    <x v="168"/>
    <n v="2"/>
  </r>
  <r>
    <x v="169"/>
    <n v="0"/>
  </r>
  <r>
    <x v="170"/>
    <n v="0"/>
  </r>
  <r>
    <x v="171"/>
    <n v="0"/>
  </r>
  <r>
    <x v="172"/>
    <n v="3"/>
  </r>
  <r>
    <x v="173"/>
    <n v="2"/>
  </r>
  <r>
    <x v="174"/>
    <n v="0"/>
  </r>
  <r>
    <x v="175"/>
    <n v="0"/>
  </r>
  <r>
    <x v="176"/>
    <n v="2"/>
  </r>
  <r>
    <x v="177"/>
    <n v="1"/>
  </r>
  <r>
    <x v="178"/>
    <n v="0"/>
  </r>
  <r>
    <x v="179"/>
    <n v="2"/>
  </r>
  <r>
    <x v="180"/>
    <n v="0"/>
  </r>
  <r>
    <x v="181"/>
    <n v="2"/>
  </r>
  <r>
    <x v="182"/>
    <n v="141"/>
  </r>
  <r>
    <x v="183"/>
    <n v="2"/>
  </r>
  <r>
    <x v="184"/>
    <n v="2"/>
  </r>
  <r>
    <x v="185"/>
    <n v="2"/>
  </r>
  <r>
    <x v="186"/>
    <n v="0"/>
  </r>
  <r>
    <x v="187"/>
    <n v="0"/>
  </r>
  <r>
    <x v="188"/>
    <n v="1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282"/>
  </r>
  <r>
    <x v="259"/>
    <n v="1043431"/>
  </r>
  <r>
    <x v="161"/>
    <n v="0"/>
  </r>
  <r>
    <x v="260"/>
    <n v="0"/>
  </r>
  <r>
    <x v="261"/>
    <n v="0"/>
  </r>
  <r>
    <x v="262"/>
    <n v="14725"/>
  </r>
  <r>
    <x v="263"/>
    <n v="0"/>
  </r>
  <r>
    <x v="264"/>
    <n v="0"/>
  </r>
  <r>
    <x v="265"/>
    <n v="0"/>
  </r>
  <r>
    <x v="266"/>
    <n v="0"/>
  </r>
  <r>
    <x v="267"/>
    <n v="0"/>
  </r>
  <r>
    <x v="268"/>
    <n v="59"/>
  </r>
  <r>
    <x v="269"/>
    <n v="0"/>
  </r>
  <r>
    <x v="270"/>
    <n v="263763"/>
  </r>
  <r>
    <x v="271"/>
    <n v="0"/>
  </r>
  <r>
    <x v="272"/>
    <n v="0"/>
  </r>
  <r>
    <x v="273"/>
    <n v="0"/>
  </r>
  <r>
    <x v="274"/>
    <n v="0"/>
  </r>
  <r>
    <x v="275"/>
    <n v="0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0"/>
  </r>
  <r>
    <x v="295"/>
    <n v="0"/>
  </r>
  <r>
    <x v="296"/>
    <n v="0"/>
  </r>
  <r>
    <x v="297"/>
    <n v="0"/>
  </r>
  <r>
    <x v="298"/>
    <n v="0"/>
  </r>
  <r>
    <x v="299"/>
    <n v="0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327"/>
    <n v="0"/>
  </r>
  <r>
    <x v="328"/>
    <n v="13174395"/>
  </r>
  <r>
    <x v="329"/>
    <n v="89288"/>
  </r>
  <r>
    <x v="330"/>
    <n v="0"/>
  </r>
  <r>
    <x v="331"/>
    <n v="0"/>
  </r>
  <r>
    <x v="332"/>
    <n v="0"/>
  </r>
  <r>
    <x v="333"/>
    <n v="87300"/>
  </r>
  <r>
    <x v="334"/>
    <n v="3889350"/>
  </r>
  <r>
    <x v="335"/>
    <n v="6759"/>
  </r>
  <r>
    <x v="336"/>
    <n v="10125"/>
  </r>
  <r>
    <x v="337"/>
    <n v="27173"/>
  </r>
  <r>
    <x v="338"/>
    <n v="36262"/>
  </r>
  <r>
    <x v="339"/>
    <n v="27173"/>
  </r>
  <r>
    <x v="340"/>
    <n v="8919"/>
  </r>
  <r>
    <x v="341"/>
    <n v="18178"/>
  </r>
  <r>
    <x v="342"/>
    <n v="62433"/>
  </r>
  <r>
    <x v="343"/>
    <n v="9771"/>
  </r>
  <r>
    <x v="344"/>
    <n v="9771"/>
  </r>
  <r>
    <x v="345"/>
    <n v="9034"/>
  </r>
  <r>
    <x v="346"/>
    <n v="936"/>
  </r>
  <r>
    <x v="347"/>
    <n v="240"/>
  </r>
  <r>
    <x v="348"/>
    <n v="0"/>
  </r>
  <r>
    <x v="349"/>
    <n v="8906"/>
  </r>
  <r>
    <x v="350"/>
    <n v="5"/>
  </r>
  <r>
    <x v="351"/>
    <n v="5125"/>
  </r>
  <r>
    <x v="352"/>
    <n v="0"/>
  </r>
  <r>
    <x v="353"/>
    <n v="9068"/>
  </r>
  <r>
    <x v="354"/>
    <n v="9035"/>
  </r>
  <r>
    <x v="355"/>
    <n v="68663"/>
  </r>
  <r>
    <x v="356"/>
    <n v="0"/>
  </r>
  <r>
    <x v="357"/>
    <n v="5392"/>
  </r>
  <r>
    <x v="358"/>
    <n v="0"/>
  </r>
  <r>
    <x v="359"/>
    <n v="8919"/>
  </r>
  <r>
    <x v="360"/>
    <n v="0"/>
  </r>
  <r>
    <x v="361"/>
    <n v="9761"/>
  </r>
  <r>
    <x v="362"/>
    <n v="0"/>
  </r>
  <r>
    <x v="363"/>
    <n v="1"/>
  </r>
  <r>
    <x v="364"/>
    <n v="0"/>
  </r>
  <r>
    <x v="365"/>
    <n v="0"/>
  </r>
  <r>
    <x v="366"/>
    <n v="336"/>
  </r>
  <r>
    <x v="367"/>
    <n v="0"/>
  </r>
  <r>
    <x v="368"/>
    <n v="240"/>
  </r>
  <r>
    <x v="369"/>
    <n v="0"/>
  </r>
  <r>
    <x v="370"/>
    <n v="1"/>
  </r>
  <r>
    <x v="371"/>
    <n v="0"/>
  </r>
  <r>
    <x v="372"/>
    <n v="0"/>
  </r>
  <r>
    <x v="373"/>
    <n v="0"/>
  </r>
  <r>
    <x v="374"/>
    <n v="0"/>
  </r>
  <r>
    <x v="375"/>
    <n v="0"/>
  </r>
  <r>
    <x v="376"/>
    <n v="0"/>
  </r>
  <r>
    <x v="377"/>
    <n v="0"/>
  </r>
  <r>
    <x v="378"/>
    <n v="0"/>
  </r>
  <r>
    <x v="379"/>
    <n v="0"/>
  </r>
  <r>
    <x v="380"/>
    <n v="0"/>
  </r>
  <r>
    <x v="381"/>
    <n v="0"/>
  </r>
  <r>
    <x v="382"/>
    <n v="0"/>
  </r>
  <r>
    <x v="383"/>
    <n v="0"/>
  </r>
  <r>
    <x v="384"/>
    <n v="0"/>
  </r>
  <r>
    <x v="385"/>
    <n v="0"/>
  </r>
  <r>
    <x v="386"/>
    <n v="0"/>
  </r>
  <r>
    <x v="387"/>
    <n v="0"/>
  </r>
  <r>
    <x v="388"/>
    <n v="0"/>
  </r>
  <r>
    <x v="389"/>
    <n v="0"/>
  </r>
  <r>
    <x v="390"/>
    <n v="0"/>
  </r>
  <r>
    <x v="391"/>
    <n v="0"/>
  </r>
  <r>
    <x v="392"/>
    <n v="0"/>
  </r>
  <r>
    <x v="393"/>
    <n v="0"/>
  </r>
  <r>
    <x v="394"/>
    <n v="0"/>
  </r>
  <r>
    <x v="395"/>
    <n v="0"/>
  </r>
  <r>
    <x v="396"/>
    <n v="0"/>
  </r>
  <r>
    <x v="397"/>
    <n v="0"/>
  </r>
  <r>
    <x v="398"/>
    <n v="0"/>
  </r>
  <r>
    <x v="399"/>
    <n v="0"/>
  </r>
  <r>
    <x v="400"/>
    <n v="0"/>
  </r>
  <r>
    <x v="401"/>
    <n v="0"/>
  </r>
  <r>
    <x v="402"/>
    <n v="0"/>
  </r>
  <r>
    <x v="403"/>
    <n v="0"/>
  </r>
  <r>
    <x v="404"/>
    <n v="0"/>
  </r>
  <r>
    <x v="405"/>
    <n v="0"/>
  </r>
  <r>
    <x v="406"/>
    <n v="0"/>
  </r>
  <r>
    <x v="407"/>
    <n v="0"/>
  </r>
  <r>
    <x v="408"/>
    <n v="0"/>
  </r>
  <r>
    <x v="409"/>
    <n v="0"/>
  </r>
  <r>
    <x v="410"/>
    <n v="0"/>
  </r>
  <r>
    <x v="411"/>
    <n v="0"/>
  </r>
  <r>
    <x v="412"/>
    <n v="0"/>
  </r>
  <r>
    <x v="413"/>
    <n v="0"/>
  </r>
  <r>
    <x v="414"/>
    <n v="97820"/>
  </r>
  <r>
    <x v="415"/>
    <n v="0"/>
  </r>
  <r>
    <x v="416"/>
    <n v="0"/>
  </r>
  <r>
    <x v="417"/>
    <n v="0"/>
  </r>
  <r>
    <x v="418"/>
    <n v="0"/>
  </r>
  <r>
    <x v="419"/>
    <n v="0"/>
  </r>
  <r>
    <x v="420"/>
    <n v="0"/>
  </r>
  <r>
    <x v="421"/>
    <n v="0"/>
  </r>
  <r>
    <x v="422"/>
    <n v="0"/>
  </r>
  <r>
    <x v="423"/>
    <n v="0"/>
  </r>
  <r>
    <x v="424"/>
    <n v="100"/>
  </r>
  <r>
    <x v="425"/>
    <n v="0"/>
  </r>
  <r>
    <x v="426"/>
    <n v="0"/>
  </r>
  <r>
    <x v="427"/>
    <n v="0"/>
  </r>
  <r>
    <x v="428"/>
    <n v="0"/>
  </r>
  <r>
    <x v="429"/>
    <n v="0"/>
  </r>
  <r>
    <x v="430"/>
    <n v="0"/>
  </r>
  <r>
    <x v="431"/>
    <n v="0"/>
  </r>
  <r>
    <x v="432"/>
    <n v="0"/>
  </r>
  <r>
    <x v="433"/>
    <n v="2043"/>
  </r>
  <r>
    <x v="434"/>
    <n v="2043"/>
  </r>
  <r>
    <x v="435"/>
    <n v="0"/>
  </r>
  <r>
    <x v="436"/>
    <n v="2041"/>
  </r>
  <r>
    <x v="437"/>
    <n v="0"/>
  </r>
  <r>
    <x v="438"/>
    <n v="0"/>
  </r>
  <r>
    <x v="439"/>
    <n v="0"/>
  </r>
  <r>
    <x v="440"/>
    <n v="0"/>
  </r>
  <r>
    <x v="441"/>
    <n v="2043"/>
  </r>
  <r>
    <x v="442"/>
    <n v="160"/>
  </r>
  <r>
    <x v="443"/>
    <n v="2043"/>
  </r>
  <r>
    <x v="444"/>
    <n v="4129"/>
  </r>
  <r>
    <x v="445"/>
    <n v="0"/>
  </r>
  <r>
    <x v="446"/>
    <n v="0"/>
  </r>
  <r>
    <x v="447"/>
    <n v="0"/>
  </r>
  <r>
    <x v="448"/>
    <n v="0"/>
  </r>
  <r>
    <x v="449"/>
    <n v="0"/>
  </r>
  <r>
    <x v="450"/>
    <n v="0"/>
  </r>
  <r>
    <x v="451"/>
    <n v="0"/>
  </r>
  <r>
    <x v="452"/>
    <n v="0"/>
  </r>
  <r>
    <x v="453"/>
    <n v="0"/>
  </r>
  <r>
    <x v="454"/>
    <n v="0"/>
  </r>
  <r>
    <x v="455"/>
    <n v="0"/>
  </r>
  <r>
    <x v="456"/>
    <n v="0"/>
  </r>
  <r>
    <x v="457"/>
    <n v="0"/>
  </r>
  <r>
    <x v="458"/>
    <n v="0"/>
  </r>
  <r>
    <x v="459"/>
    <n v="0"/>
  </r>
  <r>
    <x v="460"/>
    <n v="0"/>
  </r>
  <r>
    <x v="461"/>
    <n v="0"/>
  </r>
  <r>
    <x v="462"/>
    <n v="0"/>
  </r>
  <r>
    <x v="463"/>
    <n v="0"/>
  </r>
  <r>
    <x v="464"/>
    <n v="0"/>
  </r>
  <r>
    <x v="465"/>
    <n v="0"/>
  </r>
  <r>
    <x v="466"/>
    <n v="0"/>
  </r>
  <r>
    <x v="467"/>
    <n v="0"/>
  </r>
  <r>
    <x v="468"/>
    <n v="0"/>
  </r>
  <r>
    <x v="469"/>
    <n v="0"/>
  </r>
  <r>
    <x v="470"/>
    <n v="0"/>
  </r>
  <r>
    <x v="471"/>
    <n v="0"/>
  </r>
  <r>
    <x v="472"/>
    <n v="0"/>
  </r>
  <r>
    <x v="473"/>
    <n v="0"/>
  </r>
  <r>
    <x v="474"/>
    <n v="0"/>
  </r>
  <r>
    <x v="475"/>
    <n v="0"/>
  </r>
  <r>
    <x v="476"/>
    <n v="0"/>
  </r>
  <r>
    <x v="477"/>
    <n v="0"/>
  </r>
  <r>
    <x v="478"/>
    <n v="0"/>
  </r>
  <r>
    <x v="479"/>
    <n v="0"/>
  </r>
  <r>
    <x v="480"/>
    <n v="0"/>
  </r>
  <r>
    <x v="481"/>
    <n v="0"/>
  </r>
  <r>
    <x v="482"/>
    <n v="0"/>
  </r>
  <r>
    <x v="483"/>
    <n v="0"/>
  </r>
  <r>
    <x v="484"/>
    <n v="0"/>
  </r>
  <r>
    <x v="485"/>
    <n v="0"/>
  </r>
  <r>
    <x v="486"/>
    <n v="0"/>
  </r>
  <r>
    <x v="487"/>
    <n v="0"/>
  </r>
  <r>
    <x v="488"/>
    <n v="0"/>
  </r>
  <r>
    <x v="489"/>
    <n v="0"/>
  </r>
  <r>
    <x v="490"/>
    <n v="0"/>
  </r>
  <r>
    <x v="491"/>
    <n v="0"/>
  </r>
  <r>
    <x v="492"/>
    <n v="640"/>
  </r>
  <r>
    <x v="493"/>
    <n v="0"/>
  </r>
  <r>
    <x v="494"/>
    <n v="639"/>
  </r>
  <r>
    <x v="495"/>
    <n v="639"/>
  </r>
  <r>
    <x v="496"/>
    <n v="640"/>
  </r>
  <r>
    <x v="497"/>
    <n v="639"/>
  </r>
  <r>
    <x v="498"/>
    <n v="639"/>
  </r>
  <r>
    <x v="499"/>
    <n v="640"/>
  </r>
  <r>
    <x v="500"/>
    <n v="0"/>
  </r>
  <r>
    <x v="501"/>
    <n v="1"/>
  </r>
  <r>
    <x v="502"/>
    <n v="0"/>
  </r>
  <r>
    <x v="503"/>
    <n v="0"/>
  </r>
  <r>
    <x v="504"/>
    <n v="0"/>
  </r>
  <r>
    <x v="505"/>
    <n v="0"/>
  </r>
  <r>
    <x v="506"/>
    <n v="0"/>
  </r>
  <r>
    <x v="507"/>
    <n v="0"/>
  </r>
  <r>
    <x v="508"/>
    <n v="0"/>
  </r>
  <r>
    <x v="509"/>
    <n v="0"/>
  </r>
  <r>
    <x v="510"/>
    <n v="0"/>
  </r>
  <r>
    <x v="511"/>
    <n v="0"/>
  </r>
  <r>
    <x v="512"/>
    <n v="0"/>
  </r>
  <r>
    <x v="513"/>
    <n v="0"/>
  </r>
  <r>
    <x v="514"/>
    <n v="0"/>
  </r>
  <r>
    <x v="515"/>
    <n v="0"/>
  </r>
  <r>
    <x v="516"/>
    <n v="0"/>
  </r>
  <r>
    <x v="517"/>
    <n v="0"/>
  </r>
  <r>
    <x v="518"/>
    <n v="0"/>
  </r>
  <r>
    <x v="519"/>
    <n v="0"/>
  </r>
  <r>
    <x v="520"/>
    <n v="0"/>
  </r>
  <r>
    <x v="521"/>
    <n v="0"/>
  </r>
  <r>
    <x v="522"/>
    <n v="0"/>
  </r>
  <r>
    <x v="523"/>
    <n v="0"/>
  </r>
  <r>
    <x v="524"/>
    <n v="0"/>
  </r>
  <r>
    <x v="525"/>
    <n v="0"/>
  </r>
  <r>
    <x v="526"/>
    <n v="0"/>
  </r>
  <r>
    <x v="527"/>
    <n v="0"/>
  </r>
  <r>
    <x v="528"/>
    <n v="0"/>
  </r>
  <r>
    <x v="529"/>
    <n v="0"/>
  </r>
  <r>
    <x v="530"/>
    <n v="0"/>
  </r>
  <r>
    <x v="531"/>
    <n v="0"/>
  </r>
  <r>
    <x v="532"/>
    <n v="0"/>
  </r>
  <r>
    <x v="432"/>
    <n v="0"/>
  </r>
  <r>
    <x v="533"/>
    <n v="0"/>
  </r>
  <r>
    <x v="534"/>
    <n v="0"/>
  </r>
  <r>
    <x v="535"/>
    <n v="0"/>
  </r>
  <r>
    <x v="536"/>
    <n v="0"/>
  </r>
  <r>
    <x v="537"/>
    <n v="0"/>
  </r>
  <r>
    <x v="538"/>
    <n v="0"/>
  </r>
  <r>
    <x v="539"/>
    <n v="0"/>
  </r>
  <r>
    <x v="540"/>
    <n v="0"/>
  </r>
  <r>
    <x v="541"/>
    <n v="0"/>
  </r>
  <r>
    <x v="54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x v="0"/>
    <n v="0"/>
  </r>
  <r>
    <x v="1"/>
    <n v="82946"/>
  </r>
  <r>
    <x v="2"/>
    <n v="0"/>
  </r>
  <r>
    <x v="3"/>
    <n v="51160"/>
  </r>
  <r>
    <x v="4"/>
    <n v="51333"/>
  </r>
  <r>
    <x v="5"/>
    <n v="654395"/>
  </r>
  <r>
    <x v="6"/>
    <n v="0"/>
  </r>
  <r>
    <x v="7"/>
    <n v="0"/>
  </r>
  <r>
    <x v="8"/>
    <n v="892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20453457"/>
  </r>
  <r>
    <x v="16"/>
    <n v="0"/>
  </r>
  <r>
    <x v="17"/>
    <n v="0"/>
  </r>
  <r>
    <x v="18"/>
    <n v="0"/>
  </r>
  <r>
    <x v="19"/>
    <n v="0"/>
  </r>
  <r>
    <x v="20"/>
    <n v="6460"/>
  </r>
  <r>
    <x v="21"/>
    <n v="4"/>
  </r>
  <r>
    <x v="22"/>
    <n v="0"/>
  </r>
  <r>
    <x v="23"/>
    <n v="14432815"/>
  </r>
  <r>
    <x v="24"/>
    <n v="3808639"/>
  </r>
  <r>
    <x v="25"/>
    <n v="0"/>
  </r>
  <r>
    <x v="26"/>
    <n v="0"/>
  </r>
  <r>
    <x v="23"/>
    <n v="746671"/>
  </r>
  <r>
    <x v="27"/>
    <n v="0"/>
  </r>
  <r>
    <x v="24"/>
    <n v="189459"/>
  </r>
  <r>
    <x v="28"/>
    <n v="536243"/>
  </r>
  <r>
    <x v="29"/>
    <n v="0"/>
  </r>
  <r>
    <x v="30"/>
    <n v="0"/>
  </r>
  <r>
    <x v="31"/>
    <n v="2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14725"/>
  </r>
  <r>
    <x v="44"/>
    <n v="0"/>
  </r>
  <r>
    <x v="45"/>
    <n v="59"/>
  </r>
  <r>
    <x v="46"/>
    <n v="263763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2452593"/>
  </r>
  <r>
    <x v="60"/>
    <n v="0"/>
  </r>
  <r>
    <x v="61"/>
    <n v="83386"/>
  </r>
  <r>
    <x v="62"/>
    <n v="1903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9034"/>
  </r>
  <r>
    <x v="72"/>
    <n v="0"/>
  </r>
  <r>
    <x v="73"/>
    <n v="9782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2043"/>
  </r>
  <r>
    <x v="81"/>
    <n v="0"/>
  </r>
  <r>
    <x v="82"/>
    <n v="0"/>
  </r>
  <r>
    <x v="83"/>
    <n v="0"/>
  </r>
  <r>
    <x v="84"/>
    <n v="0"/>
  </r>
  <r>
    <x v="85"/>
    <n v="0"/>
  </r>
  <r>
    <x v="86"/>
    <n v="639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403197"/>
  </r>
  <r>
    <x v="97"/>
    <n v="442649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39396"/>
  </r>
  <r>
    <x v="28"/>
    <n v="0"/>
  </r>
  <r>
    <x v="107"/>
    <n v="0"/>
  </r>
  <r>
    <x v="108"/>
    <n v="0"/>
  </r>
  <r>
    <x v="109"/>
    <n v="0"/>
  </r>
  <r>
    <x v="110"/>
    <n v="577165"/>
  </r>
  <r>
    <x v="111"/>
    <n v="536243"/>
  </r>
  <r>
    <x v="112"/>
    <n v="0"/>
  </r>
  <r>
    <x v="107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2"/>
  </r>
  <r>
    <x v="120"/>
    <n v="0"/>
  </r>
  <r>
    <x v="121"/>
    <n v="2"/>
  </r>
  <r>
    <x v="122"/>
    <n v="0"/>
  </r>
  <r>
    <x v="123"/>
    <n v="2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61"/>
    <n v="5749"/>
  </r>
  <r>
    <x v="61"/>
    <n v="153"/>
  </r>
  <r>
    <x v="58"/>
    <n v="0"/>
  </r>
  <r>
    <x v="62"/>
    <n v="2876871"/>
  </r>
  <r>
    <x v="137"/>
    <n v="27173"/>
  </r>
  <r>
    <x v="138"/>
    <n v="9771"/>
  </r>
  <r>
    <x v="139"/>
    <n v="0"/>
  </r>
  <r>
    <x v="140"/>
    <n v="62433"/>
  </r>
  <r>
    <x v="141"/>
    <n v="240"/>
  </r>
  <r>
    <x v="142"/>
    <n v="0"/>
  </r>
  <r>
    <x v="143"/>
    <n v="5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639"/>
  </r>
  <r>
    <x v="152"/>
    <n v="1"/>
  </r>
  <r>
    <x v="153"/>
    <n v="0"/>
  </r>
  <r>
    <x v="154"/>
    <n v="0"/>
  </r>
  <r>
    <x v="155"/>
    <n v="0"/>
  </r>
  <r>
    <x v="156"/>
    <n v="0"/>
  </r>
  <r>
    <x v="157"/>
    <n v="0"/>
  </r>
  <r>
    <x v="158"/>
    <n v="402580"/>
  </r>
  <r>
    <x v="159"/>
    <n v="14674"/>
  </r>
  <r>
    <x v="160"/>
    <n v="579392"/>
  </r>
  <r>
    <x v="161"/>
    <n v="0"/>
  </r>
  <r>
    <x v="162"/>
    <n v="0"/>
  </r>
  <r>
    <x v="163"/>
    <n v="0"/>
  </r>
  <r>
    <x v="164"/>
    <n v="22396043"/>
  </r>
  <r>
    <x v="165"/>
    <n v="0"/>
  </r>
  <r>
    <x v="166"/>
    <n v="0"/>
  </r>
  <r>
    <x v="167"/>
    <n v="0"/>
  </r>
  <r>
    <x v="168"/>
    <n v="6428"/>
  </r>
  <r>
    <x v="26"/>
    <n v="0"/>
  </r>
  <r>
    <x v="169"/>
    <n v="0"/>
  </r>
  <r>
    <x v="112"/>
    <n v="0"/>
  </r>
  <r>
    <x v="170"/>
    <n v="0"/>
  </r>
  <r>
    <x v="171"/>
    <n v="189459"/>
  </r>
  <r>
    <x v="169"/>
    <n v="0"/>
  </r>
  <r>
    <x v="108"/>
    <n v="0"/>
  </r>
  <r>
    <x v="113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177"/>
  </r>
  <r>
    <x v="179"/>
    <n v="1"/>
  </r>
  <r>
    <x v="180"/>
    <n v="1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66206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5424"/>
  </r>
  <r>
    <x v="200"/>
    <n v="153"/>
  </r>
  <r>
    <x v="60"/>
    <n v="0"/>
  </r>
  <r>
    <x v="201"/>
    <n v="0"/>
  </r>
  <r>
    <x v="202"/>
    <n v="0"/>
  </r>
  <r>
    <x v="203"/>
    <n v="0"/>
  </r>
  <r>
    <x v="204"/>
    <n v="1"/>
  </r>
  <r>
    <x v="205"/>
    <n v="0"/>
  </r>
  <r>
    <x v="206"/>
    <n v="5125"/>
  </r>
  <r>
    <x v="207"/>
    <n v="8919"/>
  </r>
  <r>
    <x v="208"/>
    <n v="0"/>
  </r>
  <r>
    <x v="209"/>
    <n v="9771"/>
  </r>
  <r>
    <x v="210"/>
    <n v="936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2043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101"/>
    <n v="402580"/>
  </r>
  <r>
    <x v="227"/>
    <n v="5181089"/>
  </r>
  <r>
    <x v="228"/>
    <n v="0"/>
  </r>
  <r>
    <x v="229"/>
    <n v="29105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97"/>
    <n v="0"/>
  </r>
  <r>
    <x v="236"/>
    <n v="0"/>
  </r>
  <r>
    <x v="237"/>
    <n v="0"/>
  </r>
  <r>
    <x v="238"/>
    <n v="0"/>
  </r>
  <r>
    <x v="239"/>
    <n v="11776783"/>
  </r>
  <r>
    <x v="240"/>
    <n v="0"/>
  </r>
  <r>
    <x v="241"/>
    <n v="0"/>
  </r>
  <r>
    <x v="242"/>
    <n v="0"/>
  </r>
  <r>
    <x v="243"/>
    <n v="4776291"/>
  </r>
  <r>
    <x v="244"/>
    <n v="0"/>
  </r>
  <r>
    <x v="170"/>
    <n v="0"/>
  </r>
  <r>
    <x v="245"/>
    <n v="0"/>
  </r>
  <r>
    <x v="246"/>
    <n v="960"/>
  </r>
  <r>
    <x v="246"/>
    <n v="0"/>
  </r>
  <r>
    <x v="29"/>
    <n v="0"/>
  </r>
  <r>
    <x v="247"/>
    <n v="0"/>
  </r>
  <r>
    <x v="248"/>
    <n v="0"/>
  </r>
  <r>
    <x v="249"/>
    <n v="0"/>
  </r>
  <r>
    <x v="112"/>
    <n v="0"/>
  </r>
  <r>
    <x v="250"/>
    <n v="0"/>
  </r>
  <r>
    <x v="248"/>
    <n v="0"/>
  </r>
  <r>
    <x v="251"/>
    <n v="141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59"/>
    <n v="10719297"/>
  </r>
  <r>
    <x v="271"/>
    <n v="0"/>
  </r>
  <r>
    <x v="272"/>
    <n v="0"/>
  </r>
  <r>
    <x v="273"/>
    <n v="0"/>
  </r>
  <r>
    <x v="274"/>
    <n v="0"/>
  </r>
  <r>
    <x v="275"/>
    <n v="0"/>
  </r>
  <r>
    <x v="276"/>
    <n v="240"/>
  </r>
  <r>
    <x v="277"/>
    <n v="0"/>
  </r>
  <r>
    <x v="278"/>
    <n v="0"/>
  </r>
  <r>
    <x v="279"/>
    <n v="0"/>
  </r>
  <r>
    <x v="280"/>
    <n v="0"/>
  </r>
  <r>
    <x v="281"/>
    <n v="0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16"/>
    <n v="0"/>
  </r>
  <r>
    <x v="292"/>
    <n v="0"/>
  </r>
  <r>
    <x v="293"/>
    <n v="0"/>
  </r>
  <r>
    <x v="294"/>
    <n v="0"/>
  </r>
  <r>
    <x v="295"/>
    <n v="1124091"/>
  </r>
  <r>
    <x v="296"/>
    <n v="19568"/>
  </r>
  <r>
    <x v="297"/>
    <n v="0"/>
  </r>
  <r>
    <x v="298"/>
    <n v="19"/>
  </r>
  <r>
    <x v="299"/>
    <n v="0"/>
  </r>
  <r>
    <x v="300"/>
    <n v="0"/>
  </r>
  <r>
    <x v="96"/>
    <n v="0"/>
  </r>
  <r>
    <x v="301"/>
    <n v="0"/>
  </r>
  <r>
    <x v="302"/>
    <n v="11861178"/>
  </r>
  <r>
    <x v="303"/>
    <n v="0"/>
  </r>
  <r>
    <x v="304"/>
    <n v="0"/>
  </r>
  <r>
    <x v="305"/>
    <n v="0"/>
  </r>
  <r>
    <x v="306"/>
    <n v="1335452"/>
  </r>
  <r>
    <x v="307"/>
    <n v="0"/>
  </r>
  <r>
    <x v="308"/>
    <n v="0"/>
  </r>
  <r>
    <x v="309"/>
    <n v="1"/>
  </r>
  <r>
    <x v="24"/>
    <n v="0"/>
  </r>
  <r>
    <x v="25"/>
    <n v="0"/>
  </r>
  <r>
    <x v="111"/>
    <n v="0"/>
  </r>
  <r>
    <x v="109"/>
    <n v="0"/>
  </r>
  <r>
    <x v="310"/>
    <n v="0"/>
  </r>
  <r>
    <x v="249"/>
    <n v="0"/>
  </r>
  <r>
    <x v="311"/>
    <n v="0"/>
  </r>
  <r>
    <x v="113"/>
    <n v="0"/>
  </r>
  <r>
    <x v="171"/>
    <n v="3808639"/>
  </r>
  <r>
    <x v="111"/>
    <n v="10047011"/>
  </r>
  <r>
    <x v="169"/>
    <n v="0"/>
  </r>
  <r>
    <x v="245"/>
    <n v="0"/>
  </r>
  <r>
    <x v="25"/>
    <n v="0"/>
  </r>
  <r>
    <x v="249"/>
    <n v="0"/>
  </r>
  <r>
    <x v="250"/>
    <n v="0"/>
  </r>
  <r>
    <x v="312"/>
    <n v="0"/>
  </r>
  <r>
    <x v="313"/>
    <n v="2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200"/>
    <n v="81723"/>
  </r>
  <r>
    <x v="60"/>
    <n v="0"/>
  </r>
  <r>
    <x v="327"/>
    <n v="0"/>
  </r>
  <r>
    <x v="328"/>
    <n v="0"/>
  </r>
  <r>
    <x v="329"/>
    <n v="0"/>
  </r>
  <r>
    <x v="330"/>
    <n v="8906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100"/>
  </r>
  <r>
    <x v="339"/>
    <n v="0"/>
  </r>
  <r>
    <x v="340"/>
    <n v="2043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349"/>
    <n v="0"/>
  </r>
  <r>
    <x v="350"/>
    <n v="640"/>
  </r>
  <r>
    <x v="351"/>
    <n v="0"/>
  </r>
  <r>
    <x v="352"/>
    <n v="0"/>
  </r>
  <r>
    <x v="353"/>
    <n v="0"/>
  </r>
  <r>
    <x v="354"/>
    <n v="0"/>
  </r>
  <r>
    <x v="355"/>
    <n v="0"/>
  </r>
  <r>
    <x v="356"/>
    <n v="0"/>
  </r>
  <r>
    <x v="357"/>
    <n v="26515"/>
  </r>
  <r>
    <x v="358"/>
    <n v="566074"/>
  </r>
  <r>
    <x v="359"/>
    <n v="0"/>
  </r>
  <r>
    <x v="8"/>
    <n v="0"/>
  </r>
  <r>
    <x v="360"/>
    <n v="0"/>
  </r>
  <r>
    <x v="361"/>
    <n v="0"/>
  </r>
  <r>
    <x v="362"/>
    <n v="0"/>
  </r>
  <r>
    <x v="363"/>
    <n v="0"/>
  </r>
  <r>
    <x v="364"/>
    <n v="1500586"/>
  </r>
  <r>
    <x v="365"/>
    <n v="0"/>
  </r>
  <r>
    <x v="366"/>
    <n v="0"/>
  </r>
  <r>
    <x v="367"/>
    <n v="0"/>
  </r>
  <r>
    <x v="27"/>
    <n v="0"/>
  </r>
  <r>
    <x v="248"/>
    <n v="0"/>
  </r>
  <r>
    <x v="250"/>
    <n v="0"/>
  </r>
  <r>
    <x v="110"/>
    <n v="0"/>
  </r>
  <r>
    <x v="368"/>
    <n v="0"/>
  </r>
  <r>
    <x v="369"/>
    <n v="0"/>
  </r>
  <r>
    <x v="28"/>
    <n v="10047011"/>
  </r>
  <r>
    <x v="369"/>
    <n v="0"/>
  </r>
  <r>
    <x v="370"/>
    <n v="0"/>
  </r>
  <r>
    <x v="371"/>
    <n v="0"/>
  </r>
  <r>
    <x v="372"/>
    <n v="0"/>
  </r>
  <r>
    <x v="373"/>
    <n v="0"/>
  </r>
  <r>
    <x v="374"/>
    <n v="0"/>
  </r>
  <r>
    <x v="375"/>
    <n v="0"/>
  </r>
  <r>
    <x v="376"/>
    <n v="3"/>
  </r>
  <r>
    <x v="377"/>
    <n v="0"/>
  </r>
  <r>
    <x v="378"/>
    <n v="2"/>
  </r>
  <r>
    <x v="379"/>
    <n v="0"/>
  </r>
  <r>
    <x v="380"/>
    <n v="0"/>
  </r>
  <r>
    <x v="381"/>
    <n v="0"/>
  </r>
  <r>
    <x v="382"/>
    <n v="0"/>
  </r>
  <r>
    <x v="383"/>
    <n v="0"/>
  </r>
  <r>
    <x v="384"/>
    <n v="0"/>
  </r>
  <r>
    <x v="385"/>
    <n v="0"/>
  </r>
  <r>
    <x v="386"/>
    <n v="0"/>
  </r>
  <r>
    <x v="387"/>
    <n v="0"/>
  </r>
  <r>
    <x v="388"/>
    <n v="0"/>
  </r>
  <r>
    <x v="389"/>
    <n v="0"/>
  </r>
  <r>
    <x v="390"/>
    <n v="0"/>
  </r>
  <r>
    <x v="58"/>
    <n v="0"/>
  </r>
  <r>
    <x v="391"/>
    <n v="0"/>
  </r>
  <r>
    <x v="391"/>
    <n v="0"/>
  </r>
  <r>
    <x v="392"/>
    <n v="0"/>
  </r>
  <r>
    <x v="393"/>
    <n v="0"/>
  </r>
  <r>
    <x v="394"/>
    <n v="0"/>
  </r>
  <r>
    <x v="395"/>
    <n v="6759"/>
  </r>
  <r>
    <x v="396"/>
    <n v="336"/>
  </r>
  <r>
    <x v="397"/>
    <n v="0"/>
  </r>
  <r>
    <x v="398"/>
    <n v="5392"/>
  </r>
  <r>
    <x v="399"/>
    <n v="9761"/>
  </r>
  <r>
    <x v="400"/>
    <n v="0"/>
  </r>
  <r>
    <x v="401"/>
    <n v="9035"/>
  </r>
  <r>
    <x v="402"/>
    <n v="0"/>
  </r>
  <r>
    <x v="403"/>
    <n v="0"/>
  </r>
  <r>
    <x v="404"/>
    <n v="0"/>
  </r>
  <r>
    <x v="405"/>
    <n v="0"/>
  </r>
  <r>
    <x v="406"/>
    <n v="0"/>
  </r>
  <r>
    <x v="407"/>
    <n v="0"/>
  </r>
  <r>
    <x v="408"/>
    <n v="639"/>
  </r>
  <r>
    <x v="409"/>
    <n v="639"/>
  </r>
  <r>
    <x v="410"/>
    <n v="640"/>
  </r>
  <r>
    <x v="411"/>
    <n v="0"/>
  </r>
  <r>
    <x v="412"/>
    <n v="0"/>
  </r>
  <r>
    <x v="413"/>
    <n v="0"/>
  </r>
  <r>
    <x v="414"/>
    <n v="0"/>
  </r>
  <r>
    <x v="415"/>
    <n v="566074"/>
  </r>
  <r>
    <x v="416"/>
    <n v="0"/>
  </r>
  <r>
    <x v="417"/>
    <n v="0"/>
  </r>
  <r>
    <x v="418"/>
    <n v="20"/>
  </r>
  <r>
    <x v="419"/>
    <n v="0"/>
  </r>
  <r>
    <x v="420"/>
    <n v="0"/>
  </r>
  <r>
    <x v="421"/>
    <n v="0"/>
  </r>
  <r>
    <x v="422"/>
    <n v="957"/>
  </r>
  <r>
    <x v="357"/>
    <n v="0"/>
  </r>
  <r>
    <x v="423"/>
    <n v="0"/>
  </r>
  <r>
    <x v="424"/>
    <n v="0"/>
  </r>
  <r>
    <x v="425"/>
    <n v="0"/>
  </r>
  <r>
    <x v="426"/>
    <n v="5678877"/>
  </r>
  <r>
    <x v="427"/>
    <n v="0"/>
  </r>
  <r>
    <x v="428"/>
    <n v="0"/>
  </r>
  <r>
    <x v="429"/>
    <n v="0"/>
  </r>
  <r>
    <x v="430"/>
    <n v="0"/>
  </r>
  <r>
    <x v="431"/>
    <n v="0"/>
  </r>
  <r>
    <x v="432"/>
    <n v="458084"/>
  </r>
  <r>
    <x v="433"/>
    <n v="1989"/>
  </r>
  <r>
    <x v="434"/>
    <n v="87387"/>
  </r>
  <r>
    <x v="435"/>
    <n v="7"/>
  </r>
  <r>
    <x v="370"/>
    <n v="0"/>
  </r>
  <r>
    <x v="436"/>
    <n v="0"/>
  </r>
  <r>
    <x v="27"/>
    <n v="0"/>
  </r>
  <r>
    <x v="107"/>
    <n v="0"/>
  </r>
  <r>
    <x v="108"/>
    <n v="0"/>
  </r>
  <r>
    <x v="26"/>
    <n v="0"/>
  </r>
  <r>
    <x v="245"/>
    <n v="0"/>
  </r>
  <r>
    <x v="29"/>
    <n v="0"/>
  </r>
  <r>
    <x v="437"/>
    <n v="282"/>
  </r>
  <r>
    <x v="438"/>
    <n v="0"/>
  </r>
  <r>
    <x v="439"/>
    <n v="0"/>
  </r>
  <r>
    <x v="440"/>
    <n v="141"/>
  </r>
  <r>
    <x v="441"/>
    <n v="0"/>
  </r>
  <r>
    <x v="442"/>
    <n v="0"/>
  </r>
  <r>
    <x v="443"/>
    <n v="0"/>
  </r>
  <r>
    <x v="444"/>
    <n v="94"/>
  </r>
  <r>
    <x v="445"/>
    <n v="0"/>
  </r>
  <r>
    <x v="191"/>
    <n v="4"/>
  </r>
  <r>
    <x v="446"/>
    <n v="0"/>
  </r>
  <r>
    <x v="447"/>
    <n v="0"/>
  </r>
  <r>
    <x v="448"/>
    <n v="0"/>
  </r>
  <r>
    <x v="449"/>
    <n v="0"/>
  </r>
  <r>
    <x v="450"/>
    <n v="0"/>
  </r>
  <r>
    <x v="451"/>
    <n v="0"/>
  </r>
  <r>
    <x v="452"/>
    <n v="0"/>
  </r>
  <r>
    <x v="453"/>
    <n v="0"/>
  </r>
  <r>
    <x v="454"/>
    <n v="1043431"/>
  </r>
  <r>
    <x v="455"/>
    <n v="0"/>
  </r>
  <r>
    <x v="456"/>
    <n v="0"/>
  </r>
  <r>
    <x v="457"/>
    <n v="0"/>
  </r>
  <r>
    <x v="458"/>
    <n v="0"/>
  </r>
  <r>
    <x v="459"/>
    <n v="0"/>
  </r>
  <r>
    <x v="460"/>
    <n v="0"/>
  </r>
  <r>
    <x v="461"/>
    <n v="0"/>
  </r>
  <r>
    <x v="462"/>
    <n v="0"/>
  </r>
  <r>
    <x v="59"/>
    <n v="2505"/>
  </r>
  <r>
    <x v="463"/>
    <n v="27173"/>
  </r>
  <r>
    <x v="464"/>
    <n v="36262"/>
  </r>
  <r>
    <x v="465"/>
    <n v="18178"/>
  </r>
  <r>
    <x v="466"/>
    <n v="10125"/>
  </r>
  <r>
    <x v="467"/>
    <n v="1"/>
  </r>
  <r>
    <x v="468"/>
    <n v="0"/>
  </r>
  <r>
    <x v="469"/>
    <n v="8919"/>
  </r>
  <r>
    <x v="470"/>
    <n v="160"/>
  </r>
  <r>
    <x v="471"/>
    <n v="0"/>
  </r>
  <r>
    <x v="472"/>
    <n v="0"/>
  </r>
  <r>
    <x v="473"/>
    <n v="0"/>
  </r>
  <r>
    <x v="474"/>
    <n v="0"/>
  </r>
  <r>
    <x v="475"/>
    <n v="0"/>
  </r>
  <r>
    <x v="476"/>
    <n v="0"/>
  </r>
  <r>
    <x v="477"/>
    <n v="0"/>
  </r>
  <r>
    <x v="478"/>
    <n v="0"/>
  </r>
  <r>
    <x v="479"/>
    <n v="0"/>
  </r>
  <r>
    <x v="480"/>
    <n v="0"/>
  </r>
  <r>
    <x v="481"/>
    <n v="0"/>
  </r>
  <r>
    <x v="482"/>
    <n v="0"/>
  </r>
  <r>
    <x v="102"/>
    <n v="0"/>
  </r>
  <r>
    <x v="483"/>
    <n v="0"/>
  </r>
  <r>
    <x v="484"/>
    <n v="0"/>
  </r>
  <r>
    <x v="485"/>
    <n v="22074"/>
  </r>
  <r>
    <x v="486"/>
    <n v="0"/>
  </r>
  <r>
    <x v="487"/>
    <n v="42"/>
  </r>
  <r>
    <x v="158"/>
    <n v="0"/>
  </r>
  <r>
    <x v="159"/>
    <n v="0"/>
  </r>
  <r>
    <x v="488"/>
    <n v="0"/>
  </r>
  <r>
    <x v="489"/>
    <n v="0"/>
  </r>
  <r>
    <x v="490"/>
    <n v="0"/>
  </r>
  <r>
    <x v="491"/>
    <n v="0"/>
  </r>
  <r>
    <x v="369"/>
    <n v="0"/>
  </r>
  <r>
    <x v="171"/>
    <n v="0"/>
  </r>
  <r>
    <x v="310"/>
    <n v="0"/>
  </r>
  <r>
    <x v="109"/>
    <n v="0"/>
  </r>
  <r>
    <x v="310"/>
    <n v="0"/>
  </r>
  <r>
    <x v="170"/>
    <n v="0"/>
  </r>
  <r>
    <x v="110"/>
    <n v="20969"/>
  </r>
  <r>
    <x v="311"/>
    <n v="0"/>
  </r>
  <r>
    <x v="311"/>
    <n v="0"/>
  </r>
  <r>
    <x v="370"/>
    <n v="0"/>
  </r>
  <r>
    <x v="492"/>
    <n v="0"/>
  </r>
  <r>
    <x v="493"/>
    <n v="2"/>
  </r>
  <r>
    <x v="494"/>
    <n v="0"/>
  </r>
  <r>
    <x v="495"/>
    <n v="0"/>
  </r>
  <r>
    <x v="496"/>
    <n v="0"/>
  </r>
  <r>
    <x v="497"/>
    <n v="2"/>
  </r>
  <r>
    <x v="498"/>
    <n v="2"/>
  </r>
  <r>
    <x v="499"/>
    <n v="2"/>
  </r>
  <r>
    <x v="500"/>
    <n v="2"/>
  </r>
  <r>
    <x v="501"/>
    <n v="0"/>
  </r>
  <r>
    <x v="502"/>
    <n v="0"/>
  </r>
  <r>
    <x v="503"/>
    <n v="116"/>
  </r>
  <r>
    <x v="504"/>
    <n v="0"/>
  </r>
  <r>
    <x v="505"/>
    <n v="0"/>
  </r>
  <r>
    <x v="506"/>
    <n v="0"/>
  </r>
  <r>
    <x v="507"/>
    <n v="0"/>
  </r>
  <r>
    <x v="508"/>
    <n v="0"/>
  </r>
  <r>
    <x v="509"/>
    <n v="0"/>
  </r>
  <r>
    <x v="391"/>
    <n v="0"/>
  </r>
  <r>
    <x v="62"/>
    <n v="1010576"/>
  </r>
  <r>
    <x v="510"/>
    <n v="0"/>
  </r>
  <r>
    <x v="511"/>
    <n v="0"/>
  </r>
  <r>
    <x v="512"/>
    <n v="0"/>
  </r>
  <r>
    <x v="513"/>
    <n v="0"/>
  </r>
  <r>
    <x v="514"/>
    <n v="68663"/>
  </r>
  <r>
    <x v="515"/>
    <n v="0"/>
  </r>
  <r>
    <x v="516"/>
    <n v="0"/>
  </r>
  <r>
    <x v="517"/>
    <n v="0"/>
  </r>
  <r>
    <x v="518"/>
    <n v="9068"/>
  </r>
  <r>
    <x v="519"/>
    <n v="0"/>
  </r>
  <r>
    <x v="520"/>
    <n v="0"/>
  </r>
  <r>
    <x v="521"/>
    <n v="0"/>
  </r>
  <r>
    <x v="522"/>
    <n v="0"/>
  </r>
  <r>
    <x v="523"/>
    <n v="0"/>
  </r>
  <r>
    <x v="524"/>
    <n v="0"/>
  </r>
  <r>
    <x v="525"/>
    <n v="2043"/>
  </r>
  <r>
    <x v="526"/>
    <n v="4129"/>
  </r>
  <r>
    <x v="527"/>
    <n v="0"/>
  </r>
  <r>
    <x v="528"/>
    <n v="2041"/>
  </r>
  <r>
    <x v="529"/>
    <n v="0"/>
  </r>
  <r>
    <x v="530"/>
    <n v="0"/>
  </r>
  <r>
    <x v="531"/>
    <n v="0"/>
  </r>
  <r>
    <x v="532"/>
    <n v="0"/>
  </r>
  <r>
    <x v="533"/>
    <n v="0"/>
  </r>
  <r>
    <x v="534"/>
    <n v="0"/>
  </r>
  <r>
    <x v="535"/>
    <n v="0"/>
  </r>
  <r>
    <x v="536"/>
    <n v="640"/>
  </r>
  <r>
    <x v="537"/>
    <n v="0"/>
  </r>
  <r>
    <x v="538"/>
    <n v="0"/>
  </r>
  <r>
    <x v="539"/>
    <n v="0"/>
  </r>
  <r>
    <x v="540"/>
    <n v="0"/>
  </r>
  <r>
    <x v="541"/>
    <n v="0"/>
  </r>
  <r>
    <x v="54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x v="0"/>
    <n v="0"/>
  </r>
  <r>
    <x v="1"/>
    <n v="82946"/>
  </r>
  <r>
    <x v="2"/>
    <n v="0"/>
  </r>
  <r>
    <x v="3"/>
    <n v="51160"/>
  </r>
  <r>
    <x v="4"/>
    <n v="51333"/>
  </r>
  <r>
    <x v="5"/>
    <n v="654395"/>
  </r>
  <r>
    <x v="6"/>
    <n v="0"/>
  </r>
  <r>
    <x v="7"/>
    <n v="0"/>
  </r>
  <r>
    <x v="8"/>
    <n v="892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20453457"/>
  </r>
  <r>
    <x v="16"/>
    <n v="0"/>
  </r>
  <r>
    <x v="17"/>
    <n v="0"/>
  </r>
  <r>
    <x v="18"/>
    <n v="0"/>
  </r>
  <r>
    <x v="19"/>
    <n v="0"/>
  </r>
  <r>
    <x v="20"/>
    <n v="6460"/>
  </r>
  <r>
    <x v="21"/>
    <n v="4"/>
  </r>
  <r>
    <x v="22"/>
    <n v="0"/>
  </r>
  <r>
    <x v="23"/>
    <n v="14432815"/>
  </r>
  <r>
    <x v="24"/>
    <n v="3808639"/>
  </r>
  <r>
    <x v="25"/>
    <n v="0"/>
  </r>
  <r>
    <x v="26"/>
    <n v="0"/>
  </r>
  <r>
    <x v="23"/>
    <n v="746671"/>
  </r>
  <r>
    <x v="27"/>
    <n v="0"/>
  </r>
  <r>
    <x v="24"/>
    <n v="189459"/>
  </r>
  <r>
    <x v="28"/>
    <n v="536243"/>
  </r>
  <r>
    <x v="29"/>
    <n v="0"/>
  </r>
  <r>
    <x v="30"/>
    <n v="0"/>
  </r>
  <r>
    <x v="31"/>
    <n v="2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14725"/>
  </r>
  <r>
    <x v="44"/>
    <n v="0"/>
  </r>
  <r>
    <x v="45"/>
    <n v="59"/>
  </r>
  <r>
    <x v="46"/>
    <n v="263763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2452593"/>
  </r>
  <r>
    <x v="60"/>
    <n v="0"/>
  </r>
  <r>
    <x v="61"/>
    <n v="83386"/>
  </r>
  <r>
    <x v="62"/>
    <n v="1903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9034"/>
  </r>
  <r>
    <x v="72"/>
    <n v="0"/>
  </r>
  <r>
    <x v="73"/>
    <n v="9782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2043"/>
  </r>
  <r>
    <x v="81"/>
    <n v="0"/>
  </r>
  <r>
    <x v="82"/>
    <n v="0"/>
  </r>
  <r>
    <x v="83"/>
    <n v="0"/>
  </r>
  <r>
    <x v="84"/>
    <n v="0"/>
  </r>
  <r>
    <x v="85"/>
    <n v="0"/>
  </r>
  <r>
    <x v="86"/>
    <n v="639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403197"/>
  </r>
  <r>
    <x v="97"/>
    <n v="442649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39396"/>
  </r>
  <r>
    <x v="28"/>
    <n v="0"/>
  </r>
  <r>
    <x v="107"/>
    <n v="0"/>
  </r>
  <r>
    <x v="108"/>
    <n v="0"/>
  </r>
  <r>
    <x v="109"/>
    <n v="0"/>
  </r>
  <r>
    <x v="110"/>
    <n v="577165"/>
  </r>
  <r>
    <x v="111"/>
    <n v="536243"/>
  </r>
  <r>
    <x v="112"/>
    <n v="0"/>
  </r>
  <r>
    <x v="107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2"/>
  </r>
  <r>
    <x v="120"/>
    <n v="0"/>
  </r>
  <r>
    <x v="121"/>
    <n v="2"/>
  </r>
  <r>
    <x v="122"/>
    <n v="0"/>
  </r>
  <r>
    <x v="123"/>
    <n v="2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61"/>
    <n v="5749"/>
  </r>
  <r>
    <x v="61"/>
    <n v="153"/>
  </r>
  <r>
    <x v="58"/>
    <n v="0"/>
  </r>
  <r>
    <x v="62"/>
    <n v="2876871"/>
  </r>
  <r>
    <x v="137"/>
    <n v="27173"/>
  </r>
  <r>
    <x v="138"/>
    <n v="9771"/>
  </r>
  <r>
    <x v="139"/>
    <n v="0"/>
  </r>
  <r>
    <x v="140"/>
    <n v="62433"/>
  </r>
  <r>
    <x v="141"/>
    <n v="240"/>
  </r>
  <r>
    <x v="142"/>
    <n v="0"/>
  </r>
  <r>
    <x v="143"/>
    <n v="5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639"/>
  </r>
  <r>
    <x v="152"/>
    <n v="1"/>
  </r>
  <r>
    <x v="153"/>
    <n v="0"/>
  </r>
  <r>
    <x v="154"/>
    <n v="0"/>
  </r>
  <r>
    <x v="155"/>
    <n v="0"/>
  </r>
  <r>
    <x v="156"/>
    <n v="0"/>
  </r>
  <r>
    <x v="157"/>
    <n v="0"/>
  </r>
  <r>
    <x v="158"/>
    <n v="402580"/>
  </r>
  <r>
    <x v="159"/>
    <n v="14674"/>
  </r>
  <r>
    <x v="160"/>
    <n v="579392"/>
  </r>
  <r>
    <x v="161"/>
    <n v="0"/>
  </r>
  <r>
    <x v="162"/>
    <n v="0"/>
  </r>
  <r>
    <x v="163"/>
    <n v="0"/>
  </r>
  <r>
    <x v="164"/>
    <n v="22396043"/>
  </r>
  <r>
    <x v="165"/>
    <n v="0"/>
  </r>
  <r>
    <x v="166"/>
    <n v="0"/>
  </r>
  <r>
    <x v="167"/>
    <n v="0"/>
  </r>
  <r>
    <x v="168"/>
    <n v="6428"/>
  </r>
  <r>
    <x v="26"/>
    <n v="0"/>
  </r>
  <r>
    <x v="169"/>
    <n v="0"/>
  </r>
  <r>
    <x v="112"/>
    <n v="0"/>
  </r>
  <r>
    <x v="170"/>
    <n v="0"/>
  </r>
  <r>
    <x v="171"/>
    <n v="189459"/>
  </r>
  <r>
    <x v="169"/>
    <n v="0"/>
  </r>
  <r>
    <x v="108"/>
    <n v="0"/>
  </r>
  <r>
    <x v="113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177"/>
  </r>
  <r>
    <x v="179"/>
    <n v="1"/>
  </r>
  <r>
    <x v="180"/>
    <n v="1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66206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5424"/>
  </r>
  <r>
    <x v="200"/>
    <n v="153"/>
  </r>
  <r>
    <x v="60"/>
    <n v="0"/>
  </r>
  <r>
    <x v="201"/>
    <n v="0"/>
  </r>
  <r>
    <x v="202"/>
    <n v="0"/>
  </r>
  <r>
    <x v="203"/>
    <n v="0"/>
  </r>
  <r>
    <x v="204"/>
    <n v="1"/>
  </r>
  <r>
    <x v="205"/>
    <n v="0"/>
  </r>
  <r>
    <x v="206"/>
    <n v="5125"/>
  </r>
  <r>
    <x v="207"/>
    <n v="8919"/>
  </r>
  <r>
    <x v="208"/>
    <n v="0"/>
  </r>
  <r>
    <x v="209"/>
    <n v="9771"/>
  </r>
  <r>
    <x v="210"/>
    <n v="936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2043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101"/>
    <n v="402580"/>
  </r>
  <r>
    <x v="227"/>
    <n v="5181089"/>
  </r>
  <r>
    <x v="228"/>
    <n v="0"/>
  </r>
  <r>
    <x v="229"/>
    <n v="29105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97"/>
    <n v="0"/>
  </r>
  <r>
    <x v="236"/>
    <n v="0"/>
  </r>
  <r>
    <x v="237"/>
    <n v="0"/>
  </r>
  <r>
    <x v="238"/>
    <n v="0"/>
  </r>
  <r>
    <x v="239"/>
    <n v="11776783"/>
  </r>
  <r>
    <x v="240"/>
    <n v="0"/>
  </r>
  <r>
    <x v="241"/>
    <n v="0"/>
  </r>
  <r>
    <x v="242"/>
    <n v="0"/>
  </r>
  <r>
    <x v="243"/>
    <n v="4776291"/>
  </r>
  <r>
    <x v="244"/>
    <n v="0"/>
  </r>
  <r>
    <x v="170"/>
    <n v="0"/>
  </r>
  <r>
    <x v="245"/>
    <n v="0"/>
  </r>
  <r>
    <x v="246"/>
    <n v="960"/>
  </r>
  <r>
    <x v="246"/>
    <n v="0"/>
  </r>
  <r>
    <x v="29"/>
    <n v="0"/>
  </r>
  <r>
    <x v="247"/>
    <n v="0"/>
  </r>
  <r>
    <x v="248"/>
    <n v="0"/>
  </r>
  <r>
    <x v="249"/>
    <n v="0"/>
  </r>
  <r>
    <x v="112"/>
    <n v="0"/>
  </r>
  <r>
    <x v="250"/>
    <n v="0"/>
  </r>
  <r>
    <x v="248"/>
    <n v="0"/>
  </r>
  <r>
    <x v="251"/>
    <n v="141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59"/>
    <n v="10719297"/>
  </r>
  <r>
    <x v="271"/>
    <n v="0"/>
  </r>
  <r>
    <x v="272"/>
    <n v="0"/>
  </r>
  <r>
    <x v="273"/>
    <n v="0"/>
  </r>
  <r>
    <x v="274"/>
    <n v="0"/>
  </r>
  <r>
    <x v="275"/>
    <n v="0"/>
  </r>
  <r>
    <x v="276"/>
    <n v="240"/>
  </r>
  <r>
    <x v="277"/>
    <n v="0"/>
  </r>
  <r>
    <x v="278"/>
    <n v="0"/>
  </r>
  <r>
    <x v="279"/>
    <n v="0"/>
  </r>
  <r>
    <x v="280"/>
    <n v="0"/>
  </r>
  <r>
    <x v="281"/>
    <n v="0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16"/>
    <n v="0"/>
  </r>
  <r>
    <x v="292"/>
    <n v="0"/>
  </r>
  <r>
    <x v="293"/>
    <n v="0"/>
  </r>
  <r>
    <x v="294"/>
    <n v="0"/>
  </r>
  <r>
    <x v="295"/>
    <n v="1124091"/>
  </r>
  <r>
    <x v="296"/>
    <n v="19568"/>
  </r>
  <r>
    <x v="297"/>
    <n v="0"/>
  </r>
  <r>
    <x v="298"/>
    <n v="19"/>
  </r>
  <r>
    <x v="299"/>
    <n v="0"/>
  </r>
  <r>
    <x v="300"/>
    <n v="0"/>
  </r>
  <r>
    <x v="96"/>
    <n v="0"/>
  </r>
  <r>
    <x v="301"/>
    <n v="0"/>
  </r>
  <r>
    <x v="302"/>
    <n v="11861178"/>
  </r>
  <r>
    <x v="303"/>
    <n v="0"/>
  </r>
  <r>
    <x v="304"/>
    <n v="0"/>
  </r>
  <r>
    <x v="305"/>
    <n v="0"/>
  </r>
  <r>
    <x v="306"/>
    <n v="1335452"/>
  </r>
  <r>
    <x v="307"/>
    <n v="0"/>
  </r>
  <r>
    <x v="308"/>
    <n v="0"/>
  </r>
  <r>
    <x v="309"/>
    <n v="1"/>
  </r>
  <r>
    <x v="24"/>
    <n v="0"/>
  </r>
  <r>
    <x v="25"/>
    <n v="0"/>
  </r>
  <r>
    <x v="111"/>
    <n v="0"/>
  </r>
  <r>
    <x v="109"/>
    <n v="0"/>
  </r>
  <r>
    <x v="310"/>
    <n v="0"/>
  </r>
  <r>
    <x v="249"/>
    <n v="0"/>
  </r>
  <r>
    <x v="311"/>
    <n v="0"/>
  </r>
  <r>
    <x v="113"/>
    <n v="0"/>
  </r>
  <r>
    <x v="171"/>
    <n v="3808639"/>
  </r>
  <r>
    <x v="111"/>
    <n v="10047011"/>
  </r>
  <r>
    <x v="169"/>
    <n v="0"/>
  </r>
  <r>
    <x v="245"/>
    <n v="0"/>
  </r>
  <r>
    <x v="25"/>
    <n v="0"/>
  </r>
  <r>
    <x v="249"/>
    <n v="0"/>
  </r>
  <r>
    <x v="250"/>
    <n v="0"/>
  </r>
  <r>
    <x v="312"/>
    <n v="0"/>
  </r>
  <r>
    <x v="313"/>
    <n v="2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200"/>
    <n v="81723"/>
  </r>
  <r>
    <x v="60"/>
    <n v="0"/>
  </r>
  <r>
    <x v="327"/>
    <n v="0"/>
  </r>
  <r>
    <x v="328"/>
    <n v="0"/>
  </r>
  <r>
    <x v="329"/>
    <n v="0"/>
  </r>
  <r>
    <x v="330"/>
    <n v="8906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100"/>
  </r>
  <r>
    <x v="339"/>
    <n v="0"/>
  </r>
  <r>
    <x v="340"/>
    <n v="2043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349"/>
    <n v="0"/>
  </r>
  <r>
    <x v="350"/>
    <n v="640"/>
  </r>
  <r>
    <x v="351"/>
    <n v="0"/>
  </r>
  <r>
    <x v="352"/>
    <n v="0"/>
  </r>
  <r>
    <x v="353"/>
    <n v="0"/>
  </r>
  <r>
    <x v="354"/>
    <n v="0"/>
  </r>
  <r>
    <x v="355"/>
    <n v="0"/>
  </r>
  <r>
    <x v="356"/>
    <n v="0"/>
  </r>
  <r>
    <x v="357"/>
    <n v="26515"/>
  </r>
  <r>
    <x v="358"/>
    <n v="566074"/>
  </r>
  <r>
    <x v="359"/>
    <n v="0"/>
  </r>
  <r>
    <x v="8"/>
    <n v="0"/>
  </r>
  <r>
    <x v="360"/>
    <n v="0"/>
  </r>
  <r>
    <x v="361"/>
    <n v="0"/>
  </r>
  <r>
    <x v="362"/>
    <n v="0"/>
  </r>
  <r>
    <x v="363"/>
    <n v="0"/>
  </r>
  <r>
    <x v="364"/>
    <n v="1500586"/>
  </r>
  <r>
    <x v="365"/>
    <n v="0"/>
  </r>
  <r>
    <x v="366"/>
    <n v="0"/>
  </r>
  <r>
    <x v="367"/>
    <n v="0"/>
  </r>
  <r>
    <x v="27"/>
    <n v="0"/>
  </r>
  <r>
    <x v="248"/>
    <n v="0"/>
  </r>
  <r>
    <x v="250"/>
    <n v="0"/>
  </r>
  <r>
    <x v="110"/>
    <n v="0"/>
  </r>
  <r>
    <x v="368"/>
    <n v="0"/>
  </r>
  <r>
    <x v="369"/>
    <n v="0"/>
  </r>
  <r>
    <x v="28"/>
    <n v="10047011"/>
  </r>
  <r>
    <x v="369"/>
    <n v="0"/>
  </r>
  <r>
    <x v="370"/>
    <n v="0"/>
  </r>
  <r>
    <x v="371"/>
    <n v="0"/>
  </r>
  <r>
    <x v="372"/>
    <n v="0"/>
  </r>
  <r>
    <x v="373"/>
    <n v="0"/>
  </r>
  <r>
    <x v="374"/>
    <n v="0"/>
  </r>
  <r>
    <x v="375"/>
    <n v="0"/>
  </r>
  <r>
    <x v="376"/>
    <n v="3"/>
  </r>
  <r>
    <x v="377"/>
    <n v="0"/>
  </r>
  <r>
    <x v="378"/>
    <n v="2"/>
  </r>
  <r>
    <x v="379"/>
    <n v="0"/>
  </r>
  <r>
    <x v="380"/>
    <n v="0"/>
  </r>
  <r>
    <x v="381"/>
    <n v="0"/>
  </r>
  <r>
    <x v="382"/>
    <n v="0"/>
  </r>
  <r>
    <x v="383"/>
    <n v="0"/>
  </r>
  <r>
    <x v="384"/>
    <n v="0"/>
  </r>
  <r>
    <x v="385"/>
    <n v="0"/>
  </r>
  <r>
    <x v="386"/>
    <n v="0"/>
  </r>
  <r>
    <x v="387"/>
    <n v="0"/>
  </r>
  <r>
    <x v="388"/>
    <n v="0"/>
  </r>
  <r>
    <x v="389"/>
    <n v="0"/>
  </r>
  <r>
    <x v="390"/>
    <n v="0"/>
  </r>
  <r>
    <x v="58"/>
    <n v="0"/>
  </r>
  <r>
    <x v="391"/>
    <n v="0"/>
  </r>
  <r>
    <x v="391"/>
    <n v="0"/>
  </r>
  <r>
    <x v="392"/>
    <n v="0"/>
  </r>
  <r>
    <x v="393"/>
    <n v="0"/>
  </r>
  <r>
    <x v="394"/>
    <n v="0"/>
  </r>
  <r>
    <x v="395"/>
    <n v="6759"/>
  </r>
  <r>
    <x v="396"/>
    <n v="336"/>
  </r>
  <r>
    <x v="397"/>
    <n v="0"/>
  </r>
  <r>
    <x v="398"/>
    <n v="5392"/>
  </r>
  <r>
    <x v="399"/>
    <n v="9761"/>
  </r>
  <r>
    <x v="400"/>
    <n v="0"/>
  </r>
  <r>
    <x v="401"/>
    <n v="9035"/>
  </r>
  <r>
    <x v="402"/>
    <n v="0"/>
  </r>
  <r>
    <x v="403"/>
    <n v="0"/>
  </r>
  <r>
    <x v="404"/>
    <n v="0"/>
  </r>
  <r>
    <x v="405"/>
    <n v="0"/>
  </r>
  <r>
    <x v="406"/>
    <n v="0"/>
  </r>
  <r>
    <x v="407"/>
    <n v="0"/>
  </r>
  <r>
    <x v="408"/>
    <n v="639"/>
  </r>
  <r>
    <x v="409"/>
    <n v="639"/>
  </r>
  <r>
    <x v="410"/>
    <n v="640"/>
  </r>
  <r>
    <x v="411"/>
    <n v="0"/>
  </r>
  <r>
    <x v="412"/>
    <n v="0"/>
  </r>
  <r>
    <x v="413"/>
    <n v="0"/>
  </r>
  <r>
    <x v="414"/>
    <n v="0"/>
  </r>
  <r>
    <x v="415"/>
    <n v="566074"/>
  </r>
  <r>
    <x v="416"/>
    <n v="0"/>
  </r>
  <r>
    <x v="417"/>
    <n v="0"/>
  </r>
  <r>
    <x v="418"/>
    <n v="20"/>
  </r>
  <r>
    <x v="419"/>
    <n v="0"/>
  </r>
  <r>
    <x v="420"/>
    <n v="0"/>
  </r>
  <r>
    <x v="421"/>
    <n v="0"/>
  </r>
  <r>
    <x v="422"/>
    <n v="957"/>
  </r>
  <r>
    <x v="357"/>
    <n v="0"/>
  </r>
  <r>
    <x v="423"/>
    <n v="0"/>
  </r>
  <r>
    <x v="424"/>
    <n v="0"/>
  </r>
  <r>
    <x v="425"/>
    <n v="0"/>
  </r>
  <r>
    <x v="426"/>
    <n v="5678877"/>
  </r>
  <r>
    <x v="427"/>
    <n v="0"/>
  </r>
  <r>
    <x v="428"/>
    <n v="0"/>
  </r>
  <r>
    <x v="429"/>
    <n v="0"/>
  </r>
  <r>
    <x v="430"/>
    <n v="0"/>
  </r>
  <r>
    <x v="431"/>
    <n v="0"/>
  </r>
  <r>
    <x v="432"/>
    <n v="458084"/>
  </r>
  <r>
    <x v="433"/>
    <n v="1989"/>
  </r>
  <r>
    <x v="434"/>
    <n v="87387"/>
  </r>
  <r>
    <x v="435"/>
    <n v="7"/>
  </r>
  <r>
    <x v="370"/>
    <n v="0"/>
  </r>
  <r>
    <x v="436"/>
    <n v="0"/>
  </r>
  <r>
    <x v="27"/>
    <n v="0"/>
  </r>
  <r>
    <x v="107"/>
    <n v="0"/>
  </r>
  <r>
    <x v="108"/>
    <n v="0"/>
  </r>
  <r>
    <x v="26"/>
    <n v="0"/>
  </r>
  <r>
    <x v="245"/>
    <n v="0"/>
  </r>
  <r>
    <x v="29"/>
    <n v="0"/>
  </r>
  <r>
    <x v="437"/>
    <n v="282"/>
  </r>
  <r>
    <x v="438"/>
    <n v="0"/>
  </r>
  <r>
    <x v="439"/>
    <n v="0"/>
  </r>
  <r>
    <x v="440"/>
    <n v="141"/>
  </r>
  <r>
    <x v="441"/>
    <n v="0"/>
  </r>
  <r>
    <x v="442"/>
    <n v="0"/>
  </r>
  <r>
    <x v="443"/>
    <n v="0"/>
  </r>
  <r>
    <x v="444"/>
    <n v="94"/>
  </r>
  <r>
    <x v="445"/>
    <n v="0"/>
  </r>
  <r>
    <x v="191"/>
    <n v="4"/>
  </r>
  <r>
    <x v="446"/>
    <n v="0"/>
  </r>
  <r>
    <x v="447"/>
    <n v="0"/>
  </r>
  <r>
    <x v="448"/>
    <n v="0"/>
  </r>
  <r>
    <x v="449"/>
    <n v="0"/>
  </r>
  <r>
    <x v="450"/>
    <n v="0"/>
  </r>
  <r>
    <x v="451"/>
    <n v="0"/>
  </r>
  <r>
    <x v="452"/>
    <n v="0"/>
  </r>
  <r>
    <x v="453"/>
    <n v="0"/>
  </r>
  <r>
    <x v="454"/>
    <n v="1043431"/>
  </r>
  <r>
    <x v="455"/>
    <n v="0"/>
  </r>
  <r>
    <x v="456"/>
    <n v="0"/>
  </r>
  <r>
    <x v="457"/>
    <n v="0"/>
  </r>
  <r>
    <x v="458"/>
    <n v="0"/>
  </r>
  <r>
    <x v="459"/>
    <n v="0"/>
  </r>
  <r>
    <x v="460"/>
    <n v="0"/>
  </r>
  <r>
    <x v="461"/>
    <n v="0"/>
  </r>
  <r>
    <x v="462"/>
    <n v="0"/>
  </r>
  <r>
    <x v="59"/>
    <n v="2505"/>
  </r>
  <r>
    <x v="463"/>
    <n v="27173"/>
  </r>
  <r>
    <x v="464"/>
    <n v="36262"/>
  </r>
  <r>
    <x v="465"/>
    <n v="18178"/>
  </r>
  <r>
    <x v="466"/>
    <n v="10125"/>
  </r>
  <r>
    <x v="467"/>
    <n v="1"/>
  </r>
  <r>
    <x v="468"/>
    <n v="0"/>
  </r>
  <r>
    <x v="469"/>
    <n v="8919"/>
  </r>
  <r>
    <x v="470"/>
    <n v="160"/>
  </r>
  <r>
    <x v="471"/>
    <n v="0"/>
  </r>
  <r>
    <x v="472"/>
    <n v="0"/>
  </r>
  <r>
    <x v="473"/>
    <n v="0"/>
  </r>
  <r>
    <x v="474"/>
    <n v="0"/>
  </r>
  <r>
    <x v="475"/>
    <n v="0"/>
  </r>
  <r>
    <x v="476"/>
    <n v="0"/>
  </r>
  <r>
    <x v="477"/>
    <n v="0"/>
  </r>
  <r>
    <x v="478"/>
    <n v="0"/>
  </r>
  <r>
    <x v="479"/>
    <n v="0"/>
  </r>
  <r>
    <x v="480"/>
    <n v="0"/>
  </r>
  <r>
    <x v="481"/>
    <n v="0"/>
  </r>
  <r>
    <x v="482"/>
    <n v="0"/>
  </r>
  <r>
    <x v="102"/>
    <n v="0"/>
  </r>
  <r>
    <x v="483"/>
    <n v="0"/>
  </r>
  <r>
    <x v="484"/>
    <n v="0"/>
  </r>
  <r>
    <x v="485"/>
    <n v="22074"/>
  </r>
  <r>
    <x v="486"/>
    <n v="0"/>
  </r>
  <r>
    <x v="487"/>
    <n v="42"/>
  </r>
  <r>
    <x v="158"/>
    <n v="0"/>
  </r>
  <r>
    <x v="159"/>
    <n v="0"/>
  </r>
  <r>
    <x v="488"/>
    <n v="0"/>
  </r>
  <r>
    <x v="489"/>
    <n v="0"/>
  </r>
  <r>
    <x v="490"/>
    <n v="0"/>
  </r>
  <r>
    <x v="491"/>
    <n v="0"/>
  </r>
  <r>
    <x v="369"/>
    <n v="0"/>
  </r>
  <r>
    <x v="171"/>
    <n v="0"/>
  </r>
  <r>
    <x v="310"/>
    <n v="0"/>
  </r>
  <r>
    <x v="109"/>
    <n v="0"/>
  </r>
  <r>
    <x v="310"/>
    <n v="0"/>
  </r>
  <r>
    <x v="170"/>
    <n v="0"/>
  </r>
  <r>
    <x v="110"/>
    <n v="20969"/>
  </r>
  <r>
    <x v="311"/>
    <n v="0"/>
  </r>
  <r>
    <x v="311"/>
    <n v="0"/>
  </r>
  <r>
    <x v="370"/>
    <n v="0"/>
  </r>
  <r>
    <x v="492"/>
    <n v="0"/>
  </r>
  <r>
    <x v="493"/>
    <n v="2"/>
  </r>
  <r>
    <x v="494"/>
    <n v="0"/>
  </r>
  <r>
    <x v="495"/>
    <n v="0"/>
  </r>
  <r>
    <x v="496"/>
    <n v="0"/>
  </r>
  <r>
    <x v="497"/>
    <n v="2"/>
  </r>
  <r>
    <x v="498"/>
    <n v="2"/>
  </r>
  <r>
    <x v="499"/>
    <n v="2"/>
  </r>
  <r>
    <x v="500"/>
    <n v="2"/>
  </r>
  <r>
    <x v="501"/>
    <n v="0"/>
  </r>
  <r>
    <x v="502"/>
    <n v="0"/>
  </r>
  <r>
    <x v="503"/>
    <n v="116"/>
  </r>
  <r>
    <x v="504"/>
    <n v="0"/>
  </r>
  <r>
    <x v="505"/>
    <n v="0"/>
  </r>
  <r>
    <x v="506"/>
    <n v="0"/>
  </r>
  <r>
    <x v="507"/>
    <n v="0"/>
  </r>
  <r>
    <x v="508"/>
    <n v="0"/>
  </r>
  <r>
    <x v="509"/>
    <n v="0"/>
  </r>
  <r>
    <x v="391"/>
    <n v="0"/>
  </r>
  <r>
    <x v="62"/>
    <n v="1010576"/>
  </r>
  <r>
    <x v="510"/>
    <n v="0"/>
  </r>
  <r>
    <x v="511"/>
    <n v="0"/>
  </r>
  <r>
    <x v="512"/>
    <n v="0"/>
  </r>
  <r>
    <x v="513"/>
    <n v="0"/>
  </r>
  <r>
    <x v="514"/>
    <n v="68663"/>
  </r>
  <r>
    <x v="515"/>
    <n v="0"/>
  </r>
  <r>
    <x v="516"/>
    <n v="0"/>
  </r>
  <r>
    <x v="517"/>
    <n v="0"/>
  </r>
  <r>
    <x v="518"/>
    <n v="9068"/>
  </r>
  <r>
    <x v="519"/>
    <n v="0"/>
  </r>
  <r>
    <x v="520"/>
    <n v="0"/>
  </r>
  <r>
    <x v="521"/>
    <n v="0"/>
  </r>
  <r>
    <x v="522"/>
    <n v="0"/>
  </r>
  <r>
    <x v="523"/>
    <n v="0"/>
  </r>
  <r>
    <x v="524"/>
    <n v="0"/>
  </r>
  <r>
    <x v="525"/>
    <n v="2043"/>
  </r>
  <r>
    <x v="526"/>
    <n v="4129"/>
  </r>
  <r>
    <x v="527"/>
    <n v="0"/>
  </r>
  <r>
    <x v="528"/>
    <n v="2041"/>
  </r>
  <r>
    <x v="529"/>
    <n v="0"/>
  </r>
  <r>
    <x v="530"/>
    <n v="0"/>
  </r>
  <r>
    <x v="531"/>
    <n v="0"/>
  </r>
  <r>
    <x v="532"/>
    <n v="0"/>
  </r>
  <r>
    <x v="533"/>
    <n v="0"/>
  </r>
  <r>
    <x v="534"/>
    <n v="0"/>
  </r>
  <r>
    <x v="535"/>
    <n v="0"/>
  </r>
  <r>
    <x v="536"/>
    <n v="640"/>
  </r>
  <r>
    <x v="537"/>
    <n v="0"/>
  </r>
  <r>
    <x v="538"/>
    <n v="0"/>
  </r>
  <r>
    <x v="539"/>
    <n v="0"/>
  </r>
  <r>
    <x v="540"/>
    <n v="0"/>
  </r>
  <r>
    <x v="541"/>
    <n v="0"/>
  </r>
  <r>
    <x v="5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5CA4F-FD91-4EE3-B391-E92D36430937}" name="PivotTable5" cacheId="1" applyNumberFormats="0" applyBorderFormats="0" applyFontFormats="0" applyPatternFormats="0" applyAlignmentFormats="0" applyWidthHeightFormats="1" dataCaption="Values" grandTotalCaption="GrandTotal" updatedVersion="8" minRefreshableVersion="3" useAutoFormatting="1" itemPrintTitles="1" createdVersion="8" indent="0" outline="1" outlineData="1" multipleFieldFilters="0" rowHeaderCaption="Table Name">
  <location ref="A1:B545" firstHeaderRow="1" firstDataRow="1" firstDataCol="1"/>
  <pivotFields count="2">
    <pivotField axis="axisRow" showAll="0">
      <items count="545">
        <item n="PS_AP_ARC_BCH_XR_H" x="417"/>
        <item n="PS_AP_ARC_DIST_L_H" x="295"/>
        <item n="PS_AP_ARC_DIST_N_H" x="483"/>
        <item n="PS_AP_ARC_EXP_DL_H" x="0"/>
        <item n="PS_AP_ARC_PY_MSG_H" x="418"/>
        <item n="PS_AP_ARC_PYM_AD_H" x="97"/>
        <item n="PS_AP_ARC_PYM_RC_H" x="96"/>
        <item n="PS_AP_ARC_PYM_TB_H" x="158"/>
        <item n="PS_AP_ARC_PYM_WT_H" x="296"/>
        <item n="PS_AP_ARC_PYM_XR_H" x="160"/>
        <item n="PS_AP_ARC_VCH_AC_H" x="227"/>
        <item n="PS_AP_ARC_VCH_DO_H" x="228"/>
        <item n="PS_AP_ARC_VCH_FR_H" x="229"/>
        <item n="PS_AP_ARC_VCH_HP_H" x="419"/>
        <item n="PS_AP_ARC_VCH_LN_H" x="5"/>
        <item n="PS_AP_ARC_VCH_MS_H" x="297"/>
        <item n="PS_AP_ARC_VCH_RM_H" x="98"/>
        <item n="PS_AP_ARC_VCH_ST_H" x="3"/>
        <item n="PS_AP_ARC_VCH_TG_H" x="484"/>
        <item n="PS_AP_ARC_VCH_TX_H" x="230"/>
        <item n="PS_AP_ARC_VCH_UT_H" x="4"/>
        <item n="PS_AP_ARC_VCH_VB_H" x="416"/>
        <item n="PS_AP_ARC_VCH_VI_H" x="231"/>
        <item n="PS_AP_ARC_VCH_VN_H" x="294"/>
        <item n="PS_AP_ARC_VCH_WT_H" x="485"/>
        <item n="PS_AP_ARC_VCHL_E_H" x="2"/>
        <item n="PS_AP_ARC_VCHL_M_H" x="1"/>
        <item n="PS_AP_ARC_VOUCH_H" x="358"/>
        <item n="PS_AP_PYMT_AUD_ARC" x="216"/>
        <item n="PS_AP_SUPPRES_H_XX" x="102"/>
        <item n="PS_AP_VCHR_AUD_ARC" x="93"/>
        <item n="PS_APVCH_DSPL_H_XX" x="99"/>
        <item n="PS_APYX18_IFC_H_XX" x="161"/>
        <item n="PS_APYX42_IFC_H_XX" x="100"/>
        <item n="PS_AR_820RMNF_XX_H" x="305"/>
        <item n="PS_AR_820RMSG_XX_H" x="366"/>
        <item n="PS_AR_ACTION_LST_H" x="103"/>
        <item n="PS_AR_CCTRN_HDR_H" x="12"/>
        <item n="PS_AR_CCTRN_TBL_H" x="301"/>
        <item n="PS_AR_DEP_CONTRL_H" x="106"/>
        <item n="PS_AR_EE_DJR_ACT_H" x="242"/>
        <item n="PS_AR_EE_ITACTLN_H" x="238"/>
        <item n="PS_AR_FORMATT_XX_H" x="236"/>
        <item n="PS_AR_FORMHDR_XX_H" x="361"/>
        <item n="PS_AR_FORMMAR_XX_H" x="14"/>
        <item n="PS_AR_FORMNAR_XX_H" x="11"/>
        <item n="PS_AR_FORMRAR_XX_H" x="307"/>
        <item n="PS_AR_FORMTAR_XX_H" x="21"/>
        <item n="PS_AR_FORMTMP_XX_H" x="10"/>
        <item n="PS_AR_FRMATTD_XX_H" x="360"/>
        <item n="PS_AR_FRMLIN1_XX_H" x="488"/>
        <item n="PS_AR_FRMLIN2_XX_H" x="9"/>
        <item n="PS_AR_FRMLIN3_XX_H" x="423"/>
        <item n="PS_AR_FRMLIN4_XX_H" x="237"/>
        <item n="PS_AR_FRMMAR1_XX_H" x="428"/>
        <item n="PS_AR_FRMMAR2_XX_H" x="363"/>
        <item n="PS_AR_FRMRAR1_XX_H" x="244"/>
        <item n="PS_AR_FRMRARB_XX_H" x="19"/>
        <item n="PS_AR_FRMTAR1_XX_H" x="309"/>
        <item n="PS_AR_FRMXREF_XX_H" x="435"/>
        <item n="PS_AR_GROUP_CNTL_H" x="364"/>
        <item n="PS_AR_IPAC_DET_H" x="424"/>
        <item n="PS_AR_IPAC_HDR_H" x="425"/>
        <item n="PS_AR_IPAC_SGL_H" x="104"/>
        <item n="PS_AR_ITEM_DST_H" x="164"/>
        <item n="PS_AR_ITEM_H" x="426"/>
        <item n="PS_AR_ITM_ACTTAX_H" x="162"/>
        <item n="PS_AR_ITM_ACTVAT_H" x="362"/>
        <item n="PS_AR_ITM_ACTVTY_H" x="302"/>
        <item n="PS_AR_ITM_ACTXDT_H" x="13"/>
        <item n="PS_AR_ITMAGNG_XX_H" x="303"/>
        <item n="PS_AR_ITMDSP_XX_H" x="163"/>
        <item n="PS_AR_ITMNOTE_XX_H" x="427"/>
        <item n="PS_AR_PAY_ID_CUS_H" x="432"/>
        <item n="PS_AR_PAY_ID_ITM_H" x="243"/>
        <item n="PS_AR_PAY_IT_MRL_H" x="367"/>
        <item n="PS_AR_PAY_ITEM_H" x="167"/>
        <item n="PS_AR_PAY_MIS_DS_H" x="433"/>
        <item n="PS_AR_PAYMENT_H" x="306"/>
        <item n="PS_AR_PEND_DST_H" x="15"/>
        <item n="PS_AR_PEND_IT_MR_H" x="16"/>
        <item n="PS_AR_PEND_ITM_H" x="239"/>
        <item n="PS_AR_PEND_TAX_H" x="429"/>
        <item n="PS_AR_PEND_TX_DT_H" x="430"/>
        <item n="PS_AR_PEND_VAT_H" x="17"/>
        <item n="PS_AR_PO_DTL_XX_H" x="431"/>
        <item n="PS_AR_PO_EML_XX_H" x="240"/>
        <item n="PS_AR_PO_FLDS_XX_H" x="18"/>
        <item n="PS_AR_PO_PRNT_XX_H" x="365"/>
        <item n="PS_AR_PO_PRTF_XX_H" x="490"/>
        <item n="PS_AR_PO_SEQ_XX_H" x="241"/>
        <item n="PS_AR_PO_TOT_XX_H" x="165"/>
        <item n="PS_AR_PO_WORK_XX_H" x="105"/>
        <item n="PS_AR_PO_XX_H" x="491"/>
        <item n="PS_AR_POKEYS_XX_H" x="304"/>
        <item n="PS_AR_STMT_CUS_H" x="168"/>
        <item n="PS_AR_STMT_CUSBD_H" x="308"/>
        <item n="PS_AR_STMT_CUSDT_H" x="434"/>
        <item n="PS_AR_STMT_CUST_H" x="20"/>
        <item n="PS_ASET_ITMATR_HXX" x="345"/>
        <item n="PS_BANK_BAL_H_XX" x="192"/>
        <item n="PS_BANK_NON_PD_HXX" x="194"/>
        <item n="PS_BANK_SDSTMT_HXX" x="506"/>
        <item n="PS_BANK_STMT_H_XX" x="46"/>
        <item n="PS_BEN_PRGPRTC_HXX" x="82"/>
        <item n="PS_BI_HDR_TMP_XX_H" x="190"/>
        <item n="PS_BI_LN_TMP_XX_H" x="454"/>
        <item n="PS_BIACCTENTRY_HXX" x="23"/>
        <item n="PS_BIADJHSTX_H_XX" x="246"/>
        <item n="PS_BIALLTAXX_H_XX" x="27"/>
        <item n="PS_BICBIVCHDR_H_XX" x="368"/>
        <item n="PS_BICBIVCLIN_H_XX" x="22"/>
        <item n="PS_BIEXTCIIDS_H_XX" x="247"/>
        <item n="PS_BIHDR_H_XX" x="171"/>
        <item n="PS_BIHDRAR_H_XX" x="24"/>
        <item n="PS_BIHDRCRCARD_HXX" x="25"/>
        <item n="PS_BIHDRNOTE_H_XX" x="248"/>
        <item n="PS_BIHDRVAT_H_XX" x="311"/>
        <item n="PS_BIHDRX_H_XX" x="370"/>
        <item n="PS_BILINE_H_XX" x="111"/>
        <item n="PS_BILINEX_H_XX" x="113"/>
        <item n="PS_BILNDSDFR_H_XX" x="310"/>
        <item n="PS_BILNDSDTL_H_XX" x="249"/>
        <item n="PS_BILNDSDTLX_H_XX" x="108"/>
        <item n="PS_BILNDSLVL_H_XX" x="170"/>
        <item n="PS_BILNDST_H_XX" x="28"/>
        <item n="PS_BILNDSTAR_H_XX" x="26"/>
        <item n="PS_BILNDSTDFR_H_XX" x="109"/>
        <item n="PS_BILNDSTUAR_H_XX" x="169"/>
        <item n="PS_BILNIUEXP_H_XX" x="112"/>
        <item n="PS_BILNIUPAY_H_XX" x="250"/>
        <item n="PS_BILNNOTE_H_XX" x="107"/>
        <item n="PS_BILNTAX_H_XX" x="245"/>
        <item n="PS_BILNTAXDTL_H_XX" x="110"/>
        <item n="PS_BIPCITRCKX_H_XX" x="30"/>
        <item n="PS_BIRELCMPX_H_XX" x="31"/>
        <item n="PS_BIX24DSTMPX_HXX" x="369"/>
        <item n="PS_BNK_EXCP_H_XX" x="43"/>
        <item n="PS_BNK_SDBAL_H_XX" x="384"/>
        <item n="PS_BNK_SMT_HDR_HXX" x="45"/>
        <item n="PS_BSP_FIL_INF_HXX" x="461"/>
        <item n="PS_CA_ACCTG_LINE_H" x="172"/>
        <item n="PS_CA_ACCTG_LN_P_H" x="437"/>
        <item n="PS_CA_ACCTG_LN_T_H" x="492"/>
        <item n="PS_CA_ACCTPLAN_H" x="493"/>
        <item n="PS_CA_ACCTPLN_LA_H" x="173"/>
        <item n="PS_CA_AP_DFR_H" x="114"/>
        <item n="PS_CA_AP_DST_H" x="494"/>
        <item n="PS_CA_AP_EVENT_D_H" x="438"/>
        <item n="PS_CA_AP_EVENT_H" x="371"/>
        <item n="PS_CA_AP_EVT_CHG_H" x="115"/>
        <item n="PS_CA_AP_FEE_ADJ_H" x="495"/>
        <item n="PS_CA_AP_FEE_WS_H" x="439"/>
        <item n="PS_CA_AP_PC_DFR_H" x="116"/>
        <item n="PS_CA_AP_PC_DST_H" x="251"/>
        <item n="PS_CA_AP_PC_UAR_H" x="440"/>
        <item n="PS_CA_AP_SCHEDUL_H" x="496"/>
        <item n="PS_CA_AP_TXN_DST_H" x="252"/>
        <item n="PS_CA_AP_TXN_UAR_H" x="174"/>
        <item n="PS_CA_AP_UAR_H" x="372"/>
        <item n="PS_CA_ATTACHMENT_H" x="253"/>
        <item n="PS_CA_BIL_PLN_XX_H" x="498"/>
        <item n="PS_CA_BILL_PLAN_H" x="497"/>
        <item n="PS_CA_BILLPLN_LA_H" x="254"/>
        <item n="PS_CA_BONUS_PENL_H" x="117"/>
        <item n="PS_CA_BP_CDATAXX_H" x="373"/>
        <item n="PS_CA_BP_EV_AMXX_H" x="118"/>
        <item n="PS_CA_BP_EVENTS_H" x="32"/>
        <item n="PS_CA_BP_EVT_CHG_H" x="255"/>
        <item n="PS_CA_BP_EVT_LN_H" x="441"/>
        <item n="PS_CA_BP_FEE_ADJ_H" x="442"/>
        <item n="PS_CA_BP_FEE_WS_H" x="175"/>
        <item n="PS_CA_BP_LINES_H" x="312"/>
        <item n="PS_CA_BP_NOTE_H" x="374"/>
        <item n="PS_CA_BP_SCHEDUL_H" x="443"/>
        <item n="PS_CA_BP_XREF_H" x="444"/>
        <item n="PS_CA_CHG_DTL_H" x="176"/>
        <item n="PS_CA_CHG_HDR_H" x="499"/>
        <item n="PS_CA_CONTR_HDR_H" x="500"/>
        <item n="PS_CA_DETAIL_APP_H" x="314"/>
        <item n="PS_CA_DETAIL_DC_H" x="177"/>
        <item n="PS_CA_DETAIL_DFR_H" x="33"/>
        <item n="PS_CA_DETAIL_DST_H" x="375"/>
        <item n="PS_CA_DETAIL_H" x="313"/>
        <item n="PS_CA_DETAIL_LAN_H" x="315"/>
        <item n="PS_CA_DETAIL_PRI_H" x="34"/>
        <item n="PS_CA_DETAIL_PRO_H" x="191"/>
        <item n="PS_CA_DETAIL_RED_H" x="446"/>
        <item n="PS_CA_DETAIL_UAR_H" x="376"/>
        <item n="PS_CA_DST_ERR_H" x="377"/>
        <item n="PS_CA_DTL_DST_DA_H" x="119"/>
        <item n="PS_CA_DTL_RED_DA_H" x="35"/>
        <item n="PS_CA_EARLY_OPTI_H" x="256"/>
        <item n="PS_CA_EMAIL_CON2_H" x="316"/>
        <item n="PS_CA_EMAIL_CONT_H" x="447"/>
        <item n="PS_CA_FC_MAIN_H" x="36"/>
        <item n="PS_CA_FC_STG_RUN_H" x="120"/>
        <item n="PS_CA_HDR_AE_ACC_H" x="449"/>
        <item n="PS_CA_HDR_COMM_H" x="502"/>
        <item n="PS_CA_HDR_DC_H" x="445"/>
        <item n="PS_CA_HDR_REDUCT_H" x="378"/>
        <item n="PS_CA_HDREV_RED_H" x="121"/>
        <item n="PS_CA_HDRRED_LAN_H" x="448"/>
        <item n="PS_CA_HREVRED_LG_H" x="501"/>
        <item n="PS_CA_INVTRKH_XX_H" x="503"/>
        <item n="PS_CA_INVTRKL_XX_H" x="178"/>
        <item n="PS_CA_IVC_PRT_XX_H" x="179"/>
        <item n="PS_CA_LMT_FEE_DT_H" x="180"/>
        <item n="PS_CA_LMT_TXN_H" x="257"/>
        <item n="PS_CA_LMT_TXN_LG_H" x="379"/>
        <item n="PS_CA_LN_REDUCTS_H" x="258"/>
        <item n="PS_CA_LNRED_LANG_H" x="37"/>
        <item n="PS_CA_LNREV_RED_H" x="181"/>
        <item n="PS_CA_LREVRED_LG_H" x="380"/>
        <item n="PS_CA_MILESTONE_H" x="317"/>
        <item n="PS_CA_MS_COND_H" x="122"/>
        <item n="PS_CA_NOTE_DETAI_H" x="259"/>
        <item n="PS_CA_NOTE_H" x="450"/>
        <item n="PS_CA_NOTE_TRANS_H" x="182"/>
        <item n="PS_CA_OPP_TYP_XX_H" x="183"/>
        <item n="PS_CA_OPRID_CONT_H" x="38"/>
        <item n="PS_CA_PGP_COSTS_H" x="504"/>
        <item n="PS_CA_PGP_PROJ_H" x="184"/>
        <item n="PS_CA_PGP_TERMS_H" x="451"/>
        <item n="PS_CA_PGP_WKS_H" x="185"/>
        <item n="PS_CA_PREPAID_AU_H" x="260"/>
        <item n="PS_CA_PREPAID_PR_H" x="452"/>
        <item n="PS_CA_PREPAID_TB_H" x="318"/>
        <item n="PS_CA_PROJ_SUMMA_H" x="39"/>
        <item n="PS_CA_RATE_H" x="123"/>
        <item n="PS_CA_RECON_BI_H" x="124"/>
        <item n="PS_CA_RECON_REV_H" x="319"/>
        <item n="PS_CA_RECON_SUM_H" x="125"/>
        <item n="PS_CA_RNW_APPLIE_H" x="187"/>
        <item n="PS_CA_RNW_LN_LIN_H" x="126"/>
        <item n="PS_CA_RNW_LN_RDS_H" x="188"/>
        <item n="PS_CA_RNW_LN_RED_H" x="40"/>
        <item n="PS_CA_RNWLNRE_LG_H" x="381"/>
        <item n="PS_CA_RNWLNRR_LG_H" x="186"/>
        <item n="PS_CA_SUPPORT_TE_H" x="382"/>
        <item n="PS_CA_WTH_REL_LA_H" x="505"/>
        <item n="PS_CA_WTH_RELEAS_H" x="189"/>
        <item n="PS_CA_WTH_TERMS_H" x="261"/>
        <item n="PS_CA_WTH_TRM_LA_H" x="453"/>
        <item n="PS_CASH_FLW_TR_HXX" x="193"/>
        <item n="PS_CDMAUTHIST_H_XX" x="78"/>
        <item n="PS_CDMFILELIS_H_XX" x="526"/>
        <item n="PS_CDMLISTHIS_H_XX" x="79"/>
        <item n="PS_CMMTS_TBL_H_XX" x="344"/>
        <item n="PS_CNTR_BUDSTB_HXX" x="151"/>
        <item n="PS_CNTR_EVTVCH_HXX" x="87"/>
        <item n="PS_CNTR_HDRRLS_HXX" x="350"/>
        <item n="PS_CNTR_LN_UOM_HXX" x="88"/>
        <item n="PS_CNTR_LNRLS_HXX" x="409"/>
        <item n="PS_CNTR_RLS_LN_HXX" x="476"/>
        <item n="PS_CNTR_RLSDTL_HXX" x="351"/>
        <item n="PS_CNTR_RLSHDR_HXX" x="352"/>
        <item n="PS_CNTR_RLSTBL_HXX" x="475"/>
        <item n="PS_CNTR_SCHDL_H_XX" x="410"/>
        <item n="PS_CNTRCT_DFLT_HXX" x="152"/>
        <item n="PS_CNTRCT_DSTB_HXX" x="86"/>
        <item n="PS_CNTRCT_HDR_H_XX" x="536"/>
        <item n="PS_CNTRCT_LN_H_XX" x="408"/>
        <item n="PS_CNTRCT_MLST_HXX" x="224"/>
        <item n="PS_COMMENT_TBL_HXX" x="223"/>
        <item n="PS_COMPNSTION_H_XX" x="285"/>
        <item n="PS_CSH_CST_DTL_HXX" x="41"/>
        <item n="PS_CSH_CST_SUM_HXX" x="44"/>
        <item n="PS_CUSTAGINGX_H_XX" x="95"/>
        <item n="PS_DSTRPMTXRF_H_XX" x="487"/>
        <item n="PS_EID_FILE_EX_HXX" x="53"/>
        <item n="PS_EIDFILEINVX_HXX" x="436"/>
        <item n="PS_EMAILADRS_H_XX" x="148"/>
        <item n="PS_EMPLOYMENT_H_XX" x="221"/>
        <item n="PS_EOAW_COMNTS_HXX" x="458"/>
        <item n="PS_EOAW_HISCOM_HXX" x="388"/>
        <item n="PS_EOAW_NEMSTS_HXX" x="133"/>
        <item n="PS_EOAW_SPINST_HXX" x="134"/>
        <item n="PS_EOAW_SUMDTL_HXX" x="459"/>
        <item n="PS_EOAW_SUMM_HXX" x="135"/>
        <item n="PS_EOAW_UESCAL_HXX" x="267"/>
        <item n="PS_EOAW_URINST_HXX" x="266"/>
        <item n="PS_EOAW_WL_HXX" x="265"/>
        <item n="PS_EX_ACCTG_LINE_H" x="131"/>
        <item n="PS_EX_ADV_CHK_H" x="48"/>
        <item n="PS_EX_ADV_DIST_H" x="49"/>
        <item n="PS_EX_ADV_DOCSEQ_H" x="50"/>
        <item n="PS_EX_ADV_HDR_H" x="129"/>
        <item n="PS_EX_ADV_LINE_H" x="128"/>
        <item n="PS_EX_ADV_PYMT_H" x="385"/>
        <item n="PS_EX_APRVL_HIST_H" x="457"/>
        <item n="PS_EX_ENHC_DET_H" x="132"/>
        <item n="PS_EX_ENHC_DTAMX_H" x="198"/>
        <item n="PS_EX_ENHC_SMAMX_H" x="54"/>
        <item n="PS_EX_ENHC_SUMM_H" x="387"/>
        <item n="PS_EX_ER_ATCH_H_XX" x="321"/>
        <item n="PS_EX_SHEET_ADV_H" x="130"/>
        <item n="PS_EX_SHEET_ATT_H" x="320"/>
        <item n="PS_EX_SHEET_AW_H" x="386"/>
        <item n="PS_EX_SHEET_DIST_H" x="456"/>
        <item n="PS_EX_SHEET_HDR_H" x="195"/>
        <item n="PS_EX_SHEET_LINE_H" x="51"/>
        <item n="PS_EX_SHEET_PYMT_H" x="196"/>
        <item n="PS_EX_SHT_DOCSEQ_H" x="507"/>
        <item n="PS_EX_SHT_LN_PD_H" x="52"/>
        <item n="PS_EX_SHT_NOTE_HXX" x="264"/>
        <item n="PS_EX_SHT_SPLIT_H" x="197"/>
        <item n="PS_EX_TRANS_H" x="322"/>
        <item n="PS_GL_OITEM_H" x="60"/>
        <item n="PS_GM_BUD_HDR_HXX" x="218"/>
        <item n="PS_GM_BUD_LNSM_HXX" x="529"/>
        <item n="PS_GM_BUD_PERD_HXX" x="472"/>
        <item n="PS_GM_BUDHDRXX_HXX" x="471"/>
        <item n="PS_GM_OPDTTMXX_HXX" x="282"/>
        <item n="PS_GM_OPTYDTTM_HXX" x="219"/>
        <item n="PS_GM_PMDTRSC_HXX" x="283"/>
        <item n="PS_GM_PROP_PRJ_HXX" x="81"/>
        <item n="PS_GM_PROP_XX_HXX" x="220"/>
        <item n="PS_GM_PROPCHXX_HXX" x="473"/>
        <item n="PS_GM_PROPCMMT_HXX" x="404"/>
        <item n="PS_GM_PROPOSAL_HXX" x="341"/>
        <item n="PS_GM_PROPRJXX_HXX" x="405"/>
        <item n="PS_INT_PRJACT_XX_H" x="520"/>
        <item n="PS_INTF_PROJ_RES_H" x="146"/>
        <item n="PS_INTFCBIADCMPHXX" x="127"/>
        <item n="PS_INTFCBICMP_H_XX" x="262"/>
        <item n="PS_INTFCBINTCMPHXX" x="383"/>
        <item n="PS_INV_ITEMS_H_XX" x="222"/>
        <item n="PS_INV_ITEMUOM_HXX" x="532"/>
        <item n="PS_INV_ITM_PHT_HXX" x="533"/>
        <item n="PS_ITM_VENDOR_H_XX" x="474"/>
        <item n="PS_JOB_H_XX" x="531"/>
        <item n="PS_JOB_XX_H_XX" x="83"/>
        <item n="PS_JRNL_CF_BAL_H" x="200"/>
        <item n="PS_JRNL_HDR_H" x="61"/>
        <item n="PS_JRNL_IUAC_H" x="58"/>
        <item n="PS_JRNL_LN_H" x="59"/>
        <item n="PS_JRNL_VAT_H" x="391"/>
        <item n="PS_LEDGER_H" x="62"/>
        <item n="PS_LNWTHD_UPD_H_XX" x="6"/>
        <item n="PS_MSTR_ITMTBL_HXX" x="85"/>
        <item n="PS_PAY_TRNSMT_H_XX" x="8"/>
        <item n="PS_PAYMNT_TBL_H_XX" x="101"/>
        <item n="PS_PC_ACT_IN_USE_H" x="463"/>
        <item n="PS_PC_ACT_SUM_H" x="137"/>
        <item n="PS_PC_AMRULE_ACT_H" x="138"/>
        <item n="PS_PC_AMRULE_PRJ_H" x="469"/>
        <item n="PS_PC_APTOPC_SUM_H" x="338"/>
        <item n="PS_PC_BITOPC_SUM_H" x="271"/>
        <item n="PS_PC_BUD_ACT_H" x="272"/>
        <item n="PS_PC_BUD_ALERT_H" x="201"/>
        <item n="PS_PC_BUD_DETAIL_H" x="63"/>
        <item n="PS_PC_BUD_DETLXX_H" x="202"/>
        <item n="PS_PC_BUD_DTL_XX_H" x="392"/>
        <item n="PS_PC_BUD_ITEM_H" x="510"/>
        <item n="PS_PC_BUD_ITEMXX_H" x="327"/>
        <item n="PS_PC_BUD_ITM_XX_H" x="64"/>
        <item n="PS_PC_BUD_PLAN_H" x="511"/>
        <item n="PS_PC_BUD_PLN_XX_H" x="328"/>
        <item n="PS_PC_BUD_SUM_XX_H" x="513"/>
        <item n="PS_PC_BUD_SUMRY_H" x="512"/>
        <item n="PS_PC_CHC_INFO_H" x="393"/>
        <item n="PS_PC_CHCINFO_XX_H" x="65"/>
        <item n="PS_PC_CMACCTLNXX_H" x="277"/>
        <item n="PS_PC_CMPRREPXX_H" x="66"/>
        <item n="PS_PC_CMPRSTG_XX_H" x="394"/>
        <item n="PS_PC_COM_HD_XX_H" x="141"/>
        <item n="PS_PC_COM_LN_XX_H" x="396"/>
        <item n="PS_PC_DELUTIL_RC_H" x="203"/>
        <item n="PS_PC_EMP_RES_TM_H" x="514"/>
        <item n="PS_PC_EMPPROJ_TM_H" x="464"/>
        <item n="PS_PC_EXTOPC_SUM_H" x="215"/>
        <item n="PS_PC_GLTOPC_SUM_H" x="214"/>
        <item n="PS_PC_INTFCSTGXX_H" x="147"/>
        <item n="PS_PC_OPIDPRJACT_H" x="204"/>
        <item n="PS_PC_OPIDPRJREM_H" x="329"/>
        <item n="PS_PC_PICSTS_TBL_H" x="205"/>
        <item n="PS_PC_POREF_XX_H" x="397"/>
        <item n="PS_PC_PRICE_RATE_H" x="139"/>
        <item n="PS_PC_PRJ_ACT_XX_H" x="206"/>
        <item n="PS_PC_PRJ_BRDNXX_H" x="395"/>
        <item n="PS_PC_PROJECT_XX_H" x="330"/>
        <item n="PS_PC_PROJHEALTH_H" x="140"/>
        <item n="PS_PC_RPO_H" x="67"/>
        <item n="PS_PC_UB_FDET_XX_H" x="337"/>
        <item n="PS_PC_UB_PO_XX_H" x="523"/>
        <item n="PS_PC_UPLD_CI_XX_H" x="213"/>
        <item n="PS_PC_VP_REVIEW_H" x="68"/>
        <item n="PS_PCX0013_ERRXX_H" x="278"/>
        <item n="PS_PCX0015_ERRXX_H" x="212"/>
        <item n="PS_PERS_NID_H_XX" x="343"/>
        <item n="PS_PERSDATAEF_H_XX" x="287"/>
        <item n="PS_PERSONALDA_H_XX" x="84"/>
        <item n="PS_PERSONALPH_H_XX" x="286"/>
        <item n="PS_PGM_CONVST1_XXH" x="524"/>
        <item n="PS_PGM_CONVST2_XXH" x="339"/>
        <item n="PS_PGM_MRHGRID_HXX" x="76"/>
        <item n="PS_PGM_MROVRLD_HXX" x="279"/>
        <item n="PS_PGM_PRLQLNT_HXX" x="77"/>
        <item n="PS_PGM_WRKLDST_HXX" x="403"/>
        <item n="PS_PM_ACT_STG_XX_H" x="515"/>
        <item n="PS_PM_RES_STG_XX_H" x="69"/>
        <item n="PS_PM_SPR_STG_XX_H" x="142"/>
        <item n="PS_PM_SPRASGN_XX_H" x="516"/>
        <item n="PS_PM_SPRBRDN_XX_H" x="331"/>
        <item n="PS_PM_SPRCMSN_XX_H" x="273"/>
        <item n="PS_PM_SPRCUST_XX_H" x="332"/>
        <item n="PS_PM_SPRXREF_XX_H" x="517"/>
        <item n="PS_PMT_ACK_ERR_HXX" x="323"/>
        <item n="PS_PMT_ACK_H_XX" x="55"/>
        <item n="PS_PMT_ACK_HDR_HXX" x="56"/>
        <item n="PS_PMT_ADDR_H_XX" x="508"/>
        <item n="PS_PMT_DTL_H_XX" x="268"/>
        <item n="PS_PMT_FIL_ACK_HXX" x="199"/>
        <item n="PS_PMT_FIL_DEF_HXX" x="326"/>
        <item n="PS_PMT_FIL_ERR_HXX" x="460"/>
        <item n="PS_PMT_FIL_REF_HXX" x="136"/>
        <item n="PS_PMT_INTRM_H_XX" x="462"/>
        <item n="PS_PMT_OID_STG_HXX" x="324"/>
        <item n="PS_PMT_OTHID_H_XX" x="389"/>
        <item n="PS_PMT_REF_H_XX" x="509"/>
        <item n="PS_PMT_REQ_LOG_HXX" x="325"/>
        <item n="PS_PMT_UPARTY_H_XX" x="57"/>
        <item n="PS_PMT_UPY_STG_HXX" x="269"/>
        <item n="PS_PO_APPROVAL_HXX" x="90"/>
        <item n="PS_PO_CHG_ADDR_HXX" x="477"/>
        <item n="PS_PO_CHG_HDR_H_XX" x="289"/>
        <item n="PS_PO_CHG_LN_H_XX" x="478"/>
        <item n="PS_PO_CHG_ORD_H_XX" x="537"/>
        <item n="PS_PO_CHG_SHP_H_XX" x="411"/>
        <item n="PS_PO_COMMENT_H_XX" x="479"/>
        <item n="PS_PO_DFLT_TBL_HXX" x="89"/>
        <item n="PS_PO_DFLTDSTB_HXX" x="290"/>
        <item n="PS_PO_DISPATCH_HXX" x="91"/>
        <item n="PS_PO_ER_EMSGQ_HXX" x="538"/>
        <item n="PS_PO_EST_SHIP_HXX" x="412"/>
        <item n="PS_PO_EXTRACT_XX_H" x="489"/>
        <item n="PS_PO_HDR_EMAL_HXX" x="355"/>
        <item n="PS_PO_HDR_EXS_H_XX" x="353"/>
        <item n="PS_PO_HDR_H_XX" x="354"/>
        <item n="PS_PO_HDR_VAT_H_XX" x="288"/>
        <item n="PS_PO_KEY_DTA_XX_H" x="166"/>
        <item n="PS_PO_LINE_H_XX" x="153"/>
        <item n="PS_PO_LN_DISTB_HXX" x="539"/>
        <item n="PS_PO_LN_SHIP_H_XX" x="356"/>
        <item n="PS_PO_LNSHPMCH_HXX" x="225"/>
        <item n="PS_PO_LNSHPSUT_HXX" x="291"/>
        <item n="PS_PO_RC_WB_EX_HXX" x="226"/>
        <item n="PS_PRCDISTHIS_H_XX" x="80"/>
        <item n="PS_PRCJOBSTAT_H_XX" x="280"/>
        <item n="PS_PRCPARMHIS_H_XX" x="217"/>
        <item n="PS_PRCQUEHIST_H_XX" x="525"/>
        <item n="PS_PRCRQSTFLE_H_XX" x="527"/>
        <item n="PS_PRCRQSTHIS_H_XX" x="340"/>
        <item n="PS_PRCRQSTSTR_H_XX" x="528"/>
        <item n="PS_PRCTEXTHIS_H_XX" x="470"/>
        <item n="PS_PRCTXFRHIS_H_XX" x="281"/>
        <item n="PS_PRJ_RESTMP_XX_H" x="333"/>
        <item n="PS_PRJ_TMACTDTXX_H" x="70"/>
        <item n="PS_PRJSPRDEXT_XX_H" x="274"/>
        <item n="PS_PROJ_ACT_DESC_H" x="210"/>
        <item n="PS_PROJ_ACT_LOC_H" x="143"/>
        <item n="PS_PROJ_ACT_STAT_H" x="466"/>
        <item n="PS_PROJ_ACT_TEAM_H" x="519"/>
        <item n="PS_PROJ_ACT_XX_H" x="334"/>
        <item n="PS_PROJ_ACTIVITY_H" x="209"/>
        <item n="PS_PROJ_APPROVAL_H" x="144"/>
        <item n="PS_PROJ_BIL_INFO_H" x="399"/>
        <item n="PS_PROJ_DOCUMENT_H" x="145"/>
        <item n="PS_PROJ_EV_APPRV_H" x="335"/>
        <item n="PS_PROJ_JUSTIFY_H" x="72"/>
        <item n="PS_PROJ_LOCATION_H" x="400"/>
        <item n="PS_PROJ_QUALITY_H" x="521"/>
        <item n="PS_PROJ_RES_DELT_H" x="74"/>
        <item n="PS_PROJ_RESOURCE_H" x="73"/>
        <item n="PS_PROJ_RSCTMPXX_H" x="75"/>
        <item n="PS_PROJ_SPRD_XX_H" x="336"/>
        <item n="PS_PROJ_STATUS_H" x="465"/>
        <item n="PS_PROJ_TEAMSVXX_H" x="211"/>
        <item n="PS_PROJ_TM_SCHED_H" x="401"/>
        <item n="PS_PROJECT_DESCR_H" x="398"/>
        <item n="PS_PROJECT_H" x="207"/>
        <item n="PS_PROJECT_MGR_H" x="518"/>
        <item n="PS_PROJECT_SCHED_H" x="275"/>
        <item n="PS_PROJECT_SD_H" x="208"/>
        <item n="PS_PROJECT_TEAM_H" x="71"/>
        <item n="PS_PROJECT_XX_H" x="276"/>
        <item n="PS_PSA_ORGPRJ_DF_H" x="467"/>
        <item n="PS_PURC_ITMATR_HXX" x="347"/>
        <item n="PS_PURCH_ITMBU_HXX" x="346"/>
        <item n="PS_PURGEDATA_H_XX" x="149"/>
        <item n="PS_PYMNT_ADVC_H_XX" x="357"/>
        <item n="PS_RECV_COMNT_HXX" x="154"/>
        <item n="PS_RECV_HDR_H_XX" x="480"/>
        <item n="PS_RECV_LN_SHP_HXX" x="92"/>
        <item n="PS_RECV_LNASET_HXX" x="413"/>
        <item n="PS_RECV_LNDSTB_HXX" x="155"/>
        <item n="PS_RECV_LNINSP_HXX" x="156"/>
        <item n="PS_RECV_LNSHMT_HXX" x="540"/>
        <item n="PS_REMRPRT_H_XX" x="234"/>
        <item n="PS_RS_SCHED_TASK_H" x="94"/>
        <item n="PS_RTV_ADDR_H_XX" x="406"/>
        <item n="PS_RTV_CMMNT_H_XX" x="348"/>
        <item n="PS_RTV_DSPTCH_H_XX" x="534"/>
        <item n="PS_RTV_HDR_H_XX" x="150"/>
        <item n="PS_RTV_LN_DSTB_HXX" x="535"/>
        <item n="PS_RTV_LN_FEE_H_XX" x="349"/>
        <item n="PS_RTV_LN_H_XX" x="407"/>
        <item n="PS_RVLACTG_LN_H_XX" x="235"/>
        <item n="PS_SNW_FILE_H_XX" x="390"/>
        <item n="PS_TE_EMP_HDR_H_XX" x="284"/>
        <item n="PS_TE_EMP_OBU_H_XX" x="342"/>
        <item n="PS_TE_EMP_UP_H_XX" x="530"/>
        <item n="PS_TL_RTS_ACT_XX_H" x="402"/>
        <item n="PS_TL_RTS_PRJ_XX_H" x="522"/>
        <item n="PS_TL_RTS_TRC_XX_H" x="468"/>
        <item n="PS_TLRTSACTXX_H_XX" x="541"/>
        <item n="PS_TLRTSACTXX_H_XX|deleted" m="1" x="543"/>
        <item n="PS_TLRTSPRJXX_H_XX" x="482"/>
        <item n="PS_TLRTSTRCXX_H_XX" x="414"/>
        <item n="PS_TR_AF_STL_H_XX" x="455"/>
        <item n="PS_TR_ATTACH_H_XX" x="42"/>
        <item n="PS_TR_EVNT_LOG_HXX" x="270"/>
        <item n="PS_TR_WR_DTL_H_XX" x="263"/>
        <item n="PS_TR_WR_HDR_H_XX" x="47"/>
        <item n="PS_TSE_VCHR_H_XX" x="486"/>
        <item n="PS_TSEALN_FLD_H_XX" x="420"/>
        <item n="PS_TSEPMT_FLD_H_XX" x="421"/>
        <item n="PS_TSEVCH_FLD_H_XX" x="233"/>
        <item n="PS_TSEVLN_FLD_H_XX" x="232"/>
        <item n="PS_UNMTCH_TMP_H_XX" x="298"/>
        <item n="PS_VATXRF_VCH_H_XX" x="299"/>
        <item n="PS_VCHDUP_INV_H_XX" x="422"/>
        <item n="PS_VCHR_UPDT_H_XX" x="359"/>
        <item n="PS_VCHRREG_LC_H_XX" x="415"/>
        <item n="PS_VED_DUPINV_H_XX" x="7"/>
        <item n="PS_VMSACCTLNX_H_XX" x="29"/>
        <item n="PS_VMSSRCARCX_H_XX" x="293"/>
        <item n="PS_VMSSRCCNLX_H_XX" x="292"/>
        <item n="PS_VMSTRNCNLX_H_XX" x="157"/>
        <item n="PS_VMSTRNSHST_H_XX" x="481"/>
        <item n="PS_WTH_TRXTBL_H_XX" x="159"/>
        <item n="PS_WTHD_UPDT_H_XX" x="300"/>
        <item x="542"/>
        <item t="default"/>
      </items>
    </pivotField>
    <pivotField dataField="1" showAll="0"/>
  </pivotFields>
  <rowFields count="1">
    <field x="0"/>
  </rowFields>
  <rowItems count="5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 t="grand">
      <x/>
    </i>
  </rowItems>
  <colItems count="1">
    <i/>
  </colItems>
  <dataFields count="1">
    <dataField name="Delete count" fld="1" baseField="0" baseItem="0"/>
  </dataFields>
  <formats count="20"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">
      <pivotArea dataOnly="0" labelOnly="1" fieldPosition="0">
        <references count="1">
          <reference field="0" count="44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9A995-A849-4799-895A-86D2CD50271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A1:B545" firstHeaderRow="1" firstDataRow="1" firstDataCol="1"/>
  <pivotFields count="2">
    <pivotField axis="axisRow" showAll="0">
      <items count="544">
        <item x="23"/>
        <item x="50"/>
        <item x="20"/>
        <item x="24"/>
        <item x="15"/>
        <item x="7"/>
        <item x="6"/>
        <item x="1"/>
        <item x="14"/>
        <item x="47"/>
        <item x="9"/>
        <item x="41"/>
        <item x="38"/>
        <item x="26"/>
        <item x="49"/>
        <item x="19"/>
        <item x="18"/>
        <item x="39"/>
        <item x="27"/>
        <item x="28"/>
        <item x="43"/>
        <item x="29"/>
        <item x="30"/>
        <item x="31"/>
        <item x="13"/>
        <item x="25"/>
        <item x="11"/>
        <item x="48"/>
        <item x="432"/>
        <item x="3"/>
        <item x="537"/>
        <item x="21"/>
        <item x="51"/>
        <item x="52"/>
        <item x="104"/>
        <item x="105"/>
        <item x="53"/>
        <item x="66"/>
        <item x="67"/>
        <item x="108"/>
        <item x="106"/>
        <item x="68"/>
        <item x="55"/>
        <item x="56"/>
        <item x="80"/>
        <item x="57"/>
        <item x="110"/>
        <item x="117"/>
        <item x="58"/>
        <item x="54"/>
        <item x="59"/>
        <item x="60"/>
        <item x="61"/>
        <item x="62"/>
        <item x="79"/>
        <item x="78"/>
        <item x="111"/>
        <item x="112"/>
        <item x="118"/>
        <item x="119"/>
        <item x="86"/>
        <item x="69"/>
        <item x="70"/>
        <item x="71"/>
        <item x="64"/>
        <item x="77"/>
        <item x="74"/>
        <item x="65"/>
        <item x="63"/>
        <item x="75"/>
        <item x="72"/>
        <item x="73"/>
        <item x="76"/>
        <item x="101"/>
        <item x="100"/>
        <item x="107"/>
        <item x="103"/>
        <item x="102"/>
        <item x="109"/>
        <item x="81"/>
        <item x="83"/>
        <item x="87"/>
        <item x="84"/>
        <item x="85"/>
        <item x="82"/>
        <item x="88"/>
        <item x="99"/>
        <item x="90"/>
        <item x="98"/>
        <item x="97"/>
        <item x="89"/>
        <item x="91"/>
        <item x="96"/>
        <item x="93"/>
        <item x="92"/>
        <item x="113"/>
        <item x="115"/>
        <item x="116"/>
        <item x="114"/>
        <item x="480"/>
        <item x="261"/>
        <item x="266"/>
        <item x="267"/>
        <item x="270"/>
        <item x="461"/>
        <item x="156"/>
        <item x="259"/>
        <item x="151"/>
        <item x="120"/>
        <item x="142"/>
        <item x="145"/>
        <item x="146"/>
        <item x="147"/>
        <item x="121"/>
        <item x="127"/>
        <item x="129"/>
        <item x="130"/>
        <item x="128"/>
        <item x="135"/>
        <item x="122"/>
        <item x="136"/>
        <item x="134"/>
        <item x="143"/>
        <item x="123"/>
        <item x="141"/>
        <item x="144"/>
        <item x="137"/>
        <item x="131"/>
        <item x="124"/>
        <item x="138"/>
        <item x="139"/>
        <item x="133"/>
        <item x="125"/>
        <item x="126"/>
        <item x="153"/>
        <item x="154"/>
        <item x="132"/>
        <item x="262"/>
        <item x="269"/>
        <item x="268"/>
        <item x="314"/>
        <item x="159"/>
        <item x="258"/>
        <item x="204"/>
        <item x="176"/>
        <item x="205"/>
        <item x="206"/>
        <item x="166"/>
        <item x="187"/>
        <item x="169"/>
        <item x="198"/>
        <item x="207"/>
        <item x="208"/>
        <item x="209"/>
        <item x="165"/>
        <item x="182"/>
        <item x="160"/>
        <item x="210"/>
        <item x="211"/>
        <item x="164"/>
        <item x="201"/>
        <item x="179"/>
        <item x="168"/>
        <item x="212"/>
        <item x="213"/>
        <item x="214"/>
        <item x="216"/>
        <item x="171"/>
        <item x="199"/>
        <item x="215"/>
        <item x="217"/>
        <item x="218"/>
        <item x="180"/>
        <item x="200"/>
        <item x="163"/>
        <item x="157"/>
        <item x="178"/>
        <item x="173"/>
        <item x="167"/>
        <item x="219"/>
        <item x="220"/>
        <item x="221"/>
        <item x="175"/>
        <item x="162"/>
        <item x="222"/>
        <item x="223"/>
        <item x="161"/>
        <item x="186"/>
        <item x="172"/>
        <item x="224"/>
        <item x="181"/>
        <item x="191"/>
        <item x="225"/>
        <item x="226"/>
        <item x="227"/>
        <item x="228"/>
        <item x="229"/>
        <item x="231"/>
        <item x="232"/>
        <item x="233"/>
        <item x="184"/>
        <item x="185"/>
        <item x="230"/>
        <item x="234"/>
        <item x="158"/>
        <item x="155"/>
        <item x="188"/>
        <item x="177"/>
        <item x="235"/>
        <item x="236"/>
        <item x="190"/>
        <item x="237"/>
        <item x="189"/>
        <item x="238"/>
        <item x="174"/>
        <item x="170"/>
        <item x="239"/>
        <item x="194"/>
        <item x="240"/>
        <item x="202"/>
        <item x="203"/>
        <item x="241"/>
        <item x="242"/>
        <item x="243"/>
        <item x="244"/>
        <item x="245"/>
        <item x="197"/>
        <item x="192"/>
        <item x="246"/>
        <item x="183"/>
        <item x="195"/>
        <item x="193"/>
        <item x="247"/>
        <item x="250"/>
        <item x="251"/>
        <item x="252"/>
        <item x="253"/>
        <item x="248"/>
        <item x="249"/>
        <item x="254"/>
        <item x="256"/>
        <item x="255"/>
        <item x="196"/>
        <item x="257"/>
        <item x="265"/>
        <item x="439"/>
        <item x="444"/>
        <item x="437"/>
        <item x="472"/>
        <item x="497"/>
        <item x="493"/>
        <item x="499"/>
        <item x="503"/>
        <item x="498"/>
        <item x="491"/>
        <item x="489"/>
        <item x="490"/>
        <item x="500"/>
        <item x="496"/>
        <item x="501"/>
        <item x="495"/>
        <item x="492"/>
        <item x="494"/>
        <item x="502"/>
        <item x="473"/>
        <item x="462"/>
        <item x="263"/>
        <item x="264"/>
        <item x="0"/>
        <item x="17"/>
        <item x="294"/>
        <item x="148"/>
        <item x="463"/>
        <item x="464"/>
        <item x="301"/>
        <item x="302"/>
        <item x="300"/>
        <item x="303"/>
        <item x="304"/>
        <item x="305"/>
        <item x="307"/>
        <item x="308"/>
        <item x="306"/>
        <item x="290"/>
        <item x="274"/>
        <item x="275"/>
        <item x="276"/>
        <item x="277"/>
        <item x="278"/>
        <item x="279"/>
        <item x="291"/>
        <item x="295"/>
        <item x="296"/>
        <item x="297"/>
        <item x="298"/>
        <item x="292"/>
        <item x="280"/>
        <item x="281"/>
        <item x="293"/>
        <item x="282"/>
        <item x="283"/>
        <item x="284"/>
        <item x="285"/>
        <item x="286"/>
        <item x="287"/>
        <item x="288"/>
        <item x="289"/>
        <item x="299"/>
        <item x="332"/>
        <item x="450"/>
        <item x="448"/>
        <item x="451"/>
        <item x="455"/>
        <item x="453"/>
        <item x="446"/>
        <item x="454"/>
        <item x="449"/>
        <item x="447"/>
        <item x="456"/>
        <item x="457"/>
        <item x="445"/>
        <item x="452"/>
        <item x="415"/>
        <item x="373"/>
        <item x="152"/>
        <item x="150"/>
        <item x="149"/>
        <item x="477"/>
        <item x="478"/>
        <item x="479"/>
        <item x="481"/>
        <item x="465"/>
        <item x="466"/>
        <item x="333"/>
        <item x="329"/>
        <item x="331"/>
        <item x="328"/>
        <item x="330"/>
        <item x="334"/>
        <item x="46"/>
        <item x="475"/>
        <item x="8"/>
        <item x="4"/>
        <item x="337"/>
        <item x="339"/>
        <item x="343"/>
        <item x="359"/>
        <item x="424"/>
        <item x="374"/>
        <item x="375"/>
        <item x="376"/>
        <item x="377"/>
        <item x="378"/>
        <item x="379"/>
        <item x="381"/>
        <item x="380"/>
        <item x="382"/>
        <item x="383"/>
        <item x="384"/>
        <item x="386"/>
        <item x="385"/>
        <item x="360"/>
        <item x="387"/>
        <item x="416"/>
        <item x="388"/>
        <item x="389"/>
        <item x="347"/>
        <item x="366"/>
        <item x="390"/>
        <item x="355"/>
        <item x="338"/>
        <item x="425"/>
        <item x="423"/>
        <item x="418"/>
        <item x="370"/>
        <item x="391"/>
        <item x="392"/>
        <item x="348"/>
        <item x="352"/>
        <item x="351"/>
        <item x="335"/>
        <item x="349"/>
        <item x="342"/>
        <item x="393"/>
        <item x="421"/>
        <item x="422"/>
        <item x="419"/>
        <item x="394"/>
        <item x="420"/>
        <item x="417"/>
        <item x="470"/>
        <item x="467"/>
        <item x="468"/>
        <item x="469"/>
        <item x="426"/>
        <item x="427"/>
        <item x="428"/>
        <item x="429"/>
        <item x="430"/>
        <item x="431"/>
        <item x="395"/>
        <item x="396"/>
        <item x="402"/>
        <item x="397"/>
        <item x="398"/>
        <item x="399"/>
        <item x="400"/>
        <item x="401"/>
        <item x="309"/>
        <item x="311"/>
        <item x="310"/>
        <item x="315"/>
        <item x="316"/>
        <item x="312"/>
        <item x="325"/>
        <item x="313"/>
        <item x="326"/>
        <item x="317"/>
        <item x="318"/>
        <item x="319"/>
        <item x="320"/>
        <item x="321"/>
        <item x="322"/>
        <item x="323"/>
        <item x="522"/>
        <item x="523"/>
        <item x="513"/>
        <item x="518"/>
        <item x="515"/>
        <item x="514"/>
        <item x="520"/>
        <item x="508"/>
        <item x="507"/>
        <item x="509"/>
        <item x="525"/>
        <item x="519"/>
        <item x="95"/>
        <item x="524"/>
        <item x="512"/>
        <item x="516"/>
        <item x="517"/>
        <item x="94"/>
        <item x="506"/>
        <item x="504"/>
        <item x="505"/>
        <item x="510"/>
        <item x="511"/>
        <item x="521"/>
        <item x="441"/>
        <item x="440"/>
        <item x="433"/>
        <item x="443"/>
        <item x="438"/>
        <item x="434"/>
        <item x="436"/>
        <item x="442"/>
        <item x="435"/>
        <item x="404"/>
        <item x="405"/>
        <item x="403"/>
        <item x="346"/>
        <item x="350"/>
        <item x="336"/>
        <item x="408"/>
        <item x="371"/>
        <item x="344"/>
        <item x="409"/>
        <item x="361"/>
        <item x="410"/>
        <item x="372"/>
        <item x="369"/>
        <item x="356"/>
        <item x="362"/>
        <item x="411"/>
        <item x="414"/>
        <item x="412"/>
        <item x="358"/>
        <item x="341"/>
        <item x="413"/>
        <item x="354"/>
        <item x="357"/>
        <item x="340"/>
        <item x="353"/>
        <item x="406"/>
        <item x="407"/>
        <item x="345"/>
        <item x="368"/>
        <item x="363"/>
        <item x="474"/>
        <item x="476"/>
        <item x="471"/>
        <item x="5"/>
        <item x="531"/>
        <item x="528"/>
        <item x="527"/>
        <item x="532"/>
        <item x="526"/>
        <item x="529"/>
        <item x="530"/>
        <item x="32"/>
        <item x="533"/>
        <item x="486"/>
        <item x="488"/>
        <item x="482"/>
        <item x="485"/>
        <item x="483"/>
        <item x="487"/>
        <item x="484"/>
        <item x="45"/>
        <item x="327"/>
        <item x="458"/>
        <item x="459"/>
        <item x="460"/>
        <item x="365"/>
        <item x="367"/>
        <item x="364"/>
        <item x="534"/>
        <item x="535"/>
        <item x="536"/>
        <item x="273"/>
        <item x="260"/>
        <item x="324"/>
        <item x="271"/>
        <item x="272"/>
        <item x="37"/>
        <item x="33"/>
        <item x="34"/>
        <item x="35"/>
        <item x="36"/>
        <item x="10"/>
        <item x="44"/>
        <item x="40"/>
        <item x="42"/>
        <item x="12"/>
        <item x="16"/>
        <item x="140"/>
        <item x="540"/>
        <item x="538"/>
        <item x="539"/>
        <item x="541"/>
        <item x="2"/>
        <item x="22"/>
        <item x="542"/>
        <item t="default"/>
      </items>
    </pivotField>
    <pivotField dataField="1" showAll="0"/>
  </pivotFields>
  <rowFields count="1">
    <field x="0"/>
  </rowFields>
  <rowItems count="5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 t="grand">
      <x/>
    </i>
  </rowItems>
  <colItems count="1">
    <i/>
  </colItems>
  <dataFields count="1">
    <dataField name="Exported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45CEF-9F99-4FCC-99E1-9A8C8D0AD53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A1:B545" firstHeaderRow="1" firstDataRow="1" firstDataCol="1"/>
  <pivotFields count="2">
    <pivotField axis="axisRow" showAll="0">
      <items count="544">
        <item x="417"/>
        <item x="295"/>
        <item x="483"/>
        <item x="0"/>
        <item x="418"/>
        <item x="97"/>
        <item x="96"/>
        <item x="158"/>
        <item x="296"/>
        <item x="160"/>
        <item x="227"/>
        <item x="228"/>
        <item x="229"/>
        <item x="419"/>
        <item x="5"/>
        <item x="297"/>
        <item x="98"/>
        <item x="3"/>
        <item x="484"/>
        <item x="230"/>
        <item x="4"/>
        <item x="416"/>
        <item x="231"/>
        <item x="294"/>
        <item x="485"/>
        <item x="2"/>
        <item x="1"/>
        <item x="358"/>
        <item x="216"/>
        <item x="102"/>
        <item x="93"/>
        <item x="99"/>
        <item x="161"/>
        <item x="100"/>
        <item x="305"/>
        <item x="366"/>
        <item x="103"/>
        <item x="12"/>
        <item x="301"/>
        <item x="106"/>
        <item x="242"/>
        <item x="238"/>
        <item x="236"/>
        <item x="361"/>
        <item x="14"/>
        <item x="11"/>
        <item x="307"/>
        <item x="21"/>
        <item x="10"/>
        <item x="360"/>
        <item x="488"/>
        <item x="9"/>
        <item x="423"/>
        <item x="237"/>
        <item x="428"/>
        <item x="363"/>
        <item x="244"/>
        <item x="19"/>
        <item x="309"/>
        <item x="435"/>
        <item x="364"/>
        <item x="424"/>
        <item x="425"/>
        <item x="104"/>
        <item x="164"/>
        <item x="426"/>
        <item x="162"/>
        <item x="362"/>
        <item x="302"/>
        <item x="13"/>
        <item x="303"/>
        <item x="163"/>
        <item x="427"/>
        <item x="432"/>
        <item x="243"/>
        <item x="367"/>
        <item x="167"/>
        <item x="433"/>
        <item x="306"/>
        <item x="15"/>
        <item x="16"/>
        <item x="239"/>
        <item x="429"/>
        <item x="430"/>
        <item x="17"/>
        <item x="431"/>
        <item x="240"/>
        <item x="18"/>
        <item x="365"/>
        <item x="490"/>
        <item x="241"/>
        <item x="165"/>
        <item x="105"/>
        <item x="491"/>
        <item x="304"/>
        <item x="168"/>
        <item x="308"/>
        <item x="434"/>
        <item x="20"/>
        <item x="345"/>
        <item x="192"/>
        <item x="194"/>
        <item x="506"/>
        <item x="46"/>
        <item x="82"/>
        <item x="190"/>
        <item x="454"/>
        <item x="23"/>
        <item x="246"/>
        <item x="27"/>
        <item x="368"/>
        <item x="22"/>
        <item x="247"/>
        <item x="171"/>
        <item x="24"/>
        <item x="25"/>
        <item x="248"/>
        <item x="311"/>
        <item x="370"/>
        <item x="111"/>
        <item x="113"/>
        <item x="310"/>
        <item x="249"/>
        <item x="108"/>
        <item x="170"/>
        <item x="28"/>
        <item x="26"/>
        <item x="109"/>
        <item x="169"/>
        <item x="112"/>
        <item x="250"/>
        <item x="107"/>
        <item x="245"/>
        <item x="110"/>
        <item x="30"/>
        <item x="31"/>
        <item x="369"/>
        <item x="43"/>
        <item x="384"/>
        <item x="45"/>
        <item x="461"/>
        <item x="172"/>
        <item x="437"/>
        <item x="492"/>
        <item x="493"/>
        <item x="173"/>
        <item x="114"/>
        <item x="494"/>
        <item x="438"/>
        <item x="371"/>
        <item x="115"/>
        <item x="495"/>
        <item x="439"/>
        <item x="116"/>
        <item x="251"/>
        <item x="440"/>
        <item x="496"/>
        <item x="252"/>
        <item x="174"/>
        <item x="372"/>
        <item x="253"/>
        <item x="498"/>
        <item x="497"/>
        <item x="254"/>
        <item x="117"/>
        <item x="373"/>
        <item x="118"/>
        <item x="32"/>
        <item x="255"/>
        <item x="441"/>
        <item x="442"/>
        <item x="175"/>
        <item x="312"/>
        <item x="374"/>
        <item x="443"/>
        <item x="444"/>
        <item x="176"/>
        <item x="499"/>
        <item x="500"/>
        <item x="314"/>
        <item x="177"/>
        <item x="33"/>
        <item x="375"/>
        <item x="313"/>
        <item x="315"/>
        <item x="34"/>
        <item x="191"/>
        <item x="446"/>
        <item x="376"/>
        <item x="377"/>
        <item x="119"/>
        <item x="35"/>
        <item x="256"/>
        <item x="316"/>
        <item x="447"/>
        <item x="36"/>
        <item x="120"/>
        <item x="449"/>
        <item x="502"/>
        <item x="445"/>
        <item x="378"/>
        <item x="121"/>
        <item x="448"/>
        <item x="501"/>
        <item x="503"/>
        <item x="178"/>
        <item x="179"/>
        <item x="180"/>
        <item x="257"/>
        <item x="379"/>
        <item x="258"/>
        <item x="37"/>
        <item x="181"/>
        <item x="380"/>
        <item x="317"/>
        <item x="122"/>
        <item x="259"/>
        <item x="450"/>
        <item x="182"/>
        <item x="183"/>
        <item x="38"/>
        <item x="504"/>
        <item x="184"/>
        <item x="451"/>
        <item x="185"/>
        <item x="260"/>
        <item x="452"/>
        <item x="318"/>
        <item x="39"/>
        <item x="123"/>
        <item x="124"/>
        <item x="319"/>
        <item x="125"/>
        <item x="187"/>
        <item x="126"/>
        <item x="188"/>
        <item x="40"/>
        <item x="381"/>
        <item x="186"/>
        <item x="382"/>
        <item x="505"/>
        <item x="189"/>
        <item x="261"/>
        <item x="453"/>
        <item x="193"/>
        <item x="78"/>
        <item x="526"/>
        <item x="79"/>
        <item x="344"/>
        <item x="151"/>
        <item x="87"/>
        <item x="350"/>
        <item x="88"/>
        <item x="409"/>
        <item x="476"/>
        <item x="351"/>
        <item x="352"/>
        <item x="475"/>
        <item x="410"/>
        <item x="152"/>
        <item x="86"/>
        <item x="536"/>
        <item x="408"/>
        <item x="224"/>
        <item x="223"/>
        <item x="285"/>
        <item x="41"/>
        <item x="44"/>
        <item x="95"/>
        <item x="487"/>
        <item x="53"/>
        <item x="436"/>
        <item x="148"/>
        <item x="221"/>
        <item x="458"/>
        <item x="388"/>
        <item x="133"/>
        <item x="134"/>
        <item x="459"/>
        <item x="135"/>
        <item x="267"/>
        <item x="266"/>
        <item x="265"/>
        <item x="131"/>
        <item x="48"/>
        <item x="49"/>
        <item x="50"/>
        <item x="129"/>
        <item x="128"/>
        <item x="385"/>
        <item x="457"/>
        <item x="132"/>
        <item x="198"/>
        <item x="54"/>
        <item x="387"/>
        <item x="321"/>
        <item x="130"/>
        <item x="320"/>
        <item x="386"/>
        <item x="456"/>
        <item x="195"/>
        <item x="51"/>
        <item x="196"/>
        <item x="507"/>
        <item x="52"/>
        <item x="264"/>
        <item x="197"/>
        <item x="322"/>
        <item x="60"/>
        <item x="218"/>
        <item x="529"/>
        <item x="472"/>
        <item x="471"/>
        <item x="282"/>
        <item x="219"/>
        <item x="283"/>
        <item x="81"/>
        <item x="220"/>
        <item x="473"/>
        <item x="404"/>
        <item x="341"/>
        <item x="405"/>
        <item x="520"/>
        <item x="146"/>
        <item x="127"/>
        <item x="262"/>
        <item x="383"/>
        <item x="222"/>
        <item x="532"/>
        <item x="533"/>
        <item x="474"/>
        <item x="531"/>
        <item x="83"/>
        <item x="200"/>
        <item x="61"/>
        <item x="58"/>
        <item x="59"/>
        <item x="391"/>
        <item x="62"/>
        <item x="6"/>
        <item x="85"/>
        <item x="8"/>
        <item x="101"/>
        <item x="463"/>
        <item x="137"/>
        <item x="138"/>
        <item x="469"/>
        <item x="338"/>
        <item x="271"/>
        <item x="272"/>
        <item x="201"/>
        <item x="63"/>
        <item x="202"/>
        <item x="392"/>
        <item x="510"/>
        <item x="327"/>
        <item x="64"/>
        <item x="511"/>
        <item x="328"/>
        <item x="513"/>
        <item x="512"/>
        <item x="393"/>
        <item x="65"/>
        <item x="277"/>
        <item x="66"/>
        <item x="394"/>
        <item x="141"/>
        <item x="396"/>
        <item x="203"/>
        <item x="514"/>
        <item x="464"/>
        <item x="215"/>
        <item x="214"/>
        <item x="147"/>
        <item x="204"/>
        <item x="329"/>
        <item x="205"/>
        <item x="397"/>
        <item x="139"/>
        <item x="206"/>
        <item x="395"/>
        <item x="330"/>
        <item x="140"/>
        <item x="67"/>
        <item x="337"/>
        <item x="523"/>
        <item x="213"/>
        <item x="68"/>
        <item x="278"/>
        <item x="212"/>
        <item x="343"/>
        <item x="287"/>
        <item x="84"/>
        <item x="286"/>
        <item x="524"/>
        <item x="339"/>
        <item x="76"/>
        <item x="279"/>
        <item x="77"/>
        <item x="403"/>
        <item x="515"/>
        <item x="69"/>
        <item x="142"/>
        <item x="516"/>
        <item x="331"/>
        <item x="273"/>
        <item x="332"/>
        <item x="517"/>
        <item x="323"/>
        <item x="55"/>
        <item x="56"/>
        <item x="508"/>
        <item x="268"/>
        <item x="199"/>
        <item x="326"/>
        <item x="460"/>
        <item x="136"/>
        <item x="462"/>
        <item x="324"/>
        <item x="389"/>
        <item x="509"/>
        <item x="325"/>
        <item x="57"/>
        <item x="269"/>
        <item x="90"/>
        <item x="477"/>
        <item x="289"/>
        <item x="478"/>
        <item x="537"/>
        <item x="411"/>
        <item x="479"/>
        <item x="89"/>
        <item x="290"/>
        <item x="91"/>
        <item x="538"/>
        <item x="412"/>
        <item x="489"/>
        <item x="355"/>
        <item x="353"/>
        <item x="354"/>
        <item x="288"/>
        <item x="166"/>
        <item x="153"/>
        <item x="539"/>
        <item x="356"/>
        <item x="225"/>
        <item x="291"/>
        <item x="226"/>
        <item x="80"/>
        <item x="280"/>
        <item x="217"/>
        <item x="525"/>
        <item x="527"/>
        <item x="340"/>
        <item x="528"/>
        <item x="470"/>
        <item x="281"/>
        <item x="333"/>
        <item x="70"/>
        <item x="274"/>
        <item x="210"/>
        <item x="143"/>
        <item x="466"/>
        <item x="519"/>
        <item x="334"/>
        <item x="209"/>
        <item x="144"/>
        <item x="399"/>
        <item x="145"/>
        <item x="335"/>
        <item x="72"/>
        <item x="400"/>
        <item x="521"/>
        <item x="74"/>
        <item x="73"/>
        <item x="75"/>
        <item x="336"/>
        <item x="465"/>
        <item x="211"/>
        <item x="401"/>
        <item x="398"/>
        <item x="207"/>
        <item x="518"/>
        <item x="275"/>
        <item x="208"/>
        <item x="71"/>
        <item x="276"/>
        <item x="467"/>
        <item x="347"/>
        <item x="346"/>
        <item x="149"/>
        <item x="357"/>
        <item x="154"/>
        <item x="480"/>
        <item x="92"/>
        <item x="413"/>
        <item x="155"/>
        <item x="156"/>
        <item x="540"/>
        <item x="234"/>
        <item x="94"/>
        <item x="406"/>
        <item x="348"/>
        <item x="534"/>
        <item x="150"/>
        <item x="535"/>
        <item x="349"/>
        <item x="407"/>
        <item x="235"/>
        <item x="390"/>
        <item x="284"/>
        <item x="342"/>
        <item x="530"/>
        <item x="402"/>
        <item x="522"/>
        <item x="468"/>
        <item x="541"/>
        <item x="482"/>
        <item x="414"/>
        <item x="455"/>
        <item x="42"/>
        <item x="270"/>
        <item x="263"/>
        <item x="47"/>
        <item x="486"/>
        <item x="420"/>
        <item x="421"/>
        <item x="233"/>
        <item x="232"/>
        <item x="298"/>
        <item x="299"/>
        <item x="422"/>
        <item x="359"/>
        <item x="415"/>
        <item x="7"/>
        <item x="29"/>
        <item x="293"/>
        <item x="292"/>
        <item x="157"/>
        <item x="481"/>
        <item x="159"/>
        <item x="300"/>
        <item x="542"/>
        <item t="default"/>
      </items>
    </pivotField>
    <pivotField dataField="1" showAll="0"/>
  </pivotFields>
  <rowFields count="1">
    <field x="0"/>
  </rowFields>
  <rowItems count="5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 t="grand">
      <x/>
    </i>
  </rowItems>
  <colItems count="1">
    <i/>
  </colItems>
  <dataFields count="1">
    <dataField name="Deleted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4E36-CA74-4209-AEE3-D28ED09413CB}">
  <dimension ref="A1:D617"/>
  <sheetViews>
    <sheetView topLeftCell="A620" workbookViewId="0">
      <selection activeCell="B585" sqref="B585"/>
    </sheetView>
  </sheetViews>
  <sheetFormatPr defaultRowHeight="14.5" x14ac:dyDescent="0.35"/>
  <cols>
    <col min="1" max="1" width="26.81640625" bestFit="1" customWidth="1"/>
    <col min="2" max="2" width="8.81640625" bestFit="1" customWidth="1"/>
    <col min="3" max="3" width="10.7265625" bestFit="1" customWidth="1"/>
    <col min="4" max="4" width="8.6328125" bestFit="1" customWidth="1"/>
  </cols>
  <sheetData>
    <row r="1" spans="1:4" s="1" customFormat="1" x14ac:dyDescent="0.35">
      <c r="A1" s="1" t="s">
        <v>642</v>
      </c>
      <c r="B1" s="1" t="s">
        <v>643</v>
      </c>
      <c r="C1" s="1" t="s">
        <v>644</v>
      </c>
      <c r="D1" s="1" t="s">
        <v>645</v>
      </c>
    </row>
    <row r="2" spans="1:4" x14ac:dyDescent="0.35">
      <c r="A2" t="s">
        <v>0</v>
      </c>
      <c r="B2">
        <v>0</v>
      </c>
      <c r="C2" t="s">
        <v>542</v>
      </c>
      <c r="D2">
        <v>100</v>
      </c>
    </row>
    <row r="3" spans="1:4" x14ac:dyDescent="0.35">
      <c r="A3" t="s">
        <v>1</v>
      </c>
      <c r="B3">
        <v>82946</v>
      </c>
      <c r="C3" t="s">
        <v>542</v>
      </c>
      <c r="D3">
        <v>100</v>
      </c>
    </row>
    <row r="4" spans="1:4" x14ac:dyDescent="0.35">
      <c r="A4" t="s">
        <v>2</v>
      </c>
      <c r="B4">
        <v>0</v>
      </c>
      <c r="C4" t="s">
        <v>542</v>
      </c>
      <c r="D4">
        <v>100</v>
      </c>
    </row>
    <row r="5" spans="1:4" x14ac:dyDescent="0.35">
      <c r="A5" t="s">
        <v>3</v>
      </c>
      <c r="B5">
        <v>51160</v>
      </c>
      <c r="C5" t="s">
        <v>542</v>
      </c>
      <c r="D5">
        <v>100</v>
      </c>
    </row>
    <row r="6" spans="1:4" x14ac:dyDescent="0.35">
      <c r="A6" t="s">
        <v>4</v>
      </c>
      <c r="B6">
        <v>51333</v>
      </c>
      <c r="C6" t="s">
        <v>542</v>
      </c>
      <c r="D6">
        <v>100</v>
      </c>
    </row>
    <row r="7" spans="1:4" x14ac:dyDescent="0.35">
      <c r="A7" t="s">
        <v>5</v>
      </c>
      <c r="B7">
        <v>654395</v>
      </c>
      <c r="C7" t="s">
        <v>542</v>
      </c>
      <c r="D7">
        <v>100</v>
      </c>
    </row>
    <row r="8" spans="1:4" x14ac:dyDescent="0.35">
      <c r="A8" t="s">
        <v>6</v>
      </c>
      <c r="B8">
        <v>0</v>
      </c>
      <c r="C8" t="s">
        <v>542</v>
      </c>
      <c r="D8">
        <v>100</v>
      </c>
    </row>
    <row r="9" spans="1:4" x14ac:dyDescent="0.35">
      <c r="A9" t="s">
        <v>7</v>
      </c>
      <c r="B9">
        <v>0</v>
      </c>
      <c r="C9" t="s">
        <v>542</v>
      </c>
      <c r="D9">
        <v>100</v>
      </c>
    </row>
    <row r="10" spans="1:4" x14ac:dyDescent="0.35">
      <c r="A10" t="s">
        <v>8</v>
      </c>
      <c r="B10">
        <v>892</v>
      </c>
      <c r="C10" t="s">
        <v>543</v>
      </c>
      <c r="D10">
        <v>94</v>
      </c>
    </row>
    <row r="11" spans="1:4" x14ac:dyDescent="0.35">
      <c r="A11" t="s">
        <v>9</v>
      </c>
      <c r="B11">
        <v>0</v>
      </c>
      <c r="C11" t="s">
        <v>544</v>
      </c>
      <c r="D11">
        <v>97</v>
      </c>
    </row>
    <row r="12" spans="1:4" x14ac:dyDescent="0.35">
      <c r="A12" t="s">
        <v>10</v>
      </c>
      <c r="B12">
        <v>0</v>
      </c>
      <c r="C12" t="s">
        <v>544</v>
      </c>
      <c r="D12">
        <v>97</v>
      </c>
    </row>
    <row r="13" spans="1:4" x14ac:dyDescent="0.35">
      <c r="A13" t="s">
        <v>11</v>
      </c>
      <c r="B13">
        <v>0</v>
      </c>
      <c r="C13" t="s">
        <v>544</v>
      </c>
      <c r="D13">
        <v>97</v>
      </c>
    </row>
    <row r="14" spans="1:4" x14ac:dyDescent="0.35">
      <c r="A14" t="s">
        <v>12</v>
      </c>
      <c r="B14">
        <v>0</v>
      </c>
      <c r="C14" t="s">
        <v>545</v>
      </c>
      <c r="D14">
        <v>98</v>
      </c>
    </row>
    <row r="15" spans="1:4" x14ac:dyDescent="0.35">
      <c r="A15" t="s">
        <v>13</v>
      </c>
      <c r="B15">
        <v>0</v>
      </c>
      <c r="C15" t="s">
        <v>545</v>
      </c>
      <c r="D15">
        <v>98</v>
      </c>
    </row>
    <row r="16" spans="1:4" x14ac:dyDescent="0.35">
      <c r="A16" t="s">
        <v>14</v>
      </c>
      <c r="B16">
        <v>0</v>
      </c>
      <c r="C16" t="s">
        <v>546</v>
      </c>
      <c r="D16">
        <v>104</v>
      </c>
    </row>
    <row r="17" spans="1:4" x14ac:dyDescent="0.35">
      <c r="A17" t="s">
        <v>15</v>
      </c>
      <c r="B17">
        <v>20453457</v>
      </c>
      <c r="C17" t="s">
        <v>547</v>
      </c>
      <c r="D17">
        <v>96</v>
      </c>
    </row>
    <row r="18" spans="1:4" x14ac:dyDescent="0.35">
      <c r="A18" t="s">
        <v>16</v>
      </c>
      <c r="B18">
        <v>0</v>
      </c>
      <c r="C18" t="s">
        <v>547</v>
      </c>
      <c r="D18">
        <v>96</v>
      </c>
    </row>
    <row r="19" spans="1:4" x14ac:dyDescent="0.35">
      <c r="A19" t="s">
        <v>17</v>
      </c>
      <c r="B19">
        <v>0</v>
      </c>
      <c r="C19" t="s">
        <v>547</v>
      </c>
      <c r="D19">
        <v>96</v>
      </c>
    </row>
    <row r="20" spans="1:4" x14ac:dyDescent="0.35">
      <c r="A20" t="s">
        <v>18</v>
      </c>
      <c r="B20">
        <v>0</v>
      </c>
      <c r="C20" t="s">
        <v>548</v>
      </c>
      <c r="D20">
        <v>72</v>
      </c>
    </row>
    <row r="21" spans="1:4" x14ac:dyDescent="0.35">
      <c r="A21" t="s">
        <v>19</v>
      </c>
      <c r="B21">
        <v>0</v>
      </c>
      <c r="C21" t="s">
        <v>549</v>
      </c>
      <c r="D21">
        <v>105</v>
      </c>
    </row>
    <row r="22" spans="1:4" x14ac:dyDescent="0.35">
      <c r="A22" t="s">
        <v>20</v>
      </c>
      <c r="B22">
        <v>6460</v>
      </c>
      <c r="C22" t="s">
        <v>550</v>
      </c>
      <c r="D22">
        <v>3</v>
      </c>
    </row>
    <row r="23" spans="1:4" x14ac:dyDescent="0.35">
      <c r="A23" t="s">
        <v>21</v>
      </c>
      <c r="B23">
        <v>4</v>
      </c>
      <c r="C23" t="s">
        <v>551</v>
      </c>
      <c r="D23">
        <v>106</v>
      </c>
    </row>
    <row r="24" spans="1:4" x14ac:dyDescent="0.35">
      <c r="A24" t="s">
        <v>22</v>
      </c>
      <c r="B24">
        <v>0</v>
      </c>
      <c r="C24" t="s">
        <v>552</v>
      </c>
      <c r="D24">
        <v>5</v>
      </c>
    </row>
    <row r="25" spans="1:4" x14ac:dyDescent="0.35">
      <c r="A25" t="s">
        <v>23</v>
      </c>
      <c r="B25">
        <v>14432815</v>
      </c>
      <c r="C25" t="s">
        <v>553</v>
      </c>
      <c r="D25">
        <v>91</v>
      </c>
    </row>
    <row r="26" spans="1:4" x14ac:dyDescent="0.35">
      <c r="A26" t="s">
        <v>24</v>
      </c>
      <c r="B26">
        <v>3808639</v>
      </c>
      <c r="C26" t="s">
        <v>553</v>
      </c>
      <c r="D26">
        <v>91</v>
      </c>
    </row>
    <row r="27" spans="1:4" x14ac:dyDescent="0.35">
      <c r="A27" t="s">
        <v>25</v>
      </c>
      <c r="B27">
        <v>0</v>
      </c>
      <c r="C27" t="s">
        <v>553</v>
      </c>
      <c r="D27">
        <v>91</v>
      </c>
    </row>
    <row r="28" spans="1:4" x14ac:dyDescent="0.35">
      <c r="A28" t="s">
        <v>26</v>
      </c>
      <c r="B28">
        <v>0</v>
      </c>
      <c r="C28" t="s">
        <v>553</v>
      </c>
      <c r="D28">
        <v>91</v>
      </c>
    </row>
    <row r="29" spans="1:4" x14ac:dyDescent="0.35">
      <c r="A29" t="s">
        <v>23</v>
      </c>
      <c r="B29">
        <v>746671</v>
      </c>
      <c r="C29" t="s">
        <v>553</v>
      </c>
      <c r="D29">
        <v>2</v>
      </c>
    </row>
    <row r="30" spans="1:4" x14ac:dyDescent="0.35">
      <c r="A30" t="s">
        <v>27</v>
      </c>
      <c r="B30">
        <v>0</v>
      </c>
      <c r="C30" t="s">
        <v>553</v>
      </c>
      <c r="D30">
        <v>2</v>
      </c>
    </row>
    <row r="31" spans="1:4" x14ac:dyDescent="0.35">
      <c r="A31" t="s">
        <v>24</v>
      </c>
      <c r="B31">
        <v>189459</v>
      </c>
      <c r="C31" t="s">
        <v>553</v>
      </c>
      <c r="D31">
        <v>2</v>
      </c>
    </row>
    <row r="32" spans="1:4" x14ac:dyDescent="0.35">
      <c r="A32" t="s">
        <v>28</v>
      </c>
      <c r="B32">
        <v>536243</v>
      </c>
      <c r="C32" t="s">
        <v>553</v>
      </c>
      <c r="D32">
        <v>2</v>
      </c>
    </row>
    <row r="33" spans="1:4" x14ac:dyDescent="0.35">
      <c r="A33" t="s">
        <v>29</v>
      </c>
      <c r="B33">
        <v>0</v>
      </c>
      <c r="C33" t="s">
        <v>553</v>
      </c>
      <c r="D33">
        <v>91</v>
      </c>
    </row>
    <row r="34" spans="1:4" x14ac:dyDescent="0.35">
      <c r="A34" t="s">
        <v>30</v>
      </c>
      <c r="B34">
        <v>0</v>
      </c>
      <c r="C34" t="s">
        <v>554</v>
      </c>
      <c r="D34">
        <v>74</v>
      </c>
    </row>
    <row r="35" spans="1:4" x14ac:dyDescent="0.35">
      <c r="A35" t="s">
        <v>31</v>
      </c>
      <c r="B35">
        <v>2</v>
      </c>
      <c r="C35" t="s">
        <v>555</v>
      </c>
      <c r="D35">
        <v>84</v>
      </c>
    </row>
    <row r="36" spans="1:4" x14ac:dyDescent="0.35">
      <c r="A36" t="s">
        <v>32</v>
      </c>
      <c r="B36">
        <v>0</v>
      </c>
      <c r="C36" t="s">
        <v>556</v>
      </c>
      <c r="D36">
        <v>16</v>
      </c>
    </row>
    <row r="37" spans="1:4" x14ac:dyDescent="0.35">
      <c r="A37" t="s">
        <v>33</v>
      </c>
      <c r="B37">
        <v>0</v>
      </c>
      <c r="C37" t="s">
        <v>556</v>
      </c>
      <c r="D37">
        <v>16</v>
      </c>
    </row>
    <row r="38" spans="1:4" x14ac:dyDescent="0.35">
      <c r="A38" t="s">
        <v>34</v>
      </c>
      <c r="B38">
        <v>0</v>
      </c>
      <c r="C38" t="s">
        <v>556</v>
      </c>
      <c r="D38">
        <v>16</v>
      </c>
    </row>
    <row r="39" spans="1:4" x14ac:dyDescent="0.35">
      <c r="A39" t="s">
        <v>35</v>
      </c>
      <c r="B39">
        <v>0</v>
      </c>
      <c r="C39" t="s">
        <v>556</v>
      </c>
      <c r="D39">
        <v>16</v>
      </c>
    </row>
    <row r="40" spans="1:4" x14ac:dyDescent="0.35">
      <c r="A40" t="s">
        <v>36</v>
      </c>
      <c r="B40">
        <v>0</v>
      </c>
      <c r="C40" t="s">
        <v>556</v>
      </c>
      <c r="D40">
        <v>16</v>
      </c>
    </row>
    <row r="41" spans="1:4" x14ac:dyDescent="0.35">
      <c r="A41" t="s">
        <v>37</v>
      </c>
      <c r="B41">
        <v>0</v>
      </c>
      <c r="C41" t="s">
        <v>556</v>
      </c>
      <c r="D41">
        <v>16</v>
      </c>
    </row>
    <row r="42" spans="1:4" x14ac:dyDescent="0.35">
      <c r="A42" t="s">
        <v>38</v>
      </c>
      <c r="B42">
        <v>0</v>
      </c>
      <c r="C42" t="s">
        <v>556</v>
      </c>
      <c r="D42">
        <v>16</v>
      </c>
    </row>
    <row r="43" spans="1:4" x14ac:dyDescent="0.35">
      <c r="A43" t="s">
        <v>39</v>
      </c>
      <c r="B43">
        <v>0</v>
      </c>
      <c r="C43" t="s">
        <v>556</v>
      </c>
      <c r="D43">
        <v>16</v>
      </c>
    </row>
    <row r="44" spans="1:4" x14ac:dyDescent="0.35">
      <c r="A44" t="s">
        <v>40</v>
      </c>
      <c r="B44">
        <v>0</v>
      </c>
      <c r="C44" t="s">
        <v>556</v>
      </c>
      <c r="D44">
        <v>16</v>
      </c>
    </row>
    <row r="45" spans="1:4" x14ac:dyDescent="0.35">
      <c r="A45" t="s">
        <v>41</v>
      </c>
      <c r="B45">
        <v>0</v>
      </c>
      <c r="C45" t="s">
        <v>557</v>
      </c>
      <c r="D45">
        <v>33</v>
      </c>
    </row>
    <row r="46" spans="1:4" x14ac:dyDescent="0.35">
      <c r="A46" t="s">
        <v>42</v>
      </c>
      <c r="B46">
        <v>0</v>
      </c>
      <c r="C46" t="s">
        <v>558</v>
      </c>
      <c r="D46">
        <v>23</v>
      </c>
    </row>
    <row r="47" spans="1:4" x14ac:dyDescent="0.35">
      <c r="A47" t="s">
        <v>43</v>
      </c>
      <c r="B47">
        <v>14725</v>
      </c>
      <c r="C47" t="s">
        <v>559</v>
      </c>
      <c r="D47">
        <v>31</v>
      </c>
    </row>
    <row r="48" spans="1:4" x14ac:dyDescent="0.35">
      <c r="A48" t="s">
        <v>44</v>
      </c>
      <c r="B48">
        <v>0</v>
      </c>
      <c r="C48" t="s">
        <v>560</v>
      </c>
      <c r="D48">
        <v>32</v>
      </c>
    </row>
    <row r="49" spans="1:4" x14ac:dyDescent="0.35">
      <c r="A49" t="s">
        <v>45</v>
      </c>
      <c r="B49">
        <v>59</v>
      </c>
      <c r="C49" t="s">
        <v>561</v>
      </c>
      <c r="D49">
        <v>28</v>
      </c>
    </row>
    <row r="50" spans="1:4" x14ac:dyDescent="0.35">
      <c r="A50" t="s">
        <v>46</v>
      </c>
      <c r="B50">
        <v>263763</v>
      </c>
      <c r="C50" t="s">
        <v>562</v>
      </c>
      <c r="D50">
        <v>27</v>
      </c>
    </row>
    <row r="51" spans="1:4" x14ac:dyDescent="0.35">
      <c r="A51" t="s">
        <v>47</v>
      </c>
      <c r="B51">
        <v>0</v>
      </c>
      <c r="C51" t="s">
        <v>563</v>
      </c>
      <c r="D51">
        <v>29</v>
      </c>
    </row>
    <row r="52" spans="1:4" x14ac:dyDescent="0.35">
      <c r="A52" t="s">
        <v>48</v>
      </c>
      <c r="B52">
        <v>0</v>
      </c>
      <c r="C52" t="s">
        <v>564</v>
      </c>
      <c r="D52">
        <v>17</v>
      </c>
    </row>
    <row r="53" spans="1:4" x14ac:dyDescent="0.35">
      <c r="A53" t="s">
        <v>49</v>
      </c>
      <c r="B53">
        <v>0</v>
      </c>
      <c r="C53" t="s">
        <v>564</v>
      </c>
      <c r="D53">
        <v>17</v>
      </c>
    </row>
    <row r="54" spans="1:4" x14ac:dyDescent="0.35">
      <c r="A54" t="s">
        <v>50</v>
      </c>
      <c r="B54">
        <v>0</v>
      </c>
      <c r="C54" t="s">
        <v>564</v>
      </c>
      <c r="D54">
        <v>17</v>
      </c>
    </row>
    <row r="55" spans="1:4" x14ac:dyDescent="0.35">
      <c r="A55" t="s">
        <v>51</v>
      </c>
      <c r="B55">
        <v>0</v>
      </c>
      <c r="C55" t="s">
        <v>565</v>
      </c>
      <c r="D55">
        <v>63</v>
      </c>
    </row>
    <row r="56" spans="1:4" x14ac:dyDescent="0.35">
      <c r="A56" t="s">
        <v>52</v>
      </c>
      <c r="B56">
        <v>0</v>
      </c>
      <c r="C56" t="s">
        <v>565</v>
      </c>
      <c r="D56">
        <v>63</v>
      </c>
    </row>
    <row r="57" spans="1:4" x14ac:dyDescent="0.35">
      <c r="A57" t="s">
        <v>53</v>
      </c>
      <c r="B57">
        <v>0</v>
      </c>
      <c r="C57" t="s">
        <v>566</v>
      </c>
      <c r="D57">
        <v>70</v>
      </c>
    </row>
    <row r="58" spans="1:4" x14ac:dyDescent="0.35">
      <c r="A58" t="s">
        <v>54</v>
      </c>
      <c r="B58">
        <v>0</v>
      </c>
      <c r="C58" t="s">
        <v>567</v>
      </c>
      <c r="D58">
        <v>82</v>
      </c>
    </row>
    <row r="59" spans="1:4" x14ac:dyDescent="0.35">
      <c r="A59" t="s">
        <v>55</v>
      </c>
      <c r="B59">
        <v>0</v>
      </c>
      <c r="C59" t="s">
        <v>568</v>
      </c>
      <c r="D59">
        <v>21</v>
      </c>
    </row>
    <row r="60" spans="1:4" x14ac:dyDescent="0.35">
      <c r="A60" t="s">
        <v>56</v>
      </c>
      <c r="B60">
        <v>0</v>
      </c>
      <c r="C60" t="s">
        <v>568</v>
      </c>
      <c r="D60">
        <v>21</v>
      </c>
    </row>
    <row r="61" spans="1:4" x14ac:dyDescent="0.35">
      <c r="A61" t="s">
        <v>57</v>
      </c>
      <c r="B61">
        <v>0</v>
      </c>
      <c r="C61" t="s">
        <v>569</v>
      </c>
      <c r="D61">
        <v>90</v>
      </c>
    </row>
    <row r="62" spans="1:4" x14ac:dyDescent="0.35">
      <c r="A62" t="s">
        <v>58</v>
      </c>
      <c r="B62">
        <v>0</v>
      </c>
      <c r="C62" t="s">
        <v>570</v>
      </c>
      <c r="D62">
        <v>37</v>
      </c>
    </row>
    <row r="63" spans="1:4" x14ac:dyDescent="0.35">
      <c r="A63" t="s">
        <v>59</v>
      </c>
      <c r="B63">
        <v>2452593</v>
      </c>
      <c r="C63" t="s">
        <v>570</v>
      </c>
      <c r="D63">
        <v>37</v>
      </c>
    </row>
    <row r="64" spans="1:4" x14ac:dyDescent="0.35">
      <c r="A64" t="s">
        <v>60</v>
      </c>
      <c r="B64">
        <v>0</v>
      </c>
      <c r="C64" t="s">
        <v>570</v>
      </c>
      <c r="D64">
        <v>37</v>
      </c>
    </row>
    <row r="65" spans="1:4" x14ac:dyDescent="0.35">
      <c r="A65" t="s">
        <v>61</v>
      </c>
      <c r="B65">
        <v>83386</v>
      </c>
      <c r="C65" t="s">
        <v>570</v>
      </c>
      <c r="D65">
        <v>36</v>
      </c>
    </row>
    <row r="66" spans="1:4" x14ac:dyDescent="0.35">
      <c r="A66" t="s">
        <v>62</v>
      </c>
      <c r="B66">
        <v>1903</v>
      </c>
      <c r="C66" t="s">
        <v>571</v>
      </c>
      <c r="D66">
        <v>41</v>
      </c>
    </row>
    <row r="67" spans="1:4" x14ac:dyDescent="0.35">
      <c r="A67" t="s">
        <v>63</v>
      </c>
      <c r="B67">
        <v>0</v>
      </c>
      <c r="C67" t="s">
        <v>572</v>
      </c>
      <c r="D67">
        <v>15</v>
      </c>
    </row>
    <row r="68" spans="1:4" x14ac:dyDescent="0.35">
      <c r="A68" t="s">
        <v>64</v>
      </c>
      <c r="B68">
        <v>0</v>
      </c>
      <c r="C68" t="s">
        <v>572</v>
      </c>
      <c r="D68">
        <v>15</v>
      </c>
    </row>
    <row r="69" spans="1:4" x14ac:dyDescent="0.35">
      <c r="A69" t="s">
        <v>65</v>
      </c>
      <c r="B69">
        <v>0</v>
      </c>
      <c r="C69" t="s">
        <v>572</v>
      </c>
      <c r="D69">
        <v>15</v>
      </c>
    </row>
    <row r="70" spans="1:4" x14ac:dyDescent="0.35">
      <c r="A70" t="s">
        <v>66</v>
      </c>
      <c r="B70">
        <v>0</v>
      </c>
      <c r="C70" t="s">
        <v>572</v>
      </c>
      <c r="D70">
        <v>15</v>
      </c>
    </row>
    <row r="71" spans="1:4" x14ac:dyDescent="0.35">
      <c r="A71" t="s">
        <v>67</v>
      </c>
      <c r="B71">
        <v>0</v>
      </c>
      <c r="C71" t="s">
        <v>572</v>
      </c>
      <c r="D71">
        <v>15</v>
      </c>
    </row>
    <row r="72" spans="1:4" x14ac:dyDescent="0.35">
      <c r="A72" t="s">
        <v>68</v>
      </c>
      <c r="B72">
        <v>0</v>
      </c>
      <c r="C72" t="s">
        <v>572</v>
      </c>
      <c r="D72">
        <v>15</v>
      </c>
    </row>
    <row r="73" spans="1:4" x14ac:dyDescent="0.35">
      <c r="A73" t="s">
        <v>69</v>
      </c>
      <c r="B73">
        <v>0</v>
      </c>
      <c r="C73" t="s">
        <v>572</v>
      </c>
      <c r="D73">
        <v>15</v>
      </c>
    </row>
    <row r="74" spans="1:4" x14ac:dyDescent="0.35">
      <c r="A74" t="s">
        <v>70</v>
      </c>
      <c r="B74">
        <v>0</v>
      </c>
      <c r="C74" t="s">
        <v>572</v>
      </c>
      <c r="D74">
        <v>15</v>
      </c>
    </row>
    <row r="75" spans="1:4" x14ac:dyDescent="0.35">
      <c r="A75" t="s">
        <v>71</v>
      </c>
      <c r="B75">
        <v>9034</v>
      </c>
      <c r="C75" t="s">
        <v>572</v>
      </c>
      <c r="D75">
        <v>15</v>
      </c>
    </row>
    <row r="76" spans="1:4" x14ac:dyDescent="0.35">
      <c r="A76" t="s">
        <v>72</v>
      </c>
      <c r="B76">
        <v>0</v>
      </c>
      <c r="C76" t="s">
        <v>572</v>
      </c>
      <c r="D76">
        <v>15</v>
      </c>
    </row>
    <row r="77" spans="1:4" x14ac:dyDescent="0.35">
      <c r="A77" t="s">
        <v>73</v>
      </c>
      <c r="B77">
        <v>97820</v>
      </c>
      <c r="C77" t="s">
        <v>572</v>
      </c>
      <c r="D77">
        <v>15</v>
      </c>
    </row>
    <row r="78" spans="1:4" x14ac:dyDescent="0.35">
      <c r="A78" t="s">
        <v>74</v>
      </c>
      <c r="B78">
        <v>0</v>
      </c>
      <c r="C78" t="s">
        <v>572</v>
      </c>
      <c r="D78">
        <v>15</v>
      </c>
    </row>
    <row r="79" spans="1:4" x14ac:dyDescent="0.35">
      <c r="A79" t="s">
        <v>75</v>
      </c>
      <c r="B79">
        <v>0</v>
      </c>
      <c r="C79" t="s">
        <v>572</v>
      </c>
      <c r="D79">
        <v>15</v>
      </c>
    </row>
    <row r="80" spans="1:4" x14ac:dyDescent="0.35">
      <c r="A80" t="s">
        <v>76</v>
      </c>
      <c r="B80">
        <v>0</v>
      </c>
      <c r="C80" t="s">
        <v>573</v>
      </c>
      <c r="D80">
        <v>60</v>
      </c>
    </row>
    <row r="81" spans="1:4" x14ac:dyDescent="0.35">
      <c r="A81" t="s">
        <v>77</v>
      </c>
      <c r="B81">
        <v>0</v>
      </c>
      <c r="C81" t="s">
        <v>574</v>
      </c>
      <c r="D81">
        <v>59</v>
      </c>
    </row>
    <row r="82" spans="1:4" x14ac:dyDescent="0.35">
      <c r="A82" t="s">
        <v>78</v>
      </c>
      <c r="B82">
        <v>0</v>
      </c>
      <c r="C82" t="s">
        <v>575</v>
      </c>
      <c r="D82">
        <v>14</v>
      </c>
    </row>
    <row r="83" spans="1:4" x14ac:dyDescent="0.35">
      <c r="A83" t="s">
        <v>79</v>
      </c>
      <c r="B83">
        <v>0</v>
      </c>
      <c r="C83" t="s">
        <v>575</v>
      </c>
      <c r="D83">
        <v>14</v>
      </c>
    </row>
    <row r="84" spans="1:4" x14ac:dyDescent="0.35">
      <c r="A84" t="s">
        <v>80</v>
      </c>
      <c r="B84">
        <v>2043</v>
      </c>
      <c r="C84" t="s">
        <v>575</v>
      </c>
      <c r="D84">
        <v>14</v>
      </c>
    </row>
    <row r="85" spans="1:4" x14ac:dyDescent="0.35">
      <c r="A85" t="s">
        <v>81</v>
      </c>
      <c r="B85">
        <v>0</v>
      </c>
      <c r="C85" t="s">
        <v>576</v>
      </c>
      <c r="D85">
        <v>62</v>
      </c>
    </row>
    <row r="86" spans="1:4" x14ac:dyDescent="0.35">
      <c r="A86" t="s">
        <v>82</v>
      </c>
      <c r="B86">
        <v>0</v>
      </c>
      <c r="C86" t="s">
        <v>577</v>
      </c>
      <c r="D86">
        <v>66</v>
      </c>
    </row>
    <row r="87" spans="1:4" x14ac:dyDescent="0.35">
      <c r="A87" t="s">
        <v>83</v>
      </c>
      <c r="B87">
        <v>0</v>
      </c>
      <c r="C87" t="s">
        <v>577</v>
      </c>
      <c r="D87">
        <v>66</v>
      </c>
    </row>
    <row r="88" spans="1:4" x14ac:dyDescent="0.35">
      <c r="A88" t="s">
        <v>84</v>
      </c>
      <c r="B88">
        <v>0</v>
      </c>
      <c r="C88" t="s">
        <v>577</v>
      </c>
      <c r="D88">
        <v>66</v>
      </c>
    </row>
    <row r="89" spans="1:4" x14ac:dyDescent="0.35">
      <c r="A89" t="s">
        <v>85</v>
      </c>
      <c r="B89">
        <v>0</v>
      </c>
      <c r="C89" t="s">
        <v>578</v>
      </c>
      <c r="D89">
        <v>12</v>
      </c>
    </row>
    <row r="90" spans="1:4" x14ac:dyDescent="0.35">
      <c r="A90" t="s">
        <v>86</v>
      </c>
      <c r="B90">
        <v>639</v>
      </c>
      <c r="C90" t="s">
        <v>579</v>
      </c>
      <c r="D90">
        <v>11</v>
      </c>
    </row>
    <row r="91" spans="1:4" x14ac:dyDescent="0.35">
      <c r="A91" t="s">
        <v>87</v>
      </c>
      <c r="B91">
        <v>0</v>
      </c>
      <c r="C91" t="s">
        <v>579</v>
      </c>
      <c r="D91">
        <v>11</v>
      </c>
    </row>
    <row r="92" spans="1:4" x14ac:dyDescent="0.35">
      <c r="A92" t="s">
        <v>88</v>
      </c>
      <c r="B92">
        <v>0</v>
      </c>
      <c r="C92" t="s">
        <v>579</v>
      </c>
      <c r="D92">
        <v>11</v>
      </c>
    </row>
    <row r="93" spans="1:4" x14ac:dyDescent="0.35">
      <c r="A93" t="s">
        <v>89</v>
      </c>
      <c r="B93">
        <v>0</v>
      </c>
      <c r="C93" t="s">
        <v>580</v>
      </c>
      <c r="D93">
        <v>10</v>
      </c>
    </row>
    <row r="94" spans="1:4" x14ac:dyDescent="0.35">
      <c r="A94" t="s">
        <v>90</v>
      </c>
      <c r="B94">
        <v>0</v>
      </c>
      <c r="C94" t="s">
        <v>580</v>
      </c>
      <c r="D94">
        <v>10</v>
      </c>
    </row>
    <row r="95" spans="1:4" x14ac:dyDescent="0.35">
      <c r="A95" t="s">
        <v>91</v>
      </c>
      <c r="B95">
        <v>0</v>
      </c>
      <c r="C95" t="s">
        <v>580</v>
      </c>
      <c r="D95">
        <v>10</v>
      </c>
    </row>
    <row r="96" spans="1:4" x14ac:dyDescent="0.35">
      <c r="A96" t="s">
        <v>92</v>
      </c>
      <c r="B96">
        <v>0</v>
      </c>
      <c r="C96" t="s">
        <v>581</v>
      </c>
      <c r="D96">
        <v>55</v>
      </c>
    </row>
    <row r="97" spans="1:4" x14ac:dyDescent="0.35">
      <c r="A97" t="s">
        <v>93</v>
      </c>
      <c r="B97">
        <v>0</v>
      </c>
      <c r="C97" t="s">
        <v>582</v>
      </c>
      <c r="D97">
        <v>103</v>
      </c>
    </row>
    <row r="98" spans="1:4" x14ac:dyDescent="0.35">
      <c r="A98" t="s">
        <v>94</v>
      </c>
      <c r="B98">
        <v>0</v>
      </c>
      <c r="C98" t="s">
        <v>583</v>
      </c>
      <c r="D98">
        <v>8</v>
      </c>
    </row>
    <row r="99" spans="1:4" x14ac:dyDescent="0.35">
      <c r="A99" t="s">
        <v>95</v>
      </c>
      <c r="B99">
        <v>0</v>
      </c>
      <c r="C99" t="s">
        <v>584</v>
      </c>
      <c r="D99">
        <v>9</v>
      </c>
    </row>
    <row r="100" spans="1:4" x14ac:dyDescent="0.35">
      <c r="A100" t="s">
        <v>96</v>
      </c>
      <c r="B100">
        <v>403197</v>
      </c>
      <c r="C100" t="s">
        <v>585</v>
      </c>
      <c r="D100">
        <v>93</v>
      </c>
    </row>
    <row r="101" spans="1:4" x14ac:dyDescent="0.35">
      <c r="A101" t="s">
        <v>97</v>
      </c>
      <c r="B101">
        <v>442649</v>
      </c>
      <c r="C101" t="s">
        <v>585</v>
      </c>
      <c r="D101">
        <v>93</v>
      </c>
    </row>
    <row r="102" spans="1:4" x14ac:dyDescent="0.35">
      <c r="A102" t="s">
        <v>98</v>
      </c>
      <c r="B102">
        <v>0</v>
      </c>
      <c r="C102" t="s">
        <v>542</v>
      </c>
      <c r="D102">
        <v>100</v>
      </c>
    </row>
    <row r="103" spans="1:4" x14ac:dyDescent="0.35">
      <c r="A103" t="s">
        <v>99</v>
      </c>
      <c r="B103">
        <v>0</v>
      </c>
      <c r="C103" t="s">
        <v>542</v>
      </c>
      <c r="D103">
        <v>100</v>
      </c>
    </row>
    <row r="104" spans="1:4" x14ac:dyDescent="0.35">
      <c r="A104" t="s">
        <v>100</v>
      </c>
      <c r="B104">
        <v>0</v>
      </c>
      <c r="C104" t="s">
        <v>586</v>
      </c>
      <c r="D104">
        <v>102</v>
      </c>
    </row>
    <row r="105" spans="1:4" x14ac:dyDescent="0.35">
      <c r="A105" t="s">
        <v>101</v>
      </c>
      <c r="B105">
        <v>0</v>
      </c>
      <c r="C105" t="s">
        <v>587</v>
      </c>
      <c r="D105">
        <v>13</v>
      </c>
    </row>
    <row r="106" spans="1:4" x14ac:dyDescent="0.35">
      <c r="A106" t="s">
        <v>102</v>
      </c>
      <c r="B106">
        <v>0</v>
      </c>
      <c r="C106" t="s">
        <v>587</v>
      </c>
      <c r="D106">
        <v>13</v>
      </c>
    </row>
    <row r="107" spans="1:4" x14ac:dyDescent="0.35">
      <c r="A107" t="s">
        <v>103</v>
      </c>
      <c r="B107">
        <v>0</v>
      </c>
      <c r="C107" t="s">
        <v>588</v>
      </c>
      <c r="D107">
        <v>4</v>
      </c>
    </row>
    <row r="108" spans="1:4" x14ac:dyDescent="0.35">
      <c r="A108" t="s">
        <v>104</v>
      </c>
      <c r="B108">
        <v>0</v>
      </c>
      <c r="C108" t="s">
        <v>545</v>
      </c>
      <c r="D108">
        <v>98</v>
      </c>
    </row>
    <row r="109" spans="1:4" x14ac:dyDescent="0.35">
      <c r="A109" t="s">
        <v>105</v>
      </c>
      <c r="B109">
        <v>0</v>
      </c>
      <c r="C109" t="s">
        <v>548</v>
      </c>
      <c r="D109">
        <v>72</v>
      </c>
    </row>
    <row r="110" spans="1:4" x14ac:dyDescent="0.35">
      <c r="A110" t="s">
        <v>106</v>
      </c>
      <c r="B110">
        <v>39396</v>
      </c>
      <c r="C110" t="s">
        <v>589</v>
      </c>
      <c r="D110">
        <v>1</v>
      </c>
    </row>
    <row r="111" spans="1:4" x14ac:dyDescent="0.35">
      <c r="A111" t="s">
        <v>28</v>
      </c>
      <c r="B111">
        <v>0</v>
      </c>
      <c r="C111" t="s">
        <v>590</v>
      </c>
      <c r="D111">
        <v>64</v>
      </c>
    </row>
    <row r="112" spans="1:4" x14ac:dyDescent="0.35">
      <c r="A112" t="s">
        <v>107</v>
      </c>
      <c r="B112">
        <v>0</v>
      </c>
      <c r="C112" t="s">
        <v>590</v>
      </c>
      <c r="D112">
        <v>64</v>
      </c>
    </row>
    <row r="113" spans="1:4" x14ac:dyDescent="0.35">
      <c r="A113" t="s">
        <v>108</v>
      </c>
      <c r="B113">
        <v>0</v>
      </c>
      <c r="C113" t="s">
        <v>590</v>
      </c>
      <c r="D113">
        <v>64</v>
      </c>
    </row>
    <row r="114" spans="1:4" x14ac:dyDescent="0.35">
      <c r="A114" t="s">
        <v>109</v>
      </c>
      <c r="B114">
        <v>0</v>
      </c>
      <c r="C114" t="s">
        <v>553</v>
      </c>
      <c r="D114">
        <v>91</v>
      </c>
    </row>
    <row r="115" spans="1:4" x14ac:dyDescent="0.35">
      <c r="A115" t="s">
        <v>110</v>
      </c>
      <c r="B115">
        <v>577165</v>
      </c>
      <c r="C115" t="s">
        <v>553</v>
      </c>
      <c r="D115">
        <v>91</v>
      </c>
    </row>
    <row r="116" spans="1:4" x14ac:dyDescent="0.35">
      <c r="A116" t="s">
        <v>111</v>
      </c>
      <c r="B116">
        <v>536243</v>
      </c>
      <c r="C116" t="s">
        <v>553</v>
      </c>
      <c r="D116">
        <v>2</v>
      </c>
    </row>
    <row r="117" spans="1:4" x14ac:dyDescent="0.35">
      <c r="A117" t="s">
        <v>112</v>
      </c>
      <c r="B117">
        <v>0</v>
      </c>
      <c r="C117" t="s">
        <v>553</v>
      </c>
      <c r="D117">
        <v>2</v>
      </c>
    </row>
    <row r="118" spans="1:4" x14ac:dyDescent="0.35">
      <c r="A118" t="s">
        <v>107</v>
      </c>
      <c r="B118">
        <v>0</v>
      </c>
      <c r="C118" t="s">
        <v>553</v>
      </c>
      <c r="D118">
        <v>2</v>
      </c>
    </row>
    <row r="119" spans="1:4" x14ac:dyDescent="0.35">
      <c r="A119" t="s">
        <v>113</v>
      </c>
      <c r="B119">
        <v>0</v>
      </c>
      <c r="C119" t="s">
        <v>553</v>
      </c>
      <c r="D119">
        <v>2</v>
      </c>
    </row>
    <row r="120" spans="1:4" x14ac:dyDescent="0.35">
      <c r="A120" t="s">
        <v>114</v>
      </c>
      <c r="B120">
        <v>0</v>
      </c>
      <c r="C120" t="s">
        <v>556</v>
      </c>
      <c r="D120">
        <v>16</v>
      </c>
    </row>
    <row r="121" spans="1:4" x14ac:dyDescent="0.35">
      <c r="A121" t="s">
        <v>115</v>
      </c>
      <c r="B121">
        <v>0</v>
      </c>
      <c r="C121" t="s">
        <v>556</v>
      </c>
      <c r="D121">
        <v>16</v>
      </c>
    </row>
    <row r="122" spans="1:4" x14ac:dyDescent="0.35">
      <c r="A122" t="s">
        <v>116</v>
      </c>
      <c r="B122">
        <v>0</v>
      </c>
      <c r="C122" t="s">
        <v>556</v>
      </c>
      <c r="D122">
        <v>16</v>
      </c>
    </row>
    <row r="123" spans="1:4" x14ac:dyDescent="0.35">
      <c r="A123" t="s">
        <v>117</v>
      </c>
      <c r="B123">
        <v>0</v>
      </c>
      <c r="C123" t="s">
        <v>556</v>
      </c>
      <c r="D123">
        <v>16</v>
      </c>
    </row>
    <row r="124" spans="1:4" x14ac:dyDescent="0.35">
      <c r="A124" t="s">
        <v>118</v>
      </c>
      <c r="B124">
        <v>0</v>
      </c>
      <c r="C124" t="s">
        <v>556</v>
      </c>
      <c r="D124">
        <v>16</v>
      </c>
    </row>
    <row r="125" spans="1:4" x14ac:dyDescent="0.35">
      <c r="A125" t="s">
        <v>119</v>
      </c>
      <c r="B125">
        <v>2</v>
      </c>
      <c r="C125" t="s">
        <v>556</v>
      </c>
      <c r="D125">
        <v>16</v>
      </c>
    </row>
    <row r="126" spans="1:4" x14ac:dyDescent="0.35">
      <c r="A126" t="s">
        <v>120</v>
      </c>
      <c r="B126">
        <v>0</v>
      </c>
      <c r="C126" t="s">
        <v>556</v>
      </c>
      <c r="D126">
        <v>16</v>
      </c>
    </row>
    <row r="127" spans="1:4" x14ac:dyDescent="0.35">
      <c r="A127" t="s">
        <v>121</v>
      </c>
      <c r="B127">
        <v>2</v>
      </c>
      <c r="C127" t="s">
        <v>556</v>
      </c>
      <c r="D127">
        <v>16</v>
      </c>
    </row>
    <row r="128" spans="1:4" x14ac:dyDescent="0.35">
      <c r="A128" t="s">
        <v>122</v>
      </c>
      <c r="B128">
        <v>0</v>
      </c>
      <c r="C128" t="s">
        <v>556</v>
      </c>
      <c r="D128">
        <v>16</v>
      </c>
    </row>
    <row r="129" spans="1:4" x14ac:dyDescent="0.35">
      <c r="A129" t="s">
        <v>123</v>
      </c>
      <c r="B129">
        <v>2</v>
      </c>
      <c r="C129" t="s">
        <v>556</v>
      </c>
      <c r="D129">
        <v>16</v>
      </c>
    </row>
    <row r="130" spans="1:4" x14ac:dyDescent="0.35">
      <c r="A130" t="s">
        <v>124</v>
      </c>
      <c r="B130">
        <v>0</v>
      </c>
      <c r="C130" t="s">
        <v>556</v>
      </c>
      <c r="D130">
        <v>16</v>
      </c>
    </row>
    <row r="131" spans="1:4" x14ac:dyDescent="0.35">
      <c r="A131" t="s">
        <v>125</v>
      </c>
      <c r="B131">
        <v>0</v>
      </c>
      <c r="C131" t="s">
        <v>556</v>
      </c>
      <c r="D131">
        <v>16</v>
      </c>
    </row>
    <row r="132" spans="1:4" x14ac:dyDescent="0.35">
      <c r="A132" t="s">
        <v>126</v>
      </c>
      <c r="B132">
        <v>0</v>
      </c>
      <c r="C132" t="s">
        <v>556</v>
      </c>
      <c r="D132">
        <v>16</v>
      </c>
    </row>
    <row r="133" spans="1:4" x14ac:dyDescent="0.35">
      <c r="A133" t="s">
        <v>127</v>
      </c>
      <c r="B133">
        <v>0</v>
      </c>
      <c r="C133" t="s">
        <v>591</v>
      </c>
      <c r="D133">
        <v>83</v>
      </c>
    </row>
    <row r="134" spans="1:4" x14ac:dyDescent="0.35">
      <c r="A134" t="s">
        <v>128</v>
      </c>
      <c r="B134">
        <v>0</v>
      </c>
      <c r="C134" t="s">
        <v>564</v>
      </c>
      <c r="D134">
        <v>17</v>
      </c>
    </row>
    <row r="135" spans="1:4" x14ac:dyDescent="0.35">
      <c r="A135" t="s">
        <v>129</v>
      </c>
      <c r="B135">
        <v>0</v>
      </c>
      <c r="C135" t="s">
        <v>564</v>
      </c>
      <c r="D135">
        <v>17</v>
      </c>
    </row>
    <row r="136" spans="1:4" x14ac:dyDescent="0.35">
      <c r="A136" t="s">
        <v>130</v>
      </c>
      <c r="B136">
        <v>0</v>
      </c>
      <c r="C136" t="s">
        <v>565</v>
      </c>
      <c r="D136">
        <v>63</v>
      </c>
    </row>
    <row r="137" spans="1:4" x14ac:dyDescent="0.35">
      <c r="A137" t="s">
        <v>131</v>
      </c>
      <c r="B137">
        <v>0</v>
      </c>
      <c r="C137" t="s">
        <v>592</v>
      </c>
      <c r="D137">
        <v>85</v>
      </c>
    </row>
    <row r="138" spans="1:4" x14ac:dyDescent="0.35">
      <c r="A138" t="s">
        <v>132</v>
      </c>
      <c r="B138">
        <v>0</v>
      </c>
      <c r="C138" t="s">
        <v>567</v>
      </c>
      <c r="D138">
        <v>82</v>
      </c>
    </row>
    <row r="139" spans="1:4" x14ac:dyDescent="0.35">
      <c r="A139" t="s">
        <v>133</v>
      </c>
      <c r="B139">
        <v>0</v>
      </c>
      <c r="C139" t="s">
        <v>593</v>
      </c>
      <c r="D139">
        <v>87</v>
      </c>
    </row>
    <row r="140" spans="1:4" x14ac:dyDescent="0.35">
      <c r="A140" t="s">
        <v>134</v>
      </c>
      <c r="B140">
        <v>0</v>
      </c>
      <c r="C140" t="s">
        <v>594</v>
      </c>
      <c r="D140">
        <v>88</v>
      </c>
    </row>
    <row r="141" spans="1:4" x14ac:dyDescent="0.35">
      <c r="A141" t="s">
        <v>135</v>
      </c>
      <c r="B141">
        <v>0</v>
      </c>
      <c r="C141" t="s">
        <v>594</v>
      </c>
      <c r="D141">
        <v>88</v>
      </c>
    </row>
    <row r="142" spans="1:4" x14ac:dyDescent="0.35">
      <c r="A142" t="s">
        <v>136</v>
      </c>
      <c r="B142">
        <v>0</v>
      </c>
      <c r="C142" t="s">
        <v>595</v>
      </c>
      <c r="D142">
        <v>22</v>
      </c>
    </row>
    <row r="143" spans="1:4" x14ac:dyDescent="0.35">
      <c r="A143" t="s">
        <v>61</v>
      </c>
      <c r="B143">
        <v>5749</v>
      </c>
      <c r="C143" t="s">
        <v>570</v>
      </c>
      <c r="D143">
        <v>37</v>
      </c>
    </row>
    <row r="144" spans="1:4" x14ac:dyDescent="0.35">
      <c r="A144" t="s">
        <v>61</v>
      </c>
      <c r="B144">
        <v>153</v>
      </c>
      <c r="C144" t="s">
        <v>570</v>
      </c>
      <c r="D144">
        <v>38</v>
      </c>
    </row>
    <row r="145" spans="1:4" x14ac:dyDescent="0.35">
      <c r="A145" t="s">
        <v>58</v>
      </c>
      <c r="B145">
        <v>0</v>
      </c>
      <c r="C145" t="s">
        <v>570</v>
      </c>
      <c r="D145">
        <v>36</v>
      </c>
    </row>
    <row r="146" spans="1:4" x14ac:dyDescent="0.35">
      <c r="A146" t="s">
        <v>62</v>
      </c>
      <c r="B146">
        <v>2876871</v>
      </c>
      <c r="C146" t="s">
        <v>571</v>
      </c>
      <c r="D146">
        <v>40</v>
      </c>
    </row>
    <row r="147" spans="1:4" x14ac:dyDescent="0.35">
      <c r="A147" t="s">
        <v>137</v>
      </c>
      <c r="B147">
        <v>27173</v>
      </c>
      <c r="C147" t="s">
        <v>572</v>
      </c>
      <c r="D147">
        <v>15</v>
      </c>
    </row>
    <row r="148" spans="1:4" x14ac:dyDescent="0.35">
      <c r="A148" t="s">
        <v>138</v>
      </c>
      <c r="B148">
        <v>9771</v>
      </c>
      <c r="C148" t="s">
        <v>572</v>
      </c>
      <c r="D148">
        <v>15</v>
      </c>
    </row>
    <row r="149" spans="1:4" x14ac:dyDescent="0.35">
      <c r="A149" t="s">
        <v>139</v>
      </c>
      <c r="B149">
        <v>0</v>
      </c>
      <c r="C149" t="s">
        <v>572</v>
      </c>
      <c r="D149">
        <v>15</v>
      </c>
    </row>
    <row r="150" spans="1:4" x14ac:dyDescent="0.35">
      <c r="A150" t="s">
        <v>140</v>
      </c>
      <c r="B150">
        <v>62433</v>
      </c>
      <c r="C150" t="s">
        <v>572</v>
      </c>
      <c r="D150">
        <v>15</v>
      </c>
    </row>
    <row r="151" spans="1:4" x14ac:dyDescent="0.35">
      <c r="A151" t="s">
        <v>141</v>
      </c>
      <c r="B151">
        <v>240</v>
      </c>
      <c r="C151" t="s">
        <v>572</v>
      </c>
      <c r="D151">
        <v>15</v>
      </c>
    </row>
    <row r="152" spans="1:4" x14ac:dyDescent="0.35">
      <c r="A152" t="s">
        <v>142</v>
      </c>
      <c r="B152">
        <v>0</v>
      </c>
      <c r="C152" t="s">
        <v>572</v>
      </c>
      <c r="D152">
        <v>15</v>
      </c>
    </row>
    <row r="153" spans="1:4" x14ac:dyDescent="0.35">
      <c r="A153" t="s">
        <v>143</v>
      </c>
      <c r="B153">
        <v>5</v>
      </c>
      <c r="C153" t="s">
        <v>572</v>
      </c>
      <c r="D153">
        <v>15</v>
      </c>
    </row>
    <row r="154" spans="1:4" x14ac:dyDescent="0.35">
      <c r="A154" t="s">
        <v>144</v>
      </c>
      <c r="B154">
        <v>0</v>
      </c>
      <c r="C154" t="s">
        <v>572</v>
      </c>
      <c r="D154">
        <v>15</v>
      </c>
    </row>
    <row r="155" spans="1:4" x14ac:dyDescent="0.35">
      <c r="A155" t="s">
        <v>145</v>
      </c>
      <c r="B155">
        <v>0</v>
      </c>
      <c r="C155" t="s">
        <v>572</v>
      </c>
      <c r="D155">
        <v>15</v>
      </c>
    </row>
    <row r="156" spans="1:4" x14ac:dyDescent="0.35">
      <c r="A156" t="s">
        <v>146</v>
      </c>
      <c r="B156">
        <v>0</v>
      </c>
      <c r="C156" t="s">
        <v>572</v>
      </c>
      <c r="D156">
        <v>15</v>
      </c>
    </row>
    <row r="157" spans="1:4" x14ac:dyDescent="0.35">
      <c r="A157" t="s">
        <v>147</v>
      </c>
      <c r="B157">
        <v>0</v>
      </c>
      <c r="C157" t="s">
        <v>596</v>
      </c>
      <c r="D157">
        <v>47</v>
      </c>
    </row>
    <row r="158" spans="1:4" x14ac:dyDescent="0.35">
      <c r="A158" t="s">
        <v>148</v>
      </c>
      <c r="B158">
        <v>0</v>
      </c>
      <c r="C158" t="s">
        <v>577</v>
      </c>
      <c r="D158">
        <v>66</v>
      </c>
    </row>
    <row r="159" spans="1:4" x14ac:dyDescent="0.35">
      <c r="A159" t="s">
        <v>149</v>
      </c>
      <c r="B159">
        <v>0</v>
      </c>
      <c r="C159" t="s">
        <v>597</v>
      </c>
      <c r="D159">
        <v>80</v>
      </c>
    </row>
    <row r="160" spans="1:4" x14ac:dyDescent="0.35">
      <c r="A160" t="s">
        <v>150</v>
      </c>
      <c r="B160">
        <v>0</v>
      </c>
      <c r="C160" t="s">
        <v>598</v>
      </c>
      <c r="D160">
        <v>56</v>
      </c>
    </row>
    <row r="161" spans="1:4" x14ac:dyDescent="0.35">
      <c r="A161" t="s">
        <v>151</v>
      </c>
      <c r="B161">
        <v>639</v>
      </c>
      <c r="C161" t="s">
        <v>579</v>
      </c>
      <c r="D161">
        <v>11</v>
      </c>
    </row>
    <row r="162" spans="1:4" x14ac:dyDescent="0.35">
      <c r="A162" t="s">
        <v>152</v>
      </c>
      <c r="B162">
        <v>1</v>
      </c>
      <c r="C162" t="s">
        <v>579</v>
      </c>
      <c r="D162">
        <v>11</v>
      </c>
    </row>
    <row r="163" spans="1:4" x14ac:dyDescent="0.35">
      <c r="A163" t="s">
        <v>153</v>
      </c>
      <c r="B163">
        <v>0</v>
      </c>
      <c r="C163" t="s">
        <v>580</v>
      </c>
      <c r="D163">
        <v>10</v>
      </c>
    </row>
    <row r="164" spans="1:4" x14ac:dyDescent="0.35">
      <c r="A164" t="s">
        <v>154</v>
      </c>
      <c r="B164">
        <v>0</v>
      </c>
      <c r="C164" t="s">
        <v>581</v>
      </c>
      <c r="D164">
        <v>55</v>
      </c>
    </row>
    <row r="165" spans="1:4" x14ac:dyDescent="0.35">
      <c r="A165" t="s">
        <v>155</v>
      </c>
      <c r="B165">
        <v>0</v>
      </c>
      <c r="C165" t="s">
        <v>581</v>
      </c>
      <c r="D165">
        <v>55</v>
      </c>
    </row>
    <row r="166" spans="1:4" x14ac:dyDescent="0.35">
      <c r="A166" t="s">
        <v>156</v>
      </c>
      <c r="B166">
        <v>0</v>
      </c>
      <c r="C166" t="s">
        <v>581</v>
      </c>
      <c r="D166">
        <v>55</v>
      </c>
    </row>
    <row r="167" spans="1:4" x14ac:dyDescent="0.35">
      <c r="A167" t="s">
        <v>157</v>
      </c>
      <c r="B167">
        <v>0</v>
      </c>
      <c r="C167" t="s">
        <v>599</v>
      </c>
      <c r="D167">
        <v>58</v>
      </c>
    </row>
    <row r="168" spans="1:4" x14ac:dyDescent="0.35">
      <c r="A168" t="s">
        <v>158</v>
      </c>
      <c r="B168">
        <v>402580</v>
      </c>
      <c r="C168" t="s">
        <v>585</v>
      </c>
      <c r="D168">
        <v>93</v>
      </c>
    </row>
    <row r="169" spans="1:4" x14ac:dyDescent="0.35">
      <c r="A169" t="s">
        <v>159</v>
      </c>
      <c r="B169">
        <v>14674</v>
      </c>
      <c r="C169" t="s">
        <v>585</v>
      </c>
      <c r="D169">
        <v>93</v>
      </c>
    </row>
    <row r="170" spans="1:4" x14ac:dyDescent="0.35">
      <c r="A170" t="s">
        <v>160</v>
      </c>
      <c r="B170">
        <v>579392</v>
      </c>
      <c r="C170" t="s">
        <v>542</v>
      </c>
      <c r="D170">
        <v>100</v>
      </c>
    </row>
    <row r="171" spans="1:4" x14ac:dyDescent="0.35">
      <c r="A171" t="s">
        <v>161</v>
      </c>
      <c r="B171">
        <v>0</v>
      </c>
      <c r="C171" t="s">
        <v>600</v>
      </c>
      <c r="D171">
        <v>101</v>
      </c>
    </row>
    <row r="172" spans="1:4" x14ac:dyDescent="0.35">
      <c r="A172" t="s">
        <v>162</v>
      </c>
      <c r="B172">
        <v>0</v>
      </c>
      <c r="C172" t="s">
        <v>545</v>
      </c>
      <c r="D172">
        <v>98</v>
      </c>
    </row>
    <row r="173" spans="1:4" x14ac:dyDescent="0.35">
      <c r="A173" t="s">
        <v>163</v>
      </c>
      <c r="B173">
        <v>0</v>
      </c>
      <c r="C173" t="s">
        <v>545</v>
      </c>
      <c r="D173">
        <v>98</v>
      </c>
    </row>
    <row r="174" spans="1:4" x14ac:dyDescent="0.35">
      <c r="A174" t="s">
        <v>164</v>
      </c>
      <c r="B174">
        <v>22396043</v>
      </c>
      <c r="C174" t="s">
        <v>545</v>
      </c>
      <c r="D174">
        <v>98</v>
      </c>
    </row>
    <row r="175" spans="1:4" x14ac:dyDescent="0.35">
      <c r="A175" t="s">
        <v>165</v>
      </c>
      <c r="B175">
        <v>0</v>
      </c>
      <c r="C175" t="s">
        <v>548</v>
      </c>
      <c r="D175">
        <v>72</v>
      </c>
    </row>
    <row r="176" spans="1:4" x14ac:dyDescent="0.35">
      <c r="A176" t="s">
        <v>166</v>
      </c>
      <c r="B176">
        <v>0</v>
      </c>
      <c r="C176" t="s">
        <v>548</v>
      </c>
      <c r="D176">
        <v>72</v>
      </c>
    </row>
    <row r="177" spans="1:4" x14ac:dyDescent="0.35">
      <c r="A177" t="s">
        <v>167</v>
      </c>
      <c r="B177">
        <v>0</v>
      </c>
      <c r="C177" t="s">
        <v>589</v>
      </c>
      <c r="D177">
        <v>1</v>
      </c>
    </row>
    <row r="178" spans="1:4" x14ac:dyDescent="0.35">
      <c r="A178" t="s">
        <v>168</v>
      </c>
      <c r="B178">
        <v>6428</v>
      </c>
      <c r="C178" t="s">
        <v>550</v>
      </c>
      <c r="D178">
        <v>3</v>
      </c>
    </row>
    <row r="179" spans="1:4" x14ac:dyDescent="0.35">
      <c r="A179" t="s">
        <v>26</v>
      </c>
      <c r="B179">
        <v>0</v>
      </c>
      <c r="C179" t="s">
        <v>590</v>
      </c>
      <c r="D179">
        <v>64</v>
      </c>
    </row>
    <row r="180" spans="1:4" x14ac:dyDescent="0.35">
      <c r="A180" t="s">
        <v>169</v>
      </c>
      <c r="B180">
        <v>0</v>
      </c>
      <c r="C180" t="s">
        <v>590</v>
      </c>
      <c r="D180">
        <v>64</v>
      </c>
    </row>
    <row r="181" spans="1:4" x14ac:dyDescent="0.35">
      <c r="A181" t="s">
        <v>112</v>
      </c>
      <c r="B181">
        <v>0</v>
      </c>
      <c r="C181" t="s">
        <v>590</v>
      </c>
      <c r="D181">
        <v>64</v>
      </c>
    </row>
    <row r="182" spans="1:4" x14ac:dyDescent="0.35">
      <c r="A182" t="s">
        <v>170</v>
      </c>
      <c r="B182">
        <v>0</v>
      </c>
      <c r="C182" t="s">
        <v>553</v>
      </c>
      <c r="D182">
        <v>91</v>
      </c>
    </row>
    <row r="183" spans="1:4" x14ac:dyDescent="0.35">
      <c r="A183" t="s">
        <v>171</v>
      </c>
      <c r="B183">
        <v>189459</v>
      </c>
      <c r="C183" t="s">
        <v>553</v>
      </c>
      <c r="D183">
        <v>2</v>
      </c>
    </row>
    <row r="184" spans="1:4" x14ac:dyDescent="0.35">
      <c r="A184" t="s">
        <v>169</v>
      </c>
      <c r="B184">
        <v>0</v>
      </c>
      <c r="C184" t="s">
        <v>553</v>
      </c>
      <c r="D184">
        <v>2</v>
      </c>
    </row>
    <row r="185" spans="1:4" x14ac:dyDescent="0.35">
      <c r="A185" t="s">
        <v>108</v>
      </c>
      <c r="B185">
        <v>0</v>
      </c>
      <c r="C185" t="s">
        <v>553</v>
      </c>
      <c r="D185">
        <v>2</v>
      </c>
    </row>
    <row r="186" spans="1:4" x14ac:dyDescent="0.35">
      <c r="A186" t="s">
        <v>113</v>
      </c>
      <c r="B186">
        <v>0</v>
      </c>
      <c r="C186" t="s">
        <v>553</v>
      </c>
      <c r="D186">
        <v>91</v>
      </c>
    </row>
    <row r="187" spans="1:4" x14ac:dyDescent="0.35">
      <c r="A187" t="s">
        <v>172</v>
      </c>
      <c r="B187">
        <v>0</v>
      </c>
      <c r="C187" t="s">
        <v>556</v>
      </c>
      <c r="D187">
        <v>16</v>
      </c>
    </row>
    <row r="188" spans="1:4" x14ac:dyDescent="0.35">
      <c r="A188" t="s">
        <v>173</v>
      </c>
      <c r="B188">
        <v>0</v>
      </c>
      <c r="C188" t="s">
        <v>556</v>
      </c>
      <c r="D188">
        <v>16</v>
      </c>
    </row>
    <row r="189" spans="1:4" x14ac:dyDescent="0.35">
      <c r="A189" t="s">
        <v>174</v>
      </c>
      <c r="B189">
        <v>0</v>
      </c>
      <c r="C189" t="s">
        <v>556</v>
      </c>
      <c r="D189">
        <v>16</v>
      </c>
    </row>
    <row r="190" spans="1:4" x14ac:dyDescent="0.35">
      <c r="A190" t="s">
        <v>175</v>
      </c>
      <c r="B190">
        <v>0</v>
      </c>
      <c r="C190" t="s">
        <v>556</v>
      </c>
      <c r="D190">
        <v>16</v>
      </c>
    </row>
    <row r="191" spans="1:4" x14ac:dyDescent="0.35">
      <c r="A191" t="s">
        <v>176</v>
      </c>
      <c r="B191">
        <v>0</v>
      </c>
      <c r="C191" t="s">
        <v>556</v>
      </c>
      <c r="D191">
        <v>16</v>
      </c>
    </row>
    <row r="192" spans="1:4" x14ac:dyDescent="0.35">
      <c r="A192" t="s">
        <v>177</v>
      </c>
      <c r="B192">
        <v>0</v>
      </c>
      <c r="C192" t="s">
        <v>556</v>
      </c>
      <c r="D192">
        <v>16</v>
      </c>
    </row>
    <row r="193" spans="1:4" x14ac:dyDescent="0.35">
      <c r="A193" t="s">
        <v>178</v>
      </c>
      <c r="B193">
        <v>177</v>
      </c>
      <c r="C193" t="s">
        <v>556</v>
      </c>
      <c r="D193">
        <v>16</v>
      </c>
    </row>
    <row r="194" spans="1:4" x14ac:dyDescent="0.35">
      <c r="A194" t="s">
        <v>179</v>
      </c>
      <c r="B194">
        <v>1</v>
      </c>
      <c r="C194" t="s">
        <v>556</v>
      </c>
      <c r="D194">
        <v>16</v>
      </c>
    </row>
    <row r="195" spans="1:4" x14ac:dyDescent="0.35">
      <c r="A195" t="s">
        <v>180</v>
      </c>
      <c r="B195">
        <v>1</v>
      </c>
      <c r="C195" t="s">
        <v>556</v>
      </c>
      <c r="D195">
        <v>16</v>
      </c>
    </row>
    <row r="196" spans="1:4" x14ac:dyDescent="0.35">
      <c r="A196" t="s">
        <v>181</v>
      </c>
      <c r="B196">
        <v>0</v>
      </c>
      <c r="C196" t="s">
        <v>556</v>
      </c>
      <c r="D196">
        <v>16</v>
      </c>
    </row>
    <row r="197" spans="1:4" x14ac:dyDescent="0.35">
      <c r="A197" t="s">
        <v>182</v>
      </c>
      <c r="B197">
        <v>0</v>
      </c>
      <c r="C197" t="s">
        <v>556</v>
      </c>
      <c r="D197">
        <v>16</v>
      </c>
    </row>
    <row r="198" spans="1:4" x14ac:dyDescent="0.35">
      <c r="A198" t="s">
        <v>183</v>
      </c>
      <c r="B198">
        <v>0</v>
      </c>
      <c r="C198" t="s">
        <v>556</v>
      </c>
      <c r="D198">
        <v>16</v>
      </c>
    </row>
    <row r="199" spans="1:4" x14ac:dyDescent="0.35">
      <c r="A199" t="s">
        <v>184</v>
      </c>
      <c r="B199">
        <v>0</v>
      </c>
      <c r="C199" t="s">
        <v>556</v>
      </c>
      <c r="D199">
        <v>16</v>
      </c>
    </row>
    <row r="200" spans="1:4" x14ac:dyDescent="0.35">
      <c r="A200" t="s">
        <v>185</v>
      </c>
      <c r="B200">
        <v>0</v>
      </c>
      <c r="C200" t="s">
        <v>556</v>
      </c>
      <c r="D200">
        <v>16</v>
      </c>
    </row>
    <row r="201" spans="1:4" x14ac:dyDescent="0.35">
      <c r="A201" t="s">
        <v>186</v>
      </c>
      <c r="B201">
        <v>0</v>
      </c>
      <c r="C201" t="s">
        <v>556</v>
      </c>
      <c r="D201">
        <v>16</v>
      </c>
    </row>
    <row r="202" spans="1:4" x14ac:dyDescent="0.35">
      <c r="A202" t="s">
        <v>187</v>
      </c>
      <c r="B202">
        <v>0</v>
      </c>
      <c r="C202" t="s">
        <v>556</v>
      </c>
      <c r="D202">
        <v>16</v>
      </c>
    </row>
    <row r="203" spans="1:4" x14ac:dyDescent="0.35">
      <c r="A203" t="s">
        <v>188</v>
      </c>
      <c r="B203">
        <v>0</v>
      </c>
      <c r="C203" t="s">
        <v>556</v>
      </c>
      <c r="D203">
        <v>16</v>
      </c>
    </row>
    <row r="204" spans="1:4" x14ac:dyDescent="0.35">
      <c r="A204" t="s">
        <v>189</v>
      </c>
      <c r="B204">
        <v>0</v>
      </c>
      <c r="C204" t="s">
        <v>556</v>
      </c>
      <c r="D204">
        <v>16</v>
      </c>
    </row>
    <row r="205" spans="1:4" x14ac:dyDescent="0.35">
      <c r="A205" t="s">
        <v>190</v>
      </c>
      <c r="B205">
        <v>66206</v>
      </c>
      <c r="C205" t="s">
        <v>556</v>
      </c>
      <c r="D205">
        <v>16</v>
      </c>
    </row>
    <row r="206" spans="1:4" x14ac:dyDescent="0.35">
      <c r="A206" t="s">
        <v>191</v>
      </c>
      <c r="B206">
        <v>0</v>
      </c>
      <c r="C206" t="s">
        <v>601</v>
      </c>
      <c r="D206">
        <v>54</v>
      </c>
    </row>
    <row r="207" spans="1:4" x14ac:dyDescent="0.35">
      <c r="A207" t="s">
        <v>192</v>
      </c>
      <c r="B207">
        <v>0</v>
      </c>
      <c r="C207" t="s">
        <v>602</v>
      </c>
      <c r="D207">
        <v>24</v>
      </c>
    </row>
    <row r="208" spans="1:4" x14ac:dyDescent="0.35">
      <c r="A208" t="s">
        <v>193</v>
      </c>
      <c r="B208">
        <v>0</v>
      </c>
      <c r="C208" t="s">
        <v>603</v>
      </c>
      <c r="D208">
        <v>34</v>
      </c>
    </row>
    <row r="209" spans="1:4" x14ac:dyDescent="0.35">
      <c r="A209" t="s">
        <v>194</v>
      </c>
      <c r="B209">
        <v>0</v>
      </c>
      <c r="C209" t="s">
        <v>604</v>
      </c>
      <c r="D209">
        <v>35</v>
      </c>
    </row>
    <row r="210" spans="1:4" x14ac:dyDescent="0.35">
      <c r="A210" t="s">
        <v>195</v>
      </c>
      <c r="B210">
        <v>0</v>
      </c>
      <c r="C210" t="s">
        <v>565</v>
      </c>
      <c r="D210">
        <v>63</v>
      </c>
    </row>
    <row r="211" spans="1:4" x14ac:dyDescent="0.35">
      <c r="A211" t="s">
        <v>196</v>
      </c>
      <c r="B211">
        <v>0</v>
      </c>
      <c r="C211" t="s">
        <v>565</v>
      </c>
      <c r="D211">
        <v>63</v>
      </c>
    </row>
    <row r="212" spans="1:4" x14ac:dyDescent="0.35">
      <c r="A212" t="s">
        <v>197</v>
      </c>
      <c r="B212">
        <v>0</v>
      </c>
      <c r="C212" t="s">
        <v>565</v>
      </c>
      <c r="D212">
        <v>63</v>
      </c>
    </row>
    <row r="213" spans="1:4" x14ac:dyDescent="0.35">
      <c r="A213" t="s">
        <v>198</v>
      </c>
      <c r="B213">
        <v>0</v>
      </c>
      <c r="C213" t="s">
        <v>567</v>
      </c>
      <c r="D213">
        <v>82</v>
      </c>
    </row>
    <row r="214" spans="1:4" x14ac:dyDescent="0.35">
      <c r="A214" t="s">
        <v>199</v>
      </c>
      <c r="B214">
        <v>0</v>
      </c>
      <c r="C214" t="s">
        <v>568</v>
      </c>
      <c r="D214">
        <v>21</v>
      </c>
    </row>
    <row r="215" spans="1:4" x14ac:dyDescent="0.35">
      <c r="A215" t="s">
        <v>200</v>
      </c>
      <c r="B215">
        <v>5424</v>
      </c>
      <c r="C215" t="s">
        <v>570</v>
      </c>
      <c r="D215">
        <v>37</v>
      </c>
    </row>
    <row r="216" spans="1:4" x14ac:dyDescent="0.35">
      <c r="A216" t="s">
        <v>200</v>
      </c>
      <c r="B216">
        <v>153</v>
      </c>
      <c r="C216" t="s">
        <v>570</v>
      </c>
      <c r="D216">
        <v>38</v>
      </c>
    </row>
    <row r="217" spans="1:4" x14ac:dyDescent="0.35">
      <c r="A217" t="s">
        <v>60</v>
      </c>
      <c r="B217">
        <v>0</v>
      </c>
      <c r="C217" t="s">
        <v>570</v>
      </c>
      <c r="D217">
        <v>38</v>
      </c>
    </row>
    <row r="218" spans="1:4" x14ac:dyDescent="0.35">
      <c r="A218" t="s">
        <v>201</v>
      </c>
      <c r="B218">
        <v>0</v>
      </c>
      <c r="C218" t="s">
        <v>572</v>
      </c>
      <c r="D218">
        <v>15</v>
      </c>
    </row>
    <row r="219" spans="1:4" x14ac:dyDescent="0.35">
      <c r="A219" t="s">
        <v>202</v>
      </c>
      <c r="B219">
        <v>0</v>
      </c>
      <c r="C219" t="s">
        <v>572</v>
      </c>
      <c r="D219">
        <v>15</v>
      </c>
    </row>
    <row r="220" spans="1:4" x14ac:dyDescent="0.35">
      <c r="A220" t="s">
        <v>203</v>
      </c>
      <c r="B220">
        <v>0</v>
      </c>
      <c r="C220" t="s">
        <v>572</v>
      </c>
      <c r="D220">
        <v>15</v>
      </c>
    </row>
    <row r="221" spans="1:4" x14ac:dyDescent="0.35">
      <c r="A221" t="s">
        <v>204</v>
      </c>
      <c r="B221">
        <v>1</v>
      </c>
      <c r="C221" t="s">
        <v>572</v>
      </c>
      <c r="D221">
        <v>15</v>
      </c>
    </row>
    <row r="222" spans="1:4" x14ac:dyDescent="0.35">
      <c r="A222" t="s">
        <v>205</v>
      </c>
      <c r="B222">
        <v>0</v>
      </c>
      <c r="C222" t="s">
        <v>572</v>
      </c>
      <c r="D222">
        <v>15</v>
      </c>
    </row>
    <row r="223" spans="1:4" x14ac:dyDescent="0.35">
      <c r="A223" t="s">
        <v>206</v>
      </c>
      <c r="B223">
        <v>5125</v>
      </c>
      <c r="C223" t="s">
        <v>572</v>
      </c>
      <c r="D223">
        <v>15</v>
      </c>
    </row>
    <row r="224" spans="1:4" x14ac:dyDescent="0.35">
      <c r="A224" t="s">
        <v>207</v>
      </c>
      <c r="B224">
        <v>8919</v>
      </c>
      <c r="C224" t="s">
        <v>572</v>
      </c>
      <c r="D224">
        <v>15</v>
      </c>
    </row>
    <row r="225" spans="1:4" x14ac:dyDescent="0.35">
      <c r="A225" t="s">
        <v>208</v>
      </c>
      <c r="B225">
        <v>0</v>
      </c>
      <c r="C225" t="s">
        <v>572</v>
      </c>
      <c r="D225">
        <v>15</v>
      </c>
    </row>
    <row r="226" spans="1:4" x14ac:dyDescent="0.35">
      <c r="A226" t="s">
        <v>209</v>
      </c>
      <c r="B226">
        <v>9771</v>
      </c>
      <c r="C226" t="s">
        <v>572</v>
      </c>
      <c r="D226">
        <v>15</v>
      </c>
    </row>
    <row r="227" spans="1:4" x14ac:dyDescent="0.35">
      <c r="A227" t="s">
        <v>210</v>
      </c>
      <c r="B227">
        <v>936</v>
      </c>
      <c r="C227" t="s">
        <v>572</v>
      </c>
      <c r="D227">
        <v>15</v>
      </c>
    </row>
    <row r="228" spans="1:4" x14ac:dyDescent="0.35">
      <c r="A228" t="s">
        <v>211</v>
      </c>
      <c r="B228">
        <v>0</v>
      </c>
      <c r="C228" t="s">
        <v>572</v>
      </c>
      <c r="D228">
        <v>15</v>
      </c>
    </row>
    <row r="229" spans="1:4" x14ac:dyDescent="0.35">
      <c r="A229" t="s">
        <v>212</v>
      </c>
      <c r="B229">
        <v>0</v>
      </c>
      <c r="C229" t="s">
        <v>605</v>
      </c>
      <c r="D229">
        <v>46</v>
      </c>
    </row>
    <row r="230" spans="1:4" x14ac:dyDescent="0.35">
      <c r="A230" t="s">
        <v>213</v>
      </c>
      <c r="B230">
        <v>0</v>
      </c>
      <c r="C230" t="s">
        <v>606</v>
      </c>
      <c r="D230">
        <v>48</v>
      </c>
    </row>
    <row r="231" spans="1:4" x14ac:dyDescent="0.35">
      <c r="A231" t="s">
        <v>214</v>
      </c>
      <c r="B231">
        <v>0</v>
      </c>
      <c r="C231" t="s">
        <v>607</v>
      </c>
      <c r="D231">
        <v>51</v>
      </c>
    </row>
    <row r="232" spans="1:4" x14ac:dyDescent="0.35">
      <c r="A232" t="s">
        <v>215</v>
      </c>
      <c r="B232">
        <v>0</v>
      </c>
      <c r="C232" t="s">
        <v>608</v>
      </c>
      <c r="D232">
        <v>53</v>
      </c>
    </row>
    <row r="233" spans="1:4" x14ac:dyDescent="0.35">
      <c r="A233" t="s">
        <v>216</v>
      </c>
      <c r="B233">
        <v>0</v>
      </c>
      <c r="C233" t="s">
        <v>609</v>
      </c>
      <c r="D233">
        <v>95</v>
      </c>
    </row>
    <row r="234" spans="1:4" x14ac:dyDescent="0.35">
      <c r="A234" t="s">
        <v>217</v>
      </c>
      <c r="B234">
        <v>2043</v>
      </c>
      <c r="C234" t="s">
        <v>575</v>
      </c>
      <c r="D234">
        <v>14</v>
      </c>
    </row>
    <row r="235" spans="1:4" x14ac:dyDescent="0.35">
      <c r="A235" t="s">
        <v>218</v>
      </c>
      <c r="B235">
        <v>0</v>
      </c>
      <c r="C235" t="s">
        <v>576</v>
      </c>
      <c r="D235">
        <v>62</v>
      </c>
    </row>
    <row r="236" spans="1:4" x14ac:dyDescent="0.35">
      <c r="A236" t="s">
        <v>219</v>
      </c>
      <c r="B236">
        <v>0</v>
      </c>
      <c r="C236" t="s">
        <v>576</v>
      </c>
      <c r="D236">
        <v>62</v>
      </c>
    </row>
    <row r="237" spans="1:4" x14ac:dyDescent="0.35">
      <c r="A237" t="s">
        <v>220</v>
      </c>
      <c r="B237">
        <v>0</v>
      </c>
      <c r="C237" t="s">
        <v>576</v>
      </c>
      <c r="D237">
        <v>62</v>
      </c>
    </row>
    <row r="238" spans="1:4" x14ac:dyDescent="0.35">
      <c r="A238" t="s">
        <v>221</v>
      </c>
      <c r="B238">
        <v>0</v>
      </c>
      <c r="C238" t="s">
        <v>577</v>
      </c>
      <c r="D238">
        <v>66</v>
      </c>
    </row>
    <row r="239" spans="1:4" x14ac:dyDescent="0.35">
      <c r="A239" t="s">
        <v>222</v>
      </c>
      <c r="B239">
        <v>0</v>
      </c>
      <c r="C239" t="s">
        <v>578</v>
      </c>
      <c r="D239">
        <v>12</v>
      </c>
    </row>
    <row r="240" spans="1:4" x14ac:dyDescent="0.35">
      <c r="A240" t="s">
        <v>223</v>
      </c>
      <c r="B240">
        <v>0</v>
      </c>
      <c r="C240" t="s">
        <v>610</v>
      </c>
      <c r="D240">
        <v>71</v>
      </c>
    </row>
    <row r="241" spans="1:4" x14ac:dyDescent="0.35">
      <c r="A241" t="s">
        <v>224</v>
      </c>
      <c r="B241">
        <v>0</v>
      </c>
      <c r="C241" t="s">
        <v>579</v>
      </c>
      <c r="D241">
        <v>11</v>
      </c>
    </row>
    <row r="242" spans="1:4" x14ac:dyDescent="0.35">
      <c r="A242" t="s">
        <v>225</v>
      </c>
      <c r="B242">
        <v>0</v>
      </c>
      <c r="C242" t="s">
        <v>580</v>
      </c>
      <c r="D242">
        <v>10</v>
      </c>
    </row>
    <row r="243" spans="1:4" x14ac:dyDescent="0.35">
      <c r="A243" t="s">
        <v>226</v>
      </c>
      <c r="B243">
        <v>0</v>
      </c>
      <c r="C243" t="s">
        <v>580</v>
      </c>
      <c r="D243">
        <v>10</v>
      </c>
    </row>
    <row r="244" spans="1:4" x14ac:dyDescent="0.35">
      <c r="A244" t="s">
        <v>101</v>
      </c>
      <c r="B244">
        <v>402580</v>
      </c>
      <c r="C244" t="s">
        <v>585</v>
      </c>
      <c r="D244">
        <v>93</v>
      </c>
    </row>
    <row r="245" spans="1:4" x14ac:dyDescent="0.35">
      <c r="A245" t="s">
        <v>227</v>
      </c>
      <c r="B245">
        <v>5181089</v>
      </c>
      <c r="C245" t="s">
        <v>542</v>
      </c>
      <c r="D245">
        <v>100</v>
      </c>
    </row>
    <row r="246" spans="1:4" x14ac:dyDescent="0.35">
      <c r="A246" t="s">
        <v>228</v>
      </c>
      <c r="B246">
        <v>0</v>
      </c>
      <c r="C246" t="s">
        <v>542</v>
      </c>
      <c r="D246">
        <v>100</v>
      </c>
    </row>
    <row r="247" spans="1:4" x14ac:dyDescent="0.35">
      <c r="A247" t="s">
        <v>229</v>
      </c>
      <c r="B247">
        <v>29105</v>
      </c>
      <c r="C247" t="s">
        <v>542</v>
      </c>
      <c r="D247">
        <v>100</v>
      </c>
    </row>
    <row r="248" spans="1:4" x14ac:dyDescent="0.35">
      <c r="A248" t="s">
        <v>230</v>
      </c>
      <c r="B248">
        <v>0</v>
      </c>
      <c r="C248" t="s">
        <v>542</v>
      </c>
      <c r="D248">
        <v>100</v>
      </c>
    </row>
    <row r="249" spans="1:4" x14ac:dyDescent="0.35">
      <c r="A249" t="s">
        <v>231</v>
      </c>
      <c r="B249">
        <v>0</v>
      </c>
      <c r="C249" t="s">
        <v>542</v>
      </c>
      <c r="D249">
        <v>100</v>
      </c>
    </row>
    <row r="250" spans="1:4" x14ac:dyDescent="0.35">
      <c r="A250" t="s">
        <v>232</v>
      </c>
      <c r="B250">
        <v>0</v>
      </c>
      <c r="C250" t="s">
        <v>542</v>
      </c>
      <c r="D250">
        <v>100</v>
      </c>
    </row>
    <row r="251" spans="1:4" x14ac:dyDescent="0.35">
      <c r="A251" t="s">
        <v>233</v>
      </c>
      <c r="B251">
        <v>0</v>
      </c>
      <c r="C251" t="s">
        <v>542</v>
      </c>
      <c r="D251">
        <v>100</v>
      </c>
    </row>
    <row r="252" spans="1:4" x14ac:dyDescent="0.35">
      <c r="A252" t="s">
        <v>234</v>
      </c>
      <c r="B252">
        <v>0</v>
      </c>
      <c r="C252" t="s">
        <v>542</v>
      </c>
      <c r="D252">
        <v>100</v>
      </c>
    </row>
    <row r="253" spans="1:4" x14ac:dyDescent="0.35">
      <c r="A253" t="s">
        <v>235</v>
      </c>
      <c r="B253">
        <v>0</v>
      </c>
      <c r="C253" t="s">
        <v>542</v>
      </c>
      <c r="D253">
        <v>100</v>
      </c>
    </row>
    <row r="254" spans="1:4" x14ac:dyDescent="0.35">
      <c r="A254" t="s">
        <v>97</v>
      </c>
      <c r="B254">
        <v>0</v>
      </c>
      <c r="C254" t="s">
        <v>587</v>
      </c>
      <c r="D254">
        <v>13</v>
      </c>
    </row>
    <row r="255" spans="1:4" x14ac:dyDescent="0.35">
      <c r="A255" t="s">
        <v>236</v>
      </c>
      <c r="B255">
        <v>0</v>
      </c>
      <c r="C255" t="s">
        <v>544</v>
      </c>
      <c r="D255">
        <v>97</v>
      </c>
    </row>
    <row r="256" spans="1:4" x14ac:dyDescent="0.35">
      <c r="A256" t="s">
        <v>237</v>
      </c>
      <c r="B256">
        <v>0</v>
      </c>
      <c r="C256" t="s">
        <v>544</v>
      </c>
      <c r="D256">
        <v>97</v>
      </c>
    </row>
    <row r="257" spans="1:4" x14ac:dyDescent="0.35">
      <c r="A257" t="s">
        <v>238</v>
      </c>
      <c r="B257">
        <v>0</v>
      </c>
      <c r="C257" t="s">
        <v>545</v>
      </c>
      <c r="D257">
        <v>98</v>
      </c>
    </row>
    <row r="258" spans="1:4" x14ac:dyDescent="0.35">
      <c r="A258" t="s">
        <v>239</v>
      </c>
      <c r="B258">
        <v>11776783</v>
      </c>
      <c r="C258" t="s">
        <v>547</v>
      </c>
      <c r="D258">
        <v>96</v>
      </c>
    </row>
    <row r="259" spans="1:4" x14ac:dyDescent="0.35">
      <c r="A259" t="s">
        <v>240</v>
      </c>
      <c r="B259">
        <v>0</v>
      </c>
      <c r="C259" t="s">
        <v>548</v>
      </c>
      <c r="D259">
        <v>72</v>
      </c>
    </row>
    <row r="260" spans="1:4" x14ac:dyDescent="0.35">
      <c r="A260" t="s">
        <v>241</v>
      </c>
      <c r="B260">
        <v>0</v>
      </c>
      <c r="C260" t="s">
        <v>548</v>
      </c>
      <c r="D260">
        <v>72</v>
      </c>
    </row>
    <row r="261" spans="1:4" x14ac:dyDescent="0.35">
      <c r="A261" t="s">
        <v>242</v>
      </c>
      <c r="B261">
        <v>0</v>
      </c>
      <c r="C261" t="s">
        <v>589</v>
      </c>
      <c r="D261">
        <v>1</v>
      </c>
    </row>
    <row r="262" spans="1:4" x14ac:dyDescent="0.35">
      <c r="A262" t="s">
        <v>243</v>
      </c>
      <c r="B262">
        <v>4776291</v>
      </c>
      <c r="C262" t="s">
        <v>589</v>
      </c>
      <c r="D262">
        <v>1</v>
      </c>
    </row>
    <row r="263" spans="1:4" x14ac:dyDescent="0.35">
      <c r="A263" t="s">
        <v>244</v>
      </c>
      <c r="B263">
        <v>0</v>
      </c>
      <c r="C263" t="s">
        <v>549</v>
      </c>
      <c r="D263">
        <v>105</v>
      </c>
    </row>
    <row r="264" spans="1:4" x14ac:dyDescent="0.35">
      <c r="A264" t="s">
        <v>170</v>
      </c>
      <c r="B264">
        <v>0</v>
      </c>
      <c r="C264" t="s">
        <v>590</v>
      </c>
      <c r="D264">
        <v>64</v>
      </c>
    </row>
    <row r="265" spans="1:4" x14ac:dyDescent="0.35">
      <c r="A265" t="s">
        <v>245</v>
      </c>
      <c r="B265">
        <v>0</v>
      </c>
      <c r="C265" t="s">
        <v>590</v>
      </c>
      <c r="D265">
        <v>64</v>
      </c>
    </row>
    <row r="266" spans="1:4" x14ac:dyDescent="0.35">
      <c r="A266" t="s">
        <v>246</v>
      </c>
      <c r="B266">
        <v>960</v>
      </c>
      <c r="C266" t="s">
        <v>611</v>
      </c>
      <c r="D266">
        <v>92</v>
      </c>
    </row>
    <row r="267" spans="1:4" x14ac:dyDescent="0.35">
      <c r="A267" t="s">
        <v>246</v>
      </c>
      <c r="B267">
        <v>0</v>
      </c>
      <c r="C267" t="s">
        <v>611</v>
      </c>
      <c r="D267">
        <v>75</v>
      </c>
    </row>
    <row r="268" spans="1:4" x14ac:dyDescent="0.35">
      <c r="A268" t="s">
        <v>29</v>
      </c>
      <c r="B268">
        <v>0</v>
      </c>
      <c r="C268" t="s">
        <v>590</v>
      </c>
      <c r="D268">
        <v>64</v>
      </c>
    </row>
    <row r="269" spans="1:4" x14ac:dyDescent="0.35">
      <c r="A269" t="s">
        <v>247</v>
      </c>
      <c r="B269">
        <v>0</v>
      </c>
      <c r="C269" t="s">
        <v>552</v>
      </c>
      <c r="D269">
        <v>5</v>
      </c>
    </row>
    <row r="270" spans="1:4" x14ac:dyDescent="0.35">
      <c r="A270" t="s">
        <v>248</v>
      </c>
      <c r="B270">
        <v>0</v>
      </c>
      <c r="C270" t="s">
        <v>553</v>
      </c>
      <c r="D270">
        <v>91</v>
      </c>
    </row>
    <row r="271" spans="1:4" x14ac:dyDescent="0.35">
      <c r="A271" t="s">
        <v>249</v>
      </c>
      <c r="B271">
        <v>0</v>
      </c>
      <c r="C271" t="s">
        <v>553</v>
      </c>
      <c r="D271">
        <v>91</v>
      </c>
    </row>
    <row r="272" spans="1:4" x14ac:dyDescent="0.35">
      <c r="A272" t="s">
        <v>112</v>
      </c>
      <c r="B272">
        <v>0</v>
      </c>
      <c r="C272" t="s">
        <v>553</v>
      </c>
      <c r="D272">
        <v>91</v>
      </c>
    </row>
    <row r="273" spans="1:4" x14ac:dyDescent="0.35">
      <c r="A273" t="s">
        <v>250</v>
      </c>
      <c r="B273">
        <v>0</v>
      </c>
      <c r="C273" t="s">
        <v>553</v>
      </c>
      <c r="D273">
        <v>91</v>
      </c>
    </row>
    <row r="274" spans="1:4" x14ac:dyDescent="0.35">
      <c r="A274" t="s">
        <v>248</v>
      </c>
      <c r="B274">
        <v>0</v>
      </c>
      <c r="C274" t="s">
        <v>553</v>
      </c>
      <c r="D274">
        <v>2</v>
      </c>
    </row>
    <row r="275" spans="1:4" x14ac:dyDescent="0.35">
      <c r="A275" t="s">
        <v>251</v>
      </c>
      <c r="B275">
        <v>141</v>
      </c>
      <c r="C275" t="s">
        <v>556</v>
      </c>
      <c r="D275">
        <v>16</v>
      </c>
    </row>
    <row r="276" spans="1:4" x14ac:dyDescent="0.35">
      <c r="A276" t="s">
        <v>252</v>
      </c>
      <c r="B276">
        <v>0</v>
      </c>
      <c r="C276" t="s">
        <v>556</v>
      </c>
      <c r="D276">
        <v>16</v>
      </c>
    </row>
    <row r="277" spans="1:4" x14ac:dyDescent="0.35">
      <c r="A277" t="s">
        <v>253</v>
      </c>
      <c r="B277">
        <v>0</v>
      </c>
      <c r="C277" t="s">
        <v>556</v>
      </c>
      <c r="D277">
        <v>16</v>
      </c>
    </row>
    <row r="278" spans="1:4" x14ac:dyDescent="0.35">
      <c r="A278" t="s">
        <v>254</v>
      </c>
      <c r="B278">
        <v>0</v>
      </c>
      <c r="C278" t="s">
        <v>556</v>
      </c>
      <c r="D278">
        <v>16</v>
      </c>
    </row>
    <row r="279" spans="1:4" x14ac:dyDescent="0.35">
      <c r="A279" t="s">
        <v>255</v>
      </c>
      <c r="B279">
        <v>0</v>
      </c>
      <c r="C279" t="s">
        <v>556</v>
      </c>
      <c r="D279">
        <v>16</v>
      </c>
    </row>
    <row r="280" spans="1:4" x14ac:dyDescent="0.35">
      <c r="A280" t="s">
        <v>256</v>
      </c>
      <c r="B280">
        <v>0</v>
      </c>
      <c r="C280" t="s">
        <v>556</v>
      </c>
      <c r="D280">
        <v>16</v>
      </c>
    </row>
    <row r="281" spans="1:4" x14ac:dyDescent="0.35">
      <c r="A281" t="s">
        <v>257</v>
      </c>
      <c r="B281">
        <v>0</v>
      </c>
      <c r="C281" t="s">
        <v>556</v>
      </c>
      <c r="D281">
        <v>16</v>
      </c>
    </row>
    <row r="282" spans="1:4" x14ac:dyDescent="0.35">
      <c r="A282" t="s">
        <v>258</v>
      </c>
      <c r="B282">
        <v>0</v>
      </c>
      <c r="C282" t="s">
        <v>556</v>
      </c>
      <c r="D282">
        <v>16</v>
      </c>
    </row>
    <row r="283" spans="1:4" x14ac:dyDescent="0.35">
      <c r="A283" t="s">
        <v>259</v>
      </c>
      <c r="B283">
        <v>0</v>
      </c>
      <c r="C283" t="s">
        <v>556</v>
      </c>
      <c r="D283">
        <v>16</v>
      </c>
    </row>
    <row r="284" spans="1:4" x14ac:dyDescent="0.35">
      <c r="A284" t="s">
        <v>260</v>
      </c>
      <c r="B284">
        <v>0</v>
      </c>
      <c r="C284" t="s">
        <v>556</v>
      </c>
      <c r="D284">
        <v>16</v>
      </c>
    </row>
    <row r="285" spans="1:4" x14ac:dyDescent="0.35">
      <c r="A285" t="s">
        <v>261</v>
      </c>
      <c r="B285">
        <v>0</v>
      </c>
      <c r="C285" t="s">
        <v>556</v>
      </c>
      <c r="D285">
        <v>16</v>
      </c>
    </row>
    <row r="286" spans="1:4" x14ac:dyDescent="0.35">
      <c r="A286" t="s">
        <v>262</v>
      </c>
      <c r="B286">
        <v>0</v>
      </c>
      <c r="C286" t="s">
        <v>612</v>
      </c>
      <c r="D286">
        <v>73</v>
      </c>
    </row>
    <row r="287" spans="1:4" x14ac:dyDescent="0.35">
      <c r="A287" t="s">
        <v>263</v>
      </c>
      <c r="B287">
        <v>0</v>
      </c>
      <c r="C287" t="s">
        <v>563</v>
      </c>
      <c r="D287">
        <v>29</v>
      </c>
    </row>
    <row r="288" spans="1:4" x14ac:dyDescent="0.35">
      <c r="A288" t="s">
        <v>264</v>
      </c>
      <c r="B288">
        <v>0</v>
      </c>
      <c r="C288" t="s">
        <v>565</v>
      </c>
      <c r="D288">
        <v>63</v>
      </c>
    </row>
    <row r="289" spans="1:4" x14ac:dyDescent="0.35">
      <c r="A289" t="s">
        <v>265</v>
      </c>
      <c r="B289">
        <v>0</v>
      </c>
      <c r="C289" t="s">
        <v>594</v>
      </c>
      <c r="D289">
        <v>88</v>
      </c>
    </row>
    <row r="290" spans="1:4" x14ac:dyDescent="0.35">
      <c r="A290" t="s">
        <v>266</v>
      </c>
      <c r="B290">
        <v>0</v>
      </c>
      <c r="C290" t="s">
        <v>613</v>
      </c>
      <c r="D290">
        <v>89</v>
      </c>
    </row>
    <row r="291" spans="1:4" x14ac:dyDescent="0.35">
      <c r="A291" t="s">
        <v>267</v>
      </c>
      <c r="B291">
        <v>0</v>
      </c>
      <c r="C291" t="s">
        <v>613</v>
      </c>
      <c r="D291">
        <v>89</v>
      </c>
    </row>
    <row r="292" spans="1:4" x14ac:dyDescent="0.35">
      <c r="A292" t="s">
        <v>268</v>
      </c>
      <c r="B292">
        <v>0</v>
      </c>
      <c r="C292" t="s">
        <v>569</v>
      </c>
      <c r="D292">
        <v>90</v>
      </c>
    </row>
    <row r="293" spans="1:4" x14ac:dyDescent="0.35">
      <c r="A293" t="s">
        <v>269</v>
      </c>
      <c r="B293">
        <v>0</v>
      </c>
      <c r="C293" t="s">
        <v>569</v>
      </c>
      <c r="D293">
        <v>90</v>
      </c>
    </row>
    <row r="294" spans="1:4" x14ac:dyDescent="0.35">
      <c r="A294" t="s">
        <v>270</v>
      </c>
      <c r="B294">
        <v>0</v>
      </c>
      <c r="C294" t="s">
        <v>614</v>
      </c>
      <c r="D294">
        <v>18</v>
      </c>
    </row>
    <row r="295" spans="1:4" x14ac:dyDescent="0.35">
      <c r="A295" t="s">
        <v>59</v>
      </c>
      <c r="B295">
        <v>10719297</v>
      </c>
      <c r="C295" t="s">
        <v>570</v>
      </c>
      <c r="D295">
        <v>36</v>
      </c>
    </row>
    <row r="296" spans="1:4" x14ac:dyDescent="0.35">
      <c r="A296" t="s">
        <v>271</v>
      </c>
      <c r="B296">
        <v>0</v>
      </c>
      <c r="C296" t="s">
        <v>572</v>
      </c>
      <c r="D296">
        <v>15</v>
      </c>
    </row>
    <row r="297" spans="1:4" x14ac:dyDescent="0.35">
      <c r="A297" t="s">
        <v>272</v>
      </c>
      <c r="B297">
        <v>0</v>
      </c>
      <c r="C297" t="s">
        <v>572</v>
      </c>
      <c r="D297">
        <v>15</v>
      </c>
    </row>
    <row r="298" spans="1:4" x14ac:dyDescent="0.35">
      <c r="A298" t="s">
        <v>273</v>
      </c>
      <c r="B298">
        <v>0</v>
      </c>
      <c r="C298" t="s">
        <v>572</v>
      </c>
      <c r="D298">
        <v>15</v>
      </c>
    </row>
    <row r="299" spans="1:4" x14ac:dyDescent="0.35">
      <c r="A299" t="s">
        <v>274</v>
      </c>
      <c r="B299">
        <v>0</v>
      </c>
      <c r="C299" t="s">
        <v>572</v>
      </c>
      <c r="D299">
        <v>15</v>
      </c>
    </row>
    <row r="300" spans="1:4" x14ac:dyDescent="0.35">
      <c r="A300" t="s">
        <v>275</v>
      </c>
      <c r="B300">
        <v>0</v>
      </c>
      <c r="C300" t="s">
        <v>572</v>
      </c>
      <c r="D300">
        <v>15</v>
      </c>
    </row>
    <row r="301" spans="1:4" x14ac:dyDescent="0.35">
      <c r="A301" t="s">
        <v>276</v>
      </c>
      <c r="B301">
        <v>240</v>
      </c>
      <c r="C301" t="s">
        <v>572</v>
      </c>
      <c r="D301">
        <v>15</v>
      </c>
    </row>
    <row r="302" spans="1:4" x14ac:dyDescent="0.35">
      <c r="A302" t="s">
        <v>277</v>
      </c>
      <c r="B302">
        <v>0</v>
      </c>
      <c r="C302" t="s">
        <v>615</v>
      </c>
      <c r="D302">
        <v>45</v>
      </c>
    </row>
    <row r="303" spans="1:4" x14ac:dyDescent="0.35">
      <c r="A303" t="s">
        <v>278</v>
      </c>
      <c r="B303">
        <v>0</v>
      </c>
      <c r="C303" t="s">
        <v>616</v>
      </c>
      <c r="D303">
        <v>49</v>
      </c>
    </row>
    <row r="304" spans="1:4" x14ac:dyDescent="0.35">
      <c r="A304" t="s">
        <v>279</v>
      </c>
      <c r="B304">
        <v>0</v>
      </c>
      <c r="C304" t="s">
        <v>617</v>
      </c>
      <c r="D304">
        <v>77</v>
      </c>
    </row>
    <row r="305" spans="1:4" x14ac:dyDescent="0.35">
      <c r="A305" t="s">
        <v>280</v>
      </c>
      <c r="B305">
        <v>0</v>
      </c>
      <c r="C305" t="s">
        <v>575</v>
      </c>
      <c r="D305">
        <v>14</v>
      </c>
    </row>
    <row r="306" spans="1:4" x14ac:dyDescent="0.35">
      <c r="A306" t="s">
        <v>281</v>
      </c>
      <c r="B306">
        <v>0</v>
      </c>
      <c r="C306" t="s">
        <v>575</v>
      </c>
      <c r="D306">
        <v>14</v>
      </c>
    </row>
    <row r="307" spans="1:4" x14ac:dyDescent="0.35">
      <c r="A307" t="s">
        <v>282</v>
      </c>
      <c r="B307">
        <v>0</v>
      </c>
      <c r="C307" t="s">
        <v>576</v>
      </c>
      <c r="D307">
        <v>62</v>
      </c>
    </row>
    <row r="308" spans="1:4" x14ac:dyDescent="0.35">
      <c r="A308" t="s">
        <v>283</v>
      </c>
      <c r="B308">
        <v>0</v>
      </c>
      <c r="C308" t="s">
        <v>576</v>
      </c>
      <c r="D308">
        <v>62</v>
      </c>
    </row>
    <row r="309" spans="1:4" x14ac:dyDescent="0.35">
      <c r="A309" t="s">
        <v>284</v>
      </c>
      <c r="B309">
        <v>0</v>
      </c>
      <c r="C309" t="s">
        <v>618</v>
      </c>
      <c r="D309">
        <v>81</v>
      </c>
    </row>
    <row r="310" spans="1:4" x14ac:dyDescent="0.35">
      <c r="A310" t="s">
        <v>285</v>
      </c>
      <c r="B310">
        <v>0</v>
      </c>
      <c r="C310" t="s">
        <v>577</v>
      </c>
      <c r="D310">
        <v>66</v>
      </c>
    </row>
    <row r="311" spans="1:4" x14ac:dyDescent="0.35">
      <c r="A311" t="s">
        <v>286</v>
      </c>
      <c r="B311">
        <v>0</v>
      </c>
      <c r="C311" t="s">
        <v>577</v>
      </c>
      <c r="D311">
        <v>66</v>
      </c>
    </row>
    <row r="312" spans="1:4" x14ac:dyDescent="0.35">
      <c r="A312" t="s">
        <v>287</v>
      </c>
      <c r="B312">
        <v>0</v>
      </c>
      <c r="C312" t="s">
        <v>577</v>
      </c>
      <c r="D312">
        <v>66</v>
      </c>
    </row>
    <row r="313" spans="1:4" x14ac:dyDescent="0.35">
      <c r="A313" t="s">
        <v>288</v>
      </c>
      <c r="B313">
        <v>0</v>
      </c>
      <c r="C313" t="s">
        <v>580</v>
      </c>
      <c r="D313">
        <v>10</v>
      </c>
    </row>
    <row r="314" spans="1:4" x14ac:dyDescent="0.35">
      <c r="A314" t="s">
        <v>289</v>
      </c>
      <c r="B314">
        <v>0</v>
      </c>
      <c r="C314" t="s">
        <v>580</v>
      </c>
      <c r="D314">
        <v>10</v>
      </c>
    </row>
    <row r="315" spans="1:4" x14ac:dyDescent="0.35">
      <c r="A315" t="s">
        <v>290</v>
      </c>
      <c r="B315">
        <v>0</v>
      </c>
      <c r="C315" t="s">
        <v>580</v>
      </c>
      <c r="D315">
        <v>10</v>
      </c>
    </row>
    <row r="316" spans="1:4" x14ac:dyDescent="0.35">
      <c r="A316" t="s">
        <v>291</v>
      </c>
      <c r="B316">
        <v>0</v>
      </c>
      <c r="C316" t="s">
        <v>580</v>
      </c>
      <c r="D316">
        <v>10</v>
      </c>
    </row>
    <row r="317" spans="1:4" x14ac:dyDescent="0.35">
      <c r="A317" t="s">
        <v>216</v>
      </c>
      <c r="B317">
        <v>0</v>
      </c>
      <c r="C317" t="s">
        <v>619</v>
      </c>
      <c r="D317">
        <v>43</v>
      </c>
    </row>
    <row r="318" spans="1:4" x14ac:dyDescent="0.35">
      <c r="A318" t="s">
        <v>292</v>
      </c>
      <c r="B318">
        <v>0</v>
      </c>
      <c r="C318" t="s">
        <v>620</v>
      </c>
      <c r="D318">
        <v>7</v>
      </c>
    </row>
    <row r="319" spans="1:4" x14ac:dyDescent="0.35">
      <c r="A319" t="s">
        <v>293</v>
      </c>
      <c r="B319">
        <v>0</v>
      </c>
      <c r="C319" t="s">
        <v>621</v>
      </c>
      <c r="D319">
        <v>6</v>
      </c>
    </row>
    <row r="320" spans="1:4" x14ac:dyDescent="0.35">
      <c r="A320" t="s">
        <v>294</v>
      </c>
      <c r="B320">
        <v>0</v>
      </c>
      <c r="C320" t="s">
        <v>542</v>
      </c>
      <c r="D320">
        <v>100</v>
      </c>
    </row>
    <row r="321" spans="1:4" x14ac:dyDescent="0.35">
      <c r="A321" t="s">
        <v>295</v>
      </c>
      <c r="B321">
        <v>1124091</v>
      </c>
      <c r="C321" t="s">
        <v>542</v>
      </c>
      <c r="D321">
        <v>100</v>
      </c>
    </row>
    <row r="322" spans="1:4" x14ac:dyDescent="0.35">
      <c r="A322" t="s">
        <v>296</v>
      </c>
      <c r="B322">
        <v>19568</v>
      </c>
      <c r="C322" t="s">
        <v>542</v>
      </c>
      <c r="D322">
        <v>100</v>
      </c>
    </row>
    <row r="323" spans="1:4" x14ac:dyDescent="0.35">
      <c r="A323" t="s">
        <v>297</v>
      </c>
      <c r="B323">
        <v>0</v>
      </c>
      <c r="C323" t="s">
        <v>542</v>
      </c>
      <c r="D323">
        <v>100</v>
      </c>
    </row>
    <row r="324" spans="1:4" x14ac:dyDescent="0.35">
      <c r="A324" t="s">
        <v>298</v>
      </c>
      <c r="B324">
        <v>19</v>
      </c>
      <c r="C324" t="s">
        <v>542</v>
      </c>
      <c r="D324">
        <v>100</v>
      </c>
    </row>
    <row r="325" spans="1:4" x14ac:dyDescent="0.35">
      <c r="A325" t="s">
        <v>299</v>
      </c>
      <c r="B325">
        <v>0</v>
      </c>
      <c r="C325" t="s">
        <v>542</v>
      </c>
      <c r="D325">
        <v>100</v>
      </c>
    </row>
    <row r="326" spans="1:4" x14ac:dyDescent="0.35">
      <c r="A326" t="s">
        <v>300</v>
      </c>
      <c r="B326">
        <v>0</v>
      </c>
      <c r="C326" t="s">
        <v>542</v>
      </c>
      <c r="D326">
        <v>100</v>
      </c>
    </row>
    <row r="327" spans="1:4" x14ac:dyDescent="0.35">
      <c r="A327" t="s">
        <v>96</v>
      </c>
      <c r="B327">
        <v>0</v>
      </c>
      <c r="C327" t="s">
        <v>587</v>
      </c>
      <c r="D327">
        <v>13</v>
      </c>
    </row>
    <row r="328" spans="1:4" x14ac:dyDescent="0.35">
      <c r="A328" t="s">
        <v>301</v>
      </c>
      <c r="B328">
        <v>0</v>
      </c>
      <c r="C328" t="s">
        <v>545</v>
      </c>
      <c r="D328">
        <v>98</v>
      </c>
    </row>
    <row r="329" spans="1:4" x14ac:dyDescent="0.35">
      <c r="A329" t="s">
        <v>302</v>
      </c>
      <c r="B329">
        <v>11861178</v>
      </c>
      <c r="C329" t="s">
        <v>545</v>
      </c>
      <c r="D329">
        <v>98</v>
      </c>
    </row>
    <row r="330" spans="1:4" x14ac:dyDescent="0.35">
      <c r="A330" t="s">
        <v>303</v>
      </c>
      <c r="B330">
        <v>0</v>
      </c>
      <c r="C330" t="s">
        <v>545</v>
      </c>
      <c r="D330">
        <v>98</v>
      </c>
    </row>
    <row r="331" spans="1:4" x14ac:dyDescent="0.35">
      <c r="A331" t="s">
        <v>304</v>
      </c>
      <c r="B331">
        <v>0</v>
      </c>
      <c r="C331" t="s">
        <v>548</v>
      </c>
      <c r="D331">
        <v>72</v>
      </c>
    </row>
    <row r="332" spans="1:4" x14ac:dyDescent="0.35">
      <c r="A332" t="s">
        <v>305</v>
      </c>
      <c r="B332">
        <v>0</v>
      </c>
      <c r="C332" t="s">
        <v>589</v>
      </c>
      <c r="D332">
        <v>1</v>
      </c>
    </row>
    <row r="333" spans="1:4" x14ac:dyDescent="0.35">
      <c r="A333" t="s">
        <v>306</v>
      </c>
      <c r="B333">
        <v>1335452</v>
      </c>
      <c r="C333" t="s">
        <v>589</v>
      </c>
      <c r="D333">
        <v>1</v>
      </c>
    </row>
    <row r="334" spans="1:4" x14ac:dyDescent="0.35">
      <c r="A334" t="s">
        <v>307</v>
      </c>
      <c r="B334">
        <v>0</v>
      </c>
      <c r="C334" t="s">
        <v>549</v>
      </c>
      <c r="D334">
        <v>105</v>
      </c>
    </row>
    <row r="335" spans="1:4" x14ac:dyDescent="0.35">
      <c r="A335" t="s">
        <v>308</v>
      </c>
      <c r="B335">
        <v>0</v>
      </c>
      <c r="C335" t="s">
        <v>550</v>
      </c>
      <c r="D335">
        <v>3</v>
      </c>
    </row>
    <row r="336" spans="1:4" x14ac:dyDescent="0.35">
      <c r="A336" t="s">
        <v>309</v>
      </c>
      <c r="B336">
        <v>1</v>
      </c>
      <c r="C336" t="s">
        <v>551</v>
      </c>
      <c r="D336">
        <v>106</v>
      </c>
    </row>
    <row r="337" spans="1:4" x14ac:dyDescent="0.35">
      <c r="A337" t="s">
        <v>24</v>
      </c>
      <c r="B337">
        <v>0</v>
      </c>
      <c r="C337" t="s">
        <v>590</v>
      </c>
      <c r="D337">
        <v>64</v>
      </c>
    </row>
    <row r="338" spans="1:4" x14ac:dyDescent="0.35">
      <c r="A338" t="s">
        <v>25</v>
      </c>
      <c r="B338">
        <v>0</v>
      </c>
      <c r="C338" t="s">
        <v>590</v>
      </c>
      <c r="D338">
        <v>64</v>
      </c>
    </row>
    <row r="339" spans="1:4" x14ac:dyDescent="0.35">
      <c r="A339" t="s">
        <v>111</v>
      </c>
      <c r="B339">
        <v>0</v>
      </c>
      <c r="C339" t="s">
        <v>590</v>
      </c>
      <c r="D339">
        <v>64</v>
      </c>
    </row>
    <row r="340" spans="1:4" x14ac:dyDescent="0.35">
      <c r="A340" t="s">
        <v>109</v>
      </c>
      <c r="B340">
        <v>0</v>
      </c>
      <c r="C340" t="s">
        <v>590</v>
      </c>
      <c r="D340">
        <v>64</v>
      </c>
    </row>
    <row r="341" spans="1:4" x14ac:dyDescent="0.35">
      <c r="A341" t="s">
        <v>310</v>
      </c>
      <c r="B341">
        <v>0</v>
      </c>
      <c r="C341" t="s">
        <v>590</v>
      </c>
      <c r="D341">
        <v>64</v>
      </c>
    </row>
    <row r="342" spans="1:4" x14ac:dyDescent="0.35">
      <c r="A342" t="s">
        <v>249</v>
      </c>
      <c r="B342">
        <v>0</v>
      </c>
      <c r="C342" t="s">
        <v>590</v>
      </c>
      <c r="D342">
        <v>64</v>
      </c>
    </row>
    <row r="343" spans="1:4" x14ac:dyDescent="0.35">
      <c r="A343" t="s">
        <v>311</v>
      </c>
      <c r="B343">
        <v>0</v>
      </c>
      <c r="C343" t="s">
        <v>590</v>
      </c>
      <c r="D343">
        <v>64</v>
      </c>
    </row>
    <row r="344" spans="1:4" x14ac:dyDescent="0.35">
      <c r="A344" t="s">
        <v>113</v>
      </c>
      <c r="B344">
        <v>0</v>
      </c>
      <c r="C344" t="s">
        <v>590</v>
      </c>
      <c r="D344">
        <v>64</v>
      </c>
    </row>
    <row r="345" spans="1:4" x14ac:dyDescent="0.35">
      <c r="A345" t="s">
        <v>171</v>
      </c>
      <c r="B345">
        <v>3808639</v>
      </c>
      <c r="C345" t="s">
        <v>553</v>
      </c>
      <c r="D345">
        <v>91</v>
      </c>
    </row>
    <row r="346" spans="1:4" x14ac:dyDescent="0.35">
      <c r="A346" t="s">
        <v>111</v>
      </c>
      <c r="B346">
        <v>10047011</v>
      </c>
      <c r="C346" t="s">
        <v>553</v>
      </c>
      <c r="D346">
        <v>91</v>
      </c>
    </row>
    <row r="347" spans="1:4" x14ac:dyDescent="0.35">
      <c r="A347" t="s">
        <v>169</v>
      </c>
      <c r="B347">
        <v>0</v>
      </c>
      <c r="C347" t="s">
        <v>553</v>
      </c>
      <c r="D347">
        <v>91</v>
      </c>
    </row>
    <row r="348" spans="1:4" x14ac:dyDescent="0.35">
      <c r="A348" t="s">
        <v>245</v>
      </c>
      <c r="B348">
        <v>0</v>
      </c>
      <c r="C348" t="s">
        <v>553</v>
      </c>
      <c r="D348">
        <v>91</v>
      </c>
    </row>
    <row r="349" spans="1:4" x14ac:dyDescent="0.35">
      <c r="A349" t="s">
        <v>25</v>
      </c>
      <c r="B349">
        <v>0</v>
      </c>
      <c r="C349" t="s">
        <v>553</v>
      </c>
      <c r="D349">
        <v>2</v>
      </c>
    </row>
    <row r="350" spans="1:4" x14ac:dyDescent="0.35">
      <c r="A350" t="s">
        <v>249</v>
      </c>
      <c r="B350">
        <v>0</v>
      </c>
      <c r="C350" t="s">
        <v>553</v>
      </c>
      <c r="D350">
        <v>2</v>
      </c>
    </row>
    <row r="351" spans="1:4" x14ac:dyDescent="0.35">
      <c r="A351" t="s">
        <v>250</v>
      </c>
      <c r="B351">
        <v>0</v>
      </c>
      <c r="C351" t="s">
        <v>553</v>
      </c>
      <c r="D351">
        <v>2</v>
      </c>
    </row>
    <row r="352" spans="1:4" x14ac:dyDescent="0.35">
      <c r="A352" t="s">
        <v>312</v>
      </c>
      <c r="B352">
        <v>0</v>
      </c>
      <c r="C352" t="s">
        <v>556</v>
      </c>
      <c r="D352">
        <v>16</v>
      </c>
    </row>
    <row r="353" spans="1:4" x14ac:dyDescent="0.35">
      <c r="A353" t="s">
        <v>313</v>
      </c>
      <c r="B353">
        <v>2</v>
      </c>
      <c r="C353" t="s">
        <v>556</v>
      </c>
      <c r="D353">
        <v>16</v>
      </c>
    </row>
    <row r="354" spans="1:4" x14ac:dyDescent="0.35">
      <c r="A354" t="s">
        <v>314</v>
      </c>
      <c r="B354">
        <v>0</v>
      </c>
      <c r="C354" t="s">
        <v>556</v>
      </c>
      <c r="D354">
        <v>16</v>
      </c>
    </row>
    <row r="355" spans="1:4" x14ac:dyDescent="0.35">
      <c r="A355" t="s">
        <v>315</v>
      </c>
      <c r="B355">
        <v>0</v>
      </c>
      <c r="C355" t="s">
        <v>556</v>
      </c>
      <c r="D355">
        <v>16</v>
      </c>
    </row>
    <row r="356" spans="1:4" x14ac:dyDescent="0.35">
      <c r="A356" t="s">
        <v>316</v>
      </c>
      <c r="B356">
        <v>0</v>
      </c>
      <c r="C356" t="s">
        <v>556</v>
      </c>
      <c r="D356">
        <v>16</v>
      </c>
    </row>
    <row r="357" spans="1:4" x14ac:dyDescent="0.35">
      <c r="A357" t="s">
        <v>317</v>
      </c>
      <c r="B357">
        <v>0</v>
      </c>
      <c r="C357" t="s">
        <v>556</v>
      </c>
      <c r="D357">
        <v>16</v>
      </c>
    </row>
    <row r="358" spans="1:4" x14ac:dyDescent="0.35">
      <c r="A358" t="s">
        <v>318</v>
      </c>
      <c r="B358">
        <v>0</v>
      </c>
      <c r="C358" t="s">
        <v>556</v>
      </c>
      <c r="D358">
        <v>16</v>
      </c>
    </row>
    <row r="359" spans="1:4" x14ac:dyDescent="0.35">
      <c r="A359" t="s">
        <v>319</v>
      </c>
      <c r="B359">
        <v>0</v>
      </c>
      <c r="C359" t="s">
        <v>556</v>
      </c>
      <c r="D359">
        <v>16</v>
      </c>
    </row>
    <row r="360" spans="1:4" x14ac:dyDescent="0.35">
      <c r="A360" t="s">
        <v>320</v>
      </c>
      <c r="B360">
        <v>0</v>
      </c>
      <c r="C360" t="s">
        <v>565</v>
      </c>
      <c r="D360">
        <v>63</v>
      </c>
    </row>
    <row r="361" spans="1:4" x14ac:dyDescent="0.35">
      <c r="A361" t="s">
        <v>321</v>
      </c>
      <c r="B361">
        <v>0</v>
      </c>
      <c r="C361" t="s">
        <v>622</v>
      </c>
      <c r="D361">
        <v>69</v>
      </c>
    </row>
    <row r="362" spans="1:4" x14ac:dyDescent="0.35">
      <c r="A362" t="s">
        <v>322</v>
      </c>
      <c r="B362">
        <v>0</v>
      </c>
      <c r="C362" t="s">
        <v>567</v>
      </c>
      <c r="D362">
        <v>82</v>
      </c>
    </row>
    <row r="363" spans="1:4" x14ac:dyDescent="0.35">
      <c r="A363" t="s">
        <v>323</v>
      </c>
      <c r="B363">
        <v>0</v>
      </c>
      <c r="C363" t="s">
        <v>568</v>
      </c>
      <c r="D363">
        <v>21</v>
      </c>
    </row>
    <row r="364" spans="1:4" x14ac:dyDescent="0.35">
      <c r="A364" t="s">
        <v>324</v>
      </c>
      <c r="B364">
        <v>0</v>
      </c>
      <c r="C364" t="s">
        <v>569</v>
      </c>
      <c r="D364">
        <v>90</v>
      </c>
    </row>
    <row r="365" spans="1:4" x14ac:dyDescent="0.35">
      <c r="A365" t="s">
        <v>325</v>
      </c>
      <c r="B365">
        <v>0</v>
      </c>
      <c r="C365" t="s">
        <v>569</v>
      </c>
      <c r="D365">
        <v>90</v>
      </c>
    </row>
    <row r="366" spans="1:4" x14ac:dyDescent="0.35">
      <c r="A366" t="s">
        <v>326</v>
      </c>
      <c r="B366">
        <v>0</v>
      </c>
      <c r="C366" t="s">
        <v>595</v>
      </c>
      <c r="D366">
        <v>22</v>
      </c>
    </row>
    <row r="367" spans="1:4" x14ac:dyDescent="0.35">
      <c r="A367" t="s">
        <v>200</v>
      </c>
      <c r="B367">
        <v>81723</v>
      </c>
      <c r="C367" t="s">
        <v>570</v>
      </c>
      <c r="D367">
        <v>36</v>
      </c>
    </row>
    <row r="368" spans="1:4" x14ac:dyDescent="0.35">
      <c r="A368" t="s">
        <v>60</v>
      </c>
      <c r="B368">
        <v>0</v>
      </c>
      <c r="C368" t="s">
        <v>570</v>
      </c>
      <c r="D368">
        <v>36</v>
      </c>
    </row>
    <row r="369" spans="1:4" x14ac:dyDescent="0.35">
      <c r="A369" t="s">
        <v>327</v>
      </c>
      <c r="B369">
        <v>0</v>
      </c>
      <c r="C369" t="s">
        <v>572</v>
      </c>
      <c r="D369">
        <v>15</v>
      </c>
    </row>
    <row r="370" spans="1:4" x14ac:dyDescent="0.35">
      <c r="A370" t="s">
        <v>328</v>
      </c>
      <c r="B370">
        <v>0</v>
      </c>
      <c r="C370" t="s">
        <v>572</v>
      </c>
      <c r="D370">
        <v>15</v>
      </c>
    </row>
    <row r="371" spans="1:4" x14ac:dyDescent="0.35">
      <c r="A371" t="s">
        <v>329</v>
      </c>
      <c r="B371">
        <v>0</v>
      </c>
      <c r="C371" t="s">
        <v>572</v>
      </c>
      <c r="D371">
        <v>15</v>
      </c>
    </row>
    <row r="372" spans="1:4" x14ac:dyDescent="0.35">
      <c r="A372" t="s">
        <v>330</v>
      </c>
      <c r="B372">
        <v>8906</v>
      </c>
      <c r="C372" t="s">
        <v>572</v>
      </c>
      <c r="D372">
        <v>15</v>
      </c>
    </row>
    <row r="373" spans="1:4" x14ac:dyDescent="0.35">
      <c r="A373" t="s">
        <v>331</v>
      </c>
      <c r="B373">
        <v>0</v>
      </c>
      <c r="C373" t="s">
        <v>572</v>
      </c>
      <c r="D373">
        <v>15</v>
      </c>
    </row>
    <row r="374" spans="1:4" x14ac:dyDescent="0.35">
      <c r="A374" t="s">
        <v>332</v>
      </c>
      <c r="B374">
        <v>0</v>
      </c>
      <c r="C374" t="s">
        <v>572</v>
      </c>
      <c r="D374">
        <v>15</v>
      </c>
    </row>
    <row r="375" spans="1:4" x14ac:dyDescent="0.35">
      <c r="A375" t="s">
        <v>333</v>
      </c>
      <c r="B375">
        <v>0</v>
      </c>
      <c r="C375" t="s">
        <v>572</v>
      </c>
      <c r="D375">
        <v>15</v>
      </c>
    </row>
    <row r="376" spans="1:4" x14ac:dyDescent="0.35">
      <c r="A376" t="s">
        <v>334</v>
      </c>
      <c r="B376">
        <v>0</v>
      </c>
      <c r="C376" t="s">
        <v>572</v>
      </c>
      <c r="D376">
        <v>15</v>
      </c>
    </row>
    <row r="377" spans="1:4" x14ac:dyDescent="0.35">
      <c r="A377" t="s">
        <v>335</v>
      </c>
      <c r="B377">
        <v>0</v>
      </c>
      <c r="C377" t="s">
        <v>572</v>
      </c>
      <c r="D377">
        <v>15</v>
      </c>
    </row>
    <row r="378" spans="1:4" x14ac:dyDescent="0.35">
      <c r="A378" t="s">
        <v>336</v>
      </c>
      <c r="B378">
        <v>0</v>
      </c>
      <c r="C378" t="s">
        <v>572</v>
      </c>
      <c r="D378">
        <v>15</v>
      </c>
    </row>
    <row r="379" spans="1:4" x14ac:dyDescent="0.35">
      <c r="A379" t="s">
        <v>337</v>
      </c>
      <c r="B379">
        <v>0</v>
      </c>
      <c r="C379" t="s">
        <v>623</v>
      </c>
      <c r="D379">
        <v>50</v>
      </c>
    </row>
    <row r="380" spans="1:4" x14ac:dyDescent="0.35">
      <c r="A380" t="s">
        <v>338</v>
      </c>
      <c r="B380">
        <v>100</v>
      </c>
      <c r="C380" t="s">
        <v>624</v>
      </c>
      <c r="D380">
        <v>52</v>
      </c>
    </row>
    <row r="381" spans="1:4" x14ac:dyDescent="0.35">
      <c r="A381" t="s">
        <v>339</v>
      </c>
      <c r="B381">
        <v>0</v>
      </c>
      <c r="C381" t="s">
        <v>625</v>
      </c>
      <c r="D381">
        <v>79</v>
      </c>
    </row>
    <row r="382" spans="1:4" x14ac:dyDescent="0.35">
      <c r="A382" t="s">
        <v>340</v>
      </c>
      <c r="B382">
        <v>2043</v>
      </c>
      <c r="C382" t="s">
        <v>575</v>
      </c>
      <c r="D382">
        <v>14</v>
      </c>
    </row>
    <row r="383" spans="1:4" x14ac:dyDescent="0.35">
      <c r="A383" t="s">
        <v>341</v>
      </c>
      <c r="B383">
        <v>0</v>
      </c>
      <c r="C383" t="s">
        <v>576</v>
      </c>
      <c r="D383">
        <v>62</v>
      </c>
    </row>
    <row r="384" spans="1:4" x14ac:dyDescent="0.35">
      <c r="A384" t="s">
        <v>342</v>
      </c>
      <c r="B384">
        <v>0</v>
      </c>
      <c r="C384" t="s">
        <v>618</v>
      </c>
      <c r="D384">
        <v>81</v>
      </c>
    </row>
    <row r="385" spans="1:4" x14ac:dyDescent="0.35">
      <c r="A385" t="s">
        <v>343</v>
      </c>
      <c r="B385">
        <v>0</v>
      </c>
      <c r="C385" t="s">
        <v>577</v>
      </c>
      <c r="D385">
        <v>66</v>
      </c>
    </row>
    <row r="386" spans="1:4" x14ac:dyDescent="0.35">
      <c r="A386" t="s">
        <v>344</v>
      </c>
      <c r="B386">
        <v>0</v>
      </c>
      <c r="C386" t="s">
        <v>610</v>
      </c>
      <c r="D386">
        <v>71</v>
      </c>
    </row>
    <row r="387" spans="1:4" x14ac:dyDescent="0.35">
      <c r="A387" t="s">
        <v>345</v>
      </c>
      <c r="B387">
        <v>0</v>
      </c>
      <c r="C387" t="s">
        <v>578</v>
      </c>
      <c r="D387">
        <v>12</v>
      </c>
    </row>
    <row r="388" spans="1:4" x14ac:dyDescent="0.35">
      <c r="A388" t="s">
        <v>346</v>
      </c>
      <c r="B388">
        <v>0</v>
      </c>
      <c r="C388" t="s">
        <v>578</v>
      </c>
      <c r="D388">
        <v>12</v>
      </c>
    </row>
    <row r="389" spans="1:4" x14ac:dyDescent="0.35">
      <c r="A389" t="s">
        <v>347</v>
      </c>
      <c r="B389">
        <v>0</v>
      </c>
      <c r="C389" t="s">
        <v>578</v>
      </c>
      <c r="D389">
        <v>12</v>
      </c>
    </row>
    <row r="390" spans="1:4" x14ac:dyDescent="0.35">
      <c r="A390" t="s">
        <v>348</v>
      </c>
      <c r="B390">
        <v>0</v>
      </c>
      <c r="C390" t="s">
        <v>598</v>
      </c>
      <c r="D390">
        <v>56</v>
      </c>
    </row>
    <row r="391" spans="1:4" x14ac:dyDescent="0.35">
      <c r="A391" t="s">
        <v>349</v>
      </c>
      <c r="B391">
        <v>0</v>
      </c>
      <c r="C391" t="s">
        <v>598</v>
      </c>
      <c r="D391">
        <v>56</v>
      </c>
    </row>
    <row r="392" spans="1:4" x14ac:dyDescent="0.35">
      <c r="A392" t="s">
        <v>350</v>
      </c>
      <c r="B392">
        <v>640</v>
      </c>
      <c r="C392" t="s">
        <v>579</v>
      </c>
      <c r="D392">
        <v>11</v>
      </c>
    </row>
    <row r="393" spans="1:4" x14ac:dyDescent="0.35">
      <c r="A393" t="s">
        <v>351</v>
      </c>
      <c r="B393">
        <v>0</v>
      </c>
      <c r="C393" t="s">
        <v>579</v>
      </c>
      <c r="D393">
        <v>11</v>
      </c>
    </row>
    <row r="394" spans="1:4" x14ac:dyDescent="0.35">
      <c r="A394" t="s">
        <v>352</v>
      </c>
      <c r="B394">
        <v>0</v>
      </c>
      <c r="C394" t="s">
        <v>579</v>
      </c>
      <c r="D394">
        <v>11</v>
      </c>
    </row>
    <row r="395" spans="1:4" x14ac:dyDescent="0.35">
      <c r="A395" t="s">
        <v>353</v>
      </c>
      <c r="B395">
        <v>0</v>
      </c>
      <c r="C395" t="s">
        <v>580</v>
      </c>
      <c r="D395">
        <v>10</v>
      </c>
    </row>
    <row r="396" spans="1:4" x14ac:dyDescent="0.35">
      <c r="A396" t="s">
        <v>354</v>
      </c>
      <c r="B396">
        <v>0</v>
      </c>
      <c r="C396" t="s">
        <v>580</v>
      </c>
      <c r="D396">
        <v>10</v>
      </c>
    </row>
    <row r="397" spans="1:4" x14ac:dyDescent="0.35">
      <c r="A397" t="s">
        <v>355</v>
      </c>
      <c r="B397">
        <v>0</v>
      </c>
      <c r="C397" t="s">
        <v>580</v>
      </c>
      <c r="D397">
        <v>10</v>
      </c>
    </row>
    <row r="398" spans="1:4" x14ac:dyDescent="0.35">
      <c r="A398" t="s">
        <v>356</v>
      </c>
      <c r="B398">
        <v>0</v>
      </c>
      <c r="C398" t="s">
        <v>580</v>
      </c>
      <c r="D398">
        <v>10</v>
      </c>
    </row>
    <row r="399" spans="1:4" x14ac:dyDescent="0.35">
      <c r="A399" t="s">
        <v>357</v>
      </c>
      <c r="B399">
        <v>26515</v>
      </c>
      <c r="C399" t="s">
        <v>585</v>
      </c>
      <c r="D399">
        <v>93</v>
      </c>
    </row>
    <row r="400" spans="1:4" x14ac:dyDescent="0.35">
      <c r="A400" t="s">
        <v>358</v>
      </c>
      <c r="B400">
        <v>566074</v>
      </c>
      <c r="C400" t="s">
        <v>542</v>
      </c>
      <c r="D400">
        <v>100</v>
      </c>
    </row>
    <row r="401" spans="1:4" x14ac:dyDescent="0.35">
      <c r="A401" t="s">
        <v>359</v>
      </c>
      <c r="B401">
        <v>0</v>
      </c>
      <c r="C401" t="s">
        <v>542</v>
      </c>
      <c r="D401">
        <v>100</v>
      </c>
    </row>
    <row r="402" spans="1:4" x14ac:dyDescent="0.35">
      <c r="A402" t="s">
        <v>8</v>
      </c>
      <c r="B402">
        <v>0</v>
      </c>
      <c r="C402" t="s">
        <v>543</v>
      </c>
      <c r="D402">
        <v>42</v>
      </c>
    </row>
    <row r="403" spans="1:4" x14ac:dyDescent="0.35">
      <c r="A403" t="s">
        <v>360</v>
      </c>
      <c r="B403">
        <v>0</v>
      </c>
      <c r="C403" t="s">
        <v>626</v>
      </c>
      <c r="D403">
        <v>99</v>
      </c>
    </row>
    <row r="404" spans="1:4" x14ac:dyDescent="0.35">
      <c r="A404" t="s">
        <v>361</v>
      </c>
      <c r="B404">
        <v>0</v>
      </c>
      <c r="C404" t="s">
        <v>544</v>
      </c>
      <c r="D404">
        <v>97</v>
      </c>
    </row>
    <row r="405" spans="1:4" x14ac:dyDescent="0.35">
      <c r="A405" t="s">
        <v>362</v>
      </c>
      <c r="B405">
        <v>0</v>
      </c>
      <c r="C405" t="s">
        <v>545</v>
      </c>
      <c r="D405">
        <v>98</v>
      </c>
    </row>
    <row r="406" spans="1:4" x14ac:dyDescent="0.35">
      <c r="A406" t="s">
        <v>363</v>
      </c>
      <c r="B406">
        <v>0</v>
      </c>
      <c r="C406" t="s">
        <v>546</v>
      </c>
      <c r="D406">
        <v>104</v>
      </c>
    </row>
    <row r="407" spans="1:4" x14ac:dyDescent="0.35">
      <c r="A407" t="s">
        <v>364</v>
      </c>
      <c r="B407">
        <v>1500586</v>
      </c>
      <c r="C407" t="s">
        <v>547</v>
      </c>
      <c r="D407">
        <v>96</v>
      </c>
    </row>
    <row r="408" spans="1:4" x14ac:dyDescent="0.35">
      <c r="A408" t="s">
        <v>365</v>
      </c>
      <c r="B408">
        <v>0</v>
      </c>
      <c r="C408" t="s">
        <v>548</v>
      </c>
      <c r="D408">
        <v>72</v>
      </c>
    </row>
    <row r="409" spans="1:4" x14ac:dyDescent="0.35">
      <c r="A409" t="s">
        <v>366</v>
      </c>
      <c r="B409">
        <v>0</v>
      </c>
      <c r="C409" t="s">
        <v>589</v>
      </c>
      <c r="D409">
        <v>1</v>
      </c>
    </row>
    <row r="410" spans="1:4" x14ac:dyDescent="0.35">
      <c r="A410" t="s">
        <v>367</v>
      </c>
      <c r="B410">
        <v>0</v>
      </c>
      <c r="C410" t="s">
        <v>589</v>
      </c>
      <c r="D410">
        <v>1</v>
      </c>
    </row>
    <row r="411" spans="1:4" x14ac:dyDescent="0.35">
      <c r="A411" t="s">
        <v>27</v>
      </c>
      <c r="B411">
        <v>0</v>
      </c>
      <c r="C411" t="s">
        <v>590</v>
      </c>
      <c r="D411">
        <v>64</v>
      </c>
    </row>
    <row r="412" spans="1:4" x14ac:dyDescent="0.35">
      <c r="A412" t="s">
        <v>248</v>
      </c>
      <c r="B412">
        <v>0</v>
      </c>
      <c r="C412" t="s">
        <v>590</v>
      </c>
      <c r="D412">
        <v>64</v>
      </c>
    </row>
    <row r="413" spans="1:4" x14ac:dyDescent="0.35">
      <c r="A413" t="s">
        <v>250</v>
      </c>
      <c r="B413">
        <v>0</v>
      </c>
      <c r="C413" t="s">
        <v>590</v>
      </c>
      <c r="D413">
        <v>64</v>
      </c>
    </row>
    <row r="414" spans="1:4" x14ac:dyDescent="0.35">
      <c r="A414" t="s">
        <v>110</v>
      </c>
      <c r="B414">
        <v>0</v>
      </c>
      <c r="C414" t="s">
        <v>590</v>
      </c>
      <c r="D414">
        <v>64</v>
      </c>
    </row>
    <row r="415" spans="1:4" x14ac:dyDescent="0.35">
      <c r="A415" t="s">
        <v>368</v>
      </c>
      <c r="B415">
        <v>0</v>
      </c>
      <c r="C415" t="s">
        <v>552</v>
      </c>
      <c r="D415">
        <v>5</v>
      </c>
    </row>
    <row r="416" spans="1:4" x14ac:dyDescent="0.35">
      <c r="A416" t="s">
        <v>369</v>
      </c>
      <c r="B416">
        <v>0</v>
      </c>
      <c r="C416" t="s">
        <v>553</v>
      </c>
      <c r="D416">
        <v>91</v>
      </c>
    </row>
    <row r="417" spans="1:4" x14ac:dyDescent="0.35">
      <c r="A417" t="s">
        <v>28</v>
      </c>
      <c r="B417">
        <v>10047011</v>
      </c>
      <c r="C417" t="s">
        <v>553</v>
      </c>
      <c r="D417">
        <v>91</v>
      </c>
    </row>
    <row r="418" spans="1:4" x14ac:dyDescent="0.35">
      <c r="A418" t="s">
        <v>369</v>
      </c>
      <c r="B418">
        <v>0</v>
      </c>
      <c r="C418" t="s">
        <v>553</v>
      </c>
      <c r="D418">
        <v>2</v>
      </c>
    </row>
    <row r="419" spans="1:4" x14ac:dyDescent="0.35">
      <c r="A419" t="s">
        <v>370</v>
      </c>
      <c r="B419">
        <v>0</v>
      </c>
      <c r="C419" t="s">
        <v>553</v>
      </c>
      <c r="D419">
        <v>2</v>
      </c>
    </row>
    <row r="420" spans="1:4" x14ac:dyDescent="0.35">
      <c r="A420" t="s">
        <v>371</v>
      </c>
      <c r="B420">
        <v>0</v>
      </c>
      <c r="C420" t="s">
        <v>556</v>
      </c>
      <c r="D420">
        <v>16</v>
      </c>
    </row>
    <row r="421" spans="1:4" x14ac:dyDescent="0.35">
      <c r="A421" t="s">
        <v>372</v>
      </c>
      <c r="B421">
        <v>0</v>
      </c>
      <c r="C421" t="s">
        <v>556</v>
      </c>
      <c r="D421">
        <v>16</v>
      </c>
    </row>
    <row r="422" spans="1:4" x14ac:dyDescent="0.35">
      <c r="A422" t="s">
        <v>373</v>
      </c>
      <c r="B422">
        <v>0</v>
      </c>
      <c r="C422" t="s">
        <v>556</v>
      </c>
      <c r="D422">
        <v>16</v>
      </c>
    </row>
    <row r="423" spans="1:4" x14ac:dyDescent="0.35">
      <c r="A423" t="s">
        <v>374</v>
      </c>
      <c r="B423">
        <v>0</v>
      </c>
      <c r="C423" t="s">
        <v>556</v>
      </c>
      <c r="D423">
        <v>16</v>
      </c>
    </row>
    <row r="424" spans="1:4" x14ac:dyDescent="0.35">
      <c r="A424" t="s">
        <v>375</v>
      </c>
      <c r="B424">
        <v>0</v>
      </c>
      <c r="C424" t="s">
        <v>556</v>
      </c>
      <c r="D424">
        <v>16</v>
      </c>
    </row>
    <row r="425" spans="1:4" x14ac:dyDescent="0.35">
      <c r="A425" t="s">
        <v>376</v>
      </c>
      <c r="B425">
        <v>3</v>
      </c>
      <c r="C425" t="s">
        <v>556</v>
      </c>
      <c r="D425">
        <v>16</v>
      </c>
    </row>
    <row r="426" spans="1:4" x14ac:dyDescent="0.35">
      <c r="A426" t="s">
        <v>377</v>
      </c>
      <c r="B426">
        <v>0</v>
      </c>
      <c r="C426" t="s">
        <v>556</v>
      </c>
      <c r="D426">
        <v>16</v>
      </c>
    </row>
    <row r="427" spans="1:4" x14ac:dyDescent="0.35">
      <c r="A427" t="s">
        <v>378</v>
      </c>
      <c r="B427">
        <v>2</v>
      </c>
      <c r="C427" t="s">
        <v>556</v>
      </c>
      <c r="D427">
        <v>16</v>
      </c>
    </row>
    <row r="428" spans="1:4" x14ac:dyDescent="0.35">
      <c r="A428" t="s">
        <v>379</v>
      </c>
      <c r="B428">
        <v>0</v>
      </c>
      <c r="C428" t="s">
        <v>556</v>
      </c>
      <c r="D428">
        <v>16</v>
      </c>
    </row>
    <row r="429" spans="1:4" x14ac:dyDescent="0.35">
      <c r="A429" t="s">
        <v>380</v>
      </c>
      <c r="B429">
        <v>0</v>
      </c>
      <c r="C429" t="s">
        <v>556</v>
      </c>
      <c r="D429">
        <v>16</v>
      </c>
    </row>
    <row r="430" spans="1:4" x14ac:dyDescent="0.35">
      <c r="A430" t="s">
        <v>381</v>
      </c>
      <c r="B430">
        <v>0</v>
      </c>
      <c r="C430" t="s">
        <v>556</v>
      </c>
      <c r="D430">
        <v>16</v>
      </c>
    </row>
    <row r="431" spans="1:4" x14ac:dyDescent="0.35">
      <c r="A431" t="s">
        <v>382</v>
      </c>
      <c r="B431">
        <v>0</v>
      </c>
      <c r="C431" t="s">
        <v>556</v>
      </c>
      <c r="D431">
        <v>16</v>
      </c>
    </row>
    <row r="432" spans="1:4" x14ac:dyDescent="0.35">
      <c r="A432" t="s">
        <v>383</v>
      </c>
      <c r="B432">
        <v>0</v>
      </c>
      <c r="C432" t="s">
        <v>612</v>
      </c>
      <c r="D432">
        <v>73</v>
      </c>
    </row>
    <row r="433" spans="1:4" x14ac:dyDescent="0.35">
      <c r="A433" t="s">
        <v>384</v>
      </c>
      <c r="B433">
        <v>0</v>
      </c>
      <c r="C433" t="s">
        <v>627</v>
      </c>
      <c r="D433">
        <v>25</v>
      </c>
    </row>
    <row r="434" spans="1:4" x14ac:dyDescent="0.35">
      <c r="A434" t="s">
        <v>385</v>
      </c>
      <c r="B434">
        <v>0</v>
      </c>
      <c r="C434" t="s">
        <v>564</v>
      </c>
      <c r="D434">
        <v>17</v>
      </c>
    </row>
    <row r="435" spans="1:4" x14ac:dyDescent="0.35">
      <c r="A435" t="s">
        <v>386</v>
      </c>
      <c r="B435">
        <v>0</v>
      </c>
      <c r="C435" t="s">
        <v>628</v>
      </c>
      <c r="D435">
        <v>68</v>
      </c>
    </row>
    <row r="436" spans="1:4" x14ac:dyDescent="0.35">
      <c r="A436" t="s">
        <v>387</v>
      </c>
      <c r="B436">
        <v>0</v>
      </c>
      <c r="C436" t="s">
        <v>567</v>
      </c>
      <c r="D436">
        <v>82</v>
      </c>
    </row>
    <row r="437" spans="1:4" x14ac:dyDescent="0.35">
      <c r="A437" t="s">
        <v>388</v>
      </c>
      <c r="B437">
        <v>0</v>
      </c>
      <c r="C437" t="s">
        <v>594</v>
      </c>
      <c r="D437">
        <v>88</v>
      </c>
    </row>
    <row r="438" spans="1:4" x14ac:dyDescent="0.35">
      <c r="A438" t="s">
        <v>389</v>
      </c>
      <c r="B438">
        <v>0</v>
      </c>
      <c r="C438" t="s">
        <v>569</v>
      </c>
      <c r="D438">
        <v>90</v>
      </c>
    </row>
    <row r="439" spans="1:4" x14ac:dyDescent="0.35">
      <c r="A439" t="s">
        <v>390</v>
      </c>
      <c r="B439">
        <v>0</v>
      </c>
      <c r="C439" t="s">
        <v>629</v>
      </c>
      <c r="D439">
        <v>20</v>
      </c>
    </row>
    <row r="440" spans="1:4" x14ac:dyDescent="0.35">
      <c r="A440" t="s">
        <v>58</v>
      </c>
      <c r="B440">
        <v>0</v>
      </c>
      <c r="C440" t="s">
        <v>570</v>
      </c>
      <c r="D440">
        <v>38</v>
      </c>
    </row>
    <row r="441" spans="1:4" x14ac:dyDescent="0.35">
      <c r="A441" t="s">
        <v>391</v>
      </c>
      <c r="B441">
        <v>0</v>
      </c>
      <c r="C441" t="s">
        <v>570</v>
      </c>
      <c r="D441">
        <v>38</v>
      </c>
    </row>
    <row r="442" spans="1:4" x14ac:dyDescent="0.35">
      <c r="A442" t="s">
        <v>391</v>
      </c>
      <c r="B442">
        <v>0</v>
      </c>
      <c r="C442" t="s">
        <v>570</v>
      </c>
      <c r="D442">
        <v>36</v>
      </c>
    </row>
    <row r="443" spans="1:4" x14ac:dyDescent="0.35">
      <c r="A443" t="s">
        <v>392</v>
      </c>
      <c r="B443">
        <v>0</v>
      </c>
      <c r="C443" t="s">
        <v>572</v>
      </c>
      <c r="D443">
        <v>15</v>
      </c>
    </row>
    <row r="444" spans="1:4" x14ac:dyDescent="0.35">
      <c r="A444" t="s">
        <v>393</v>
      </c>
      <c r="B444">
        <v>0</v>
      </c>
      <c r="C444" t="s">
        <v>572</v>
      </c>
      <c r="D444">
        <v>15</v>
      </c>
    </row>
    <row r="445" spans="1:4" x14ac:dyDescent="0.35">
      <c r="A445" t="s">
        <v>394</v>
      </c>
      <c r="B445">
        <v>0</v>
      </c>
      <c r="C445" t="s">
        <v>572</v>
      </c>
      <c r="D445">
        <v>15</v>
      </c>
    </row>
    <row r="446" spans="1:4" x14ac:dyDescent="0.35">
      <c r="A446" t="s">
        <v>395</v>
      </c>
      <c r="B446">
        <v>6759</v>
      </c>
      <c r="C446" t="s">
        <v>572</v>
      </c>
      <c r="D446">
        <v>15</v>
      </c>
    </row>
    <row r="447" spans="1:4" x14ac:dyDescent="0.35">
      <c r="A447" t="s">
        <v>396</v>
      </c>
      <c r="B447">
        <v>336</v>
      </c>
      <c r="C447" t="s">
        <v>572</v>
      </c>
      <c r="D447">
        <v>15</v>
      </c>
    </row>
    <row r="448" spans="1:4" x14ac:dyDescent="0.35">
      <c r="A448" t="s">
        <v>397</v>
      </c>
      <c r="B448">
        <v>0</v>
      </c>
      <c r="C448" t="s">
        <v>572</v>
      </c>
      <c r="D448">
        <v>15</v>
      </c>
    </row>
    <row r="449" spans="1:4" x14ac:dyDescent="0.35">
      <c r="A449" t="s">
        <v>398</v>
      </c>
      <c r="B449">
        <v>5392</v>
      </c>
      <c r="C449" t="s">
        <v>572</v>
      </c>
      <c r="D449">
        <v>15</v>
      </c>
    </row>
    <row r="450" spans="1:4" x14ac:dyDescent="0.35">
      <c r="A450" t="s">
        <v>399</v>
      </c>
      <c r="B450">
        <v>9761</v>
      </c>
      <c r="C450" t="s">
        <v>572</v>
      </c>
      <c r="D450">
        <v>15</v>
      </c>
    </row>
    <row r="451" spans="1:4" x14ac:dyDescent="0.35">
      <c r="A451" t="s">
        <v>400</v>
      </c>
      <c r="B451">
        <v>0</v>
      </c>
      <c r="C451" t="s">
        <v>572</v>
      </c>
      <c r="D451">
        <v>15</v>
      </c>
    </row>
    <row r="452" spans="1:4" x14ac:dyDescent="0.35">
      <c r="A452" t="s">
        <v>401</v>
      </c>
      <c r="B452">
        <v>9035</v>
      </c>
      <c r="C452" t="s">
        <v>572</v>
      </c>
      <c r="D452">
        <v>15</v>
      </c>
    </row>
    <row r="453" spans="1:4" x14ac:dyDescent="0.35">
      <c r="A453" t="s">
        <v>402</v>
      </c>
      <c r="B453">
        <v>0</v>
      </c>
      <c r="C453" t="s">
        <v>572</v>
      </c>
      <c r="D453">
        <v>15</v>
      </c>
    </row>
    <row r="454" spans="1:4" x14ac:dyDescent="0.35">
      <c r="A454" t="s">
        <v>403</v>
      </c>
      <c r="B454">
        <v>0</v>
      </c>
      <c r="C454" t="s">
        <v>630</v>
      </c>
      <c r="D454">
        <v>78</v>
      </c>
    </row>
    <row r="455" spans="1:4" x14ac:dyDescent="0.35">
      <c r="A455" t="s">
        <v>404</v>
      </c>
      <c r="B455">
        <v>0</v>
      </c>
      <c r="C455" t="s">
        <v>576</v>
      </c>
      <c r="D455">
        <v>62</v>
      </c>
    </row>
    <row r="456" spans="1:4" x14ac:dyDescent="0.35">
      <c r="A456" t="s">
        <v>405</v>
      </c>
      <c r="B456">
        <v>0</v>
      </c>
      <c r="C456" t="s">
        <v>576</v>
      </c>
      <c r="D456">
        <v>62</v>
      </c>
    </row>
    <row r="457" spans="1:4" x14ac:dyDescent="0.35">
      <c r="A457" t="s">
        <v>406</v>
      </c>
      <c r="B457">
        <v>0</v>
      </c>
      <c r="C457" t="s">
        <v>598</v>
      </c>
      <c r="D457">
        <v>56</v>
      </c>
    </row>
    <row r="458" spans="1:4" x14ac:dyDescent="0.35">
      <c r="A458" t="s">
        <v>407</v>
      </c>
      <c r="B458">
        <v>0</v>
      </c>
      <c r="C458" t="s">
        <v>598</v>
      </c>
      <c r="D458">
        <v>56</v>
      </c>
    </row>
    <row r="459" spans="1:4" x14ac:dyDescent="0.35">
      <c r="A459" t="s">
        <v>408</v>
      </c>
      <c r="B459">
        <v>639</v>
      </c>
      <c r="C459" t="s">
        <v>579</v>
      </c>
      <c r="D459">
        <v>11</v>
      </c>
    </row>
    <row r="460" spans="1:4" x14ac:dyDescent="0.35">
      <c r="A460" t="s">
        <v>409</v>
      </c>
      <c r="B460">
        <v>639</v>
      </c>
      <c r="C460" t="s">
        <v>579</v>
      </c>
      <c r="D460">
        <v>11</v>
      </c>
    </row>
    <row r="461" spans="1:4" x14ac:dyDescent="0.35">
      <c r="A461" t="s">
        <v>410</v>
      </c>
      <c r="B461">
        <v>640</v>
      </c>
      <c r="C461" t="s">
        <v>579</v>
      </c>
      <c r="D461">
        <v>11</v>
      </c>
    </row>
    <row r="462" spans="1:4" x14ac:dyDescent="0.35">
      <c r="A462" t="s">
        <v>411</v>
      </c>
      <c r="B462">
        <v>0</v>
      </c>
      <c r="C462" t="s">
        <v>580</v>
      </c>
      <c r="D462">
        <v>10</v>
      </c>
    </row>
    <row r="463" spans="1:4" x14ac:dyDescent="0.35">
      <c r="A463" t="s">
        <v>412</v>
      </c>
      <c r="B463">
        <v>0</v>
      </c>
      <c r="C463" t="s">
        <v>580</v>
      </c>
      <c r="D463">
        <v>10</v>
      </c>
    </row>
    <row r="464" spans="1:4" x14ac:dyDescent="0.35">
      <c r="A464" t="s">
        <v>413</v>
      </c>
      <c r="B464">
        <v>0</v>
      </c>
      <c r="C464" t="s">
        <v>581</v>
      </c>
      <c r="D464">
        <v>55</v>
      </c>
    </row>
    <row r="465" spans="1:4" x14ac:dyDescent="0.35">
      <c r="A465" t="s">
        <v>414</v>
      </c>
      <c r="B465">
        <v>0</v>
      </c>
      <c r="C465" t="s">
        <v>631</v>
      </c>
      <c r="D465">
        <v>65</v>
      </c>
    </row>
    <row r="466" spans="1:4" x14ac:dyDescent="0.35">
      <c r="A466" t="s">
        <v>415</v>
      </c>
      <c r="B466">
        <v>566074</v>
      </c>
      <c r="C466" t="s">
        <v>542</v>
      </c>
      <c r="D466">
        <v>100</v>
      </c>
    </row>
    <row r="467" spans="1:4" x14ac:dyDescent="0.35">
      <c r="A467" t="s">
        <v>416</v>
      </c>
      <c r="B467">
        <v>0</v>
      </c>
      <c r="C467" t="s">
        <v>542</v>
      </c>
      <c r="D467">
        <v>100</v>
      </c>
    </row>
    <row r="468" spans="1:4" x14ac:dyDescent="0.35">
      <c r="A468" t="s">
        <v>417</v>
      </c>
      <c r="B468">
        <v>0</v>
      </c>
      <c r="C468" t="s">
        <v>542</v>
      </c>
      <c r="D468">
        <v>100</v>
      </c>
    </row>
    <row r="469" spans="1:4" x14ac:dyDescent="0.35">
      <c r="A469" t="s">
        <v>418</v>
      </c>
      <c r="B469">
        <v>20</v>
      </c>
      <c r="C469" t="s">
        <v>542</v>
      </c>
      <c r="D469">
        <v>100</v>
      </c>
    </row>
    <row r="470" spans="1:4" x14ac:dyDescent="0.35">
      <c r="A470" t="s">
        <v>419</v>
      </c>
      <c r="B470">
        <v>0</v>
      </c>
      <c r="C470" t="s">
        <v>542</v>
      </c>
      <c r="D470">
        <v>100</v>
      </c>
    </row>
    <row r="471" spans="1:4" x14ac:dyDescent="0.35">
      <c r="A471" t="s">
        <v>420</v>
      </c>
      <c r="B471">
        <v>0</v>
      </c>
      <c r="C471" t="s">
        <v>542</v>
      </c>
      <c r="D471">
        <v>100</v>
      </c>
    </row>
    <row r="472" spans="1:4" x14ac:dyDescent="0.35">
      <c r="A472" t="s">
        <v>421</v>
      </c>
      <c r="B472">
        <v>0</v>
      </c>
      <c r="C472" t="s">
        <v>542</v>
      </c>
      <c r="D472">
        <v>100</v>
      </c>
    </row>
    <row r="473" spans="1:4" x14ac:dyDescent="0.35">
      <c r="A473" t="s">
        <v>422</v>
      </c>
      <c r="B473">
        <v>957</v>
      </c>
      <c r="C473" t="s">
        <v>542</v>
      </c>
      <c r="D473">
        <v>100</v>
      </c>
    </row>
    <row r="474" spans="1:4" x14ac:dyDescent="0.35">
      <c r="A474" t="s">
        <v>357</v>
      </c>
      <c r="B474">
        <v>0</v>
      </c>
      <c r="C474" t="s">
        <v>587</v>
      </c>
      <c r="D474">
        <v>13</v>
      </c>
    </row>
    <row r="475" spans="1:4" x14ac:dyDescent="0.35">
      <c r="A475" t="s">
        <v>423</v>
      </c>
      <c r="B475">
        <v>0</v>
      </c>
      <c r="C475" t="s">
        <v>544</v>
      </c>
      <c r="D475">
        <v>97</v>
      </c>
    </row>
    <row r="476" spans="1:4" x14ac:dyDescent="0.35">
      <c r="A476" t="s">
        <v>424</v>
      </c>
      <c r="B476">
        <v>0</v>
      </c>
      <c r="C476" t="s">
        <v>545</v>
      </c>
      <c r="D476">
        <v>98</v>
      </c>
    </row>
    <row r="477" spans="1:4" x14ac:dyDescent="0.35">
      <c r="A477" t="s">
        <v>425</v>
      </c>
      <c r="B477">
        <v>0</v>
      </c>
      <c r="C477" t="s">
        <v>545</v>
      </c>
      <c r="D477">
        <v>98</v>
      </c>
    </row>
    <row r="478" spans="1:4" x14ac:dyDescent="0.35">
      <c r="A478" t="s">
        <v>426</v>
      </c>
      <c r="B478">
        <v>5678877</v>
      </c>
      <c r="C478" t="s">
        <v>545</v>
      </c>
      <c r="D478">
        <v>98</v>
      </c>
    </row>
    <row r="479" spans="1:4" x14ac:dyDescent="0.35">
      <c r="A479" t="s">
        <v>427</v>
      </c>
      <c r="B479">
        <v>0</v>
      </c>
      <c r="C479" t="s">
        <v>545</v>
      </c>
      <c r="D479">
        <v>98</v>
      </c>
    </row>
    <row r="480" spans="1:4" x14ac:dyDescent="0.35">
      <c r="A480" t="s">
        <v>428</v>
      </c>
      <c r="B480">
        <v>0</v>
      </c>
      <c r="C480" t="s">
        <v>546</v>
      </c>
      <c r="D480">
        <v>104</v>
      </c>
    </row>
    <row r="481" spans="1:4" x14ac:dyDescent="0.35">
      <c r="A481" t="s">
        <v>429</v>
      </c>
      <c r="B481">
        <v>0</v>
      </c>
      <c r="C481" t="s">
        <v>547</v>
      </c>
      <c r="D481">
        <v>96</v>
      </c>
    </row>
    <row r="482" spans="1:4" x14ac:dyDescent="0.35">
      <c r="A482" t="s">
        <v>430</v>
      </c>
      <c r="B482">
        <v>0</v>
      </c>
      <c r="C482" t="s">
        <v>547</v>
      </c>
      <c r="D482">
        <v>96</v>
      </c>
    </row>
    <row r="483" spans="1:4" x14ac:dyDescent="0.35">
      <c r="A483" t="s">
        <v>431</v>
      </c>
      <c r="B483">
        <v>0</v>
      </c>
      <c r="C483" t="s">
        <v>548</v>
      </c>
      <c r="D483">
        <v>72</v>
      </c>
    </row>
    <row r="484" spans="1:4" x14ac:dyDescent="0.35">
      <c r="A484" t="s">
        <v>432</v>
      </c>
      <c r="B484">
        <v>458084</v>
      </c>
      <c r="C484" t="s">
        <v>589</v>
      </c>
      <c r="D484">
        <v>1</v>
      </c>
    </row>
    <row r="485" spans="1:4" x14ac:dyDescent="0.35">
      <c r="A485" t="s">
        <v>433</v>
      </c>
      <c r="B485">
        <v>1989</v>
      </c>
      <c r="C485" t="s">
        <v>589</v>
      </c>
      <c r="D485">
        <v>1</v>
      </c>
    </row>
    <row r="486" spans="1:4" x14ac:dyDescent="0.35">
      <c r="A486" t="s">
        <v>434</v>
      </c>
      <c r="B486">
        <v>87387</v>
      </c>
      <c r="C486" t="s">
        <v>550</v>
      </c>
      <c r="D486">
        <v>3</v>
      </c>
    </row>
    <row r="487" spans="1:4" x14ac:dyDescent="0.35">
      <c r="A487" t="s">
        <v>435</v>
      </c>
      <c r="B487">
        <v>7</v>
      </c>
      <c r="C487" t="s">
        <v>632</v>
      </c>
      <c r="D487">
        <v>107</v>
      </c>
    </row>
    <row r="488" spans="1:4" x14ac:dyDescent="0.35">
      <c r="A488" t="s">
        <v>370</v>
      </c>
      <c r="B488">
        <v>0</v>
      </c>
      <c r="C488" t="s">
        <v>590</v>
      </c>
      <c r="D488">
        <v>64</v>
      </c>
    </row>
    <row r="489" spans="1:4" x14ac:dyDescent="0.35">
      <c r="A489" t="s">
        <v>436</v>
      </c>
      <c r="B489">
        <v>0</v>
      </c>
      <c r="C489" t="s">
        <v>633</v>
      </c>
      <c r="D489">
        <v>76</v>
      </c>
    </row>
    <row r="490" spans="1:4" x14ac:dyDescent="0.35">
      <c r="A490" t="s">
        <v>27</v>
      </c>
      <c r="B490">
        <v>0</v>
      </c>
      <c r="C490" t="s">
        <v>553</v>
      </c>
      <c r="D490">
        <v>91</v>
      </c>
    </row>
    <row r="491" spans="1:4" x14ac:dyDescent="0.35">
      <c r="A491" t="s">
        <v>107</v>
      </c>
      <c r="B491">
        <v>0</v>
      </c>
      <c r="C491" t="s">
        <v>553</v>
      </c>
      <c r="D491">
        <v>91</v>
      </c>
    </row>
    <row r="492" spans="1:4" x14ac:dyDescent="0.35">
      <c r="A492" t="s">
        <v>108</v>
      </c>
      <c r="B492">
        <v>0</v>
      </c>
      <c r="C492" t="s">
        <v>553</v>
      </c>
      <c r="D492">
        <v>91</v>
      </c>
    </row>
    <row r="493" spans="1:4" x14ac:dyDescent="0.35">
      <c r="A493" t="s">
        <v>26</v>
      </c>
      <c r="B493">
        <v>0</v>
      </c>
      <c r="C493" t="s">
        <v>553</v>
      </c>
      <c r="D493">
        <v>2</v>
      </c>
    </row>
    <row r="494" spans="1:4" x14ac:dyDescent="0.35">
      <c r="A494" t="s">
        <v>245</v>
      </c>
      <c r="B494">
        <v>0</v>
      </c>
      <c r="C494" t="s">
        <v>553</v>
      </c>
      <c r="D494">
        <v>2</v>
      </c>
    </row>
    <row r="495" spans="1:4" x14ac:dyDescent="0.35">
      <c r="A495" t="s">
        <v>29</v>
      </c>
      <c r="B495">
        <v>0</v>
      </c>
      <c r="C495" t="s">
        <v>553</v>
      </c>
      <c r="D495">
        <v>2</v>
      </c>
    </row>
    <row r="496" spans="1:4" x14ac:dyDescent="0.35">
      <c r="A496" t="s">
        <v>437</v>
      </c>
      <c r="B496">
        <v>282</v>
      </c>
      <c r="C496" t="s">
        <v>556</v>
      </c>
      <c r="D496">
        <v>16</v>
      </c>
    </row>
    <row r="497" spans="1:4" x14ac:dyDescent="0.35">
      <c r="A497" t="s">
        <v>438</v>
      </c>
      <c r="B497">
        <v>0</v>
      </c>
      <c r="C497" t="s">
        <v>556</v>
      </c>
      <c r="D497">
        <v>16</v>
      </c>
    </row>
    <row r="498" spans="1:4" x14ac:dyDescent="0.35">
      <c r="A498" t="s">
        <v>439</v>
      </c>
      <c r="B498">
        <v>0</v>
      </c>
      <c r="C498" t="s">
        <v>556</v>
      </c>
      <c r="D498">
        <v>16</v>
      </c>
    </row>
    <row r="499" spans="1:4" x14ac:dyDescent="0.35">
      <c r="A499" t="s">
        <v>440</v>
      </c>
      <c r="B499">
        <v>141</v>
      </c>
      <c r="C499" t="s">
        <v>556</v>
      </c>
      <c r="D499">
        <v>16</v>
      </c>
    </row>
    <row r="500" spans="1:4" x14ac:dyDescent="0.35">
      <c r="A500" t="s">
        <v>441</v>
      </c>
      <c r="B500">
        <v>0</v>
      </c>
      <c r="C500" t="s">
        <v>556</v>
      </c>
      <c r="D500">
        <v>16</v>
      </c>
    </row>
    <row r="501" spans="1:4" x14ac:dyDescent="0.35">
      <c r="A501" t="s">
        <v>442</v>
      </c>
      <c r="B501">
        <v>0</v>
      </c>
      <c r="C501" t="s">
        <v>556</v>
      </c>
      <c r="D501">
        <v>16</v>
      </c>
    </row>
    <row r="502" spans="1:4" x14ac:dyDescent="0.35">
      <c r="A502" t="s">
        <v>443</v>
      </c>
      <c r="B502">
        <v>0</v>
      </c>
      <c r="C502" t="s">
        <v>556</v>
      </c>
      <c r="D502">
        <v>16</v>
      </c>
    </row>
    <row r="503" spans="1:4" x14ac:dyDescent="0.35">
      <c r="A503" t="s">
        <v>444</v>
      </c>
      <c r="B503">
        <v>94</v>
      </c>
      <c r="C503" t="s">
        <v>556</v>
      </c>
      <c r="D503">
        <v>16</v>
      </c>
    </row>
    <row r="504" spans="1:4" x14ac:dyDescent="0.35">
      <c r="A504" t="s">
        <v>445</v>
      </c>
      <c r="B504">
        <v>0</v>
      </c>
      <c r="C504" t="s">
        <v>556</v>
      </c>
      <c r="D504">
        <v>16</v>
      </c>
    </row>
    <row r="505" spans="1:4" x14ac:dyDescent="0.35">
      <c r="A505" t="s">
        <v>191</v>
      </c>
      <c r="B505">
        <v>4</v>
      </c>
      <c r="C505" t="s">
        <v>556</v>
      </c>
      <c r="D505">
        <v>16</v>
      </c>
    </row>
    <row r="506" spans="1:4" x14ac:dyDescent="0.35">
      <c r="A506" t="s">
        <v>446</v>
      </c>
      <c r="B506">
        <v>0</v>
      </c>
      <c r="C506" t="s">
        <v>556</v>
      </c>
      <c r="D506">
        <v>16</v>
      </c>
    </row>
    <row r="507" spans="1:4" x14ac:dyDescent="0.35">
      <c r="A507" t="s">
        <v>447</v>
      </c>
      <c r="B507">
        <v>0</v>
      </c>
      <c r="C507" t="s">
        <v>556</v>
      </c>
      <c r="D507">
        <v>16</v>
      </c>
    </row>
    <row r="508" spans="1:4" x14ac:dyDescent="0.35">
      <c r="A508" t="s">
        <v>448</v>
      </c>
      <c r="B508">
        <v>0</v>
      </c>
      <c r="C508" t="s">
        <v>556</v>
      </c>
      <c r="D508">
        <v>16</v>
      </c>
    </row>
    <row r="509" spans="1:4" x14ac:dyDescent="0.35">
      <c r="A509" t="s">
        <v>449</v>
      </c>
      <c r="B509">
        <v>0</v>
      </c>
      <c r="C509" t="s">
        <v>556</v>
      </c>
      <c r="D509">
        <v>16</v>
      </c>
    </row>
    <row r="510" spans="1:4" x14ac:dyDescent="0.35">
      <c r="A510" t="s">
        <v>450</v>
      </c>
      <c r="B510">
        <v>0</v>
      </c>
      <c r="C510" t="s">
        <v>556</v>
      </c>
      <c r="D510">
        <v>16</v>
      </c>
    </row>
    <row r="511" spans="1:4" x14ac:dyDescent="0.35">
      <c r="A511" t="s">
        <v>451</v>
      </c>
      <c r="B511">
        <v>0</v>
      </c>
      <c r="C511" t="s">
        <v>556</v>
      </c>
      <c r="D511">
        <v>16</v>
      </c>
    </row>
    <row r="512" spans="1:4" x14ac:dyDescent="0.35">
      <c r="A512" t="s">
        <v>452</v>
      </c>
      <c r="B512">
        <v>0</v>
      </c>
      <c r="C512" t="s">
        <v>556</v>
      </c>
      <c r="D512">
        <v>16</v>
      </c>
    </row>
    <row r="513" spans="1:4" x14ac:dyDescent="0.35">
      <c r="A513" t="s">
        <v>453</v>
      </c>
      <c r="B513">
        <v>0</v>
      </c>
      <c r="C513" t="s">
        <v>556</v>
      </c>
      <c r="D513">
        <v>16</v>
      </c>
    </row>
    <row r="514" spans="1:4" x14ac:dyDescent="0.35">
      <c r="A514" t="s">
        <v>454</v>
      </c>
      <c r="B514">
        <v>1043431</v>
      </c>
      <c r="C514" t="s">
        <v>556</v>
      </c>
      <c r="D514">
        <v>16</v>
      </c>
    </row>
    <row r="515" spans="1:4" x14ac:dyDescent="0.35">
      <c r="A515" t="s">
        <v>455</v>
      </c>
      <c r="B515">
        <v>0</v>
      </c>
      <c r="C515" t="s">
        <v>634</v>
      </c>
      <c r="D515">
        <v>30</v>
      </c>
    </row>
    <row r="516" spans="1:4" x14ac:dyDescent="0.35">
      <c r="A516" t="s">
        <v>456</v>
      </c>
      <c r="B516">
        <v>0</v>
      </c>
      <c r="C516" t="s">
        <v>565</v>
      </c>
      <c r="D516">
        <v>63</v>
      </c>
    </row>
    <row r="517" spans="1:4" x14ac:dyDescent="0.35">
      <c r="A517" t="s">
        <v>457</v>
      </c>
      <c r="B517">
        <v>0</v>
      </c>
      <c r="C517" t="s">
        <v>635</v>
      </c>
      <c r="D517">
        <v>86</v>
      </c>
    </row>
    <row r="518" spans="1:4" x14ac:dyDescent="0.35">
      <c r="A518" t="s">
        <v>458</v>
      </c>
      <c r="B518">
        <v>0</v>
      </c>
      <c r="C518" t="s">
        <v>594</v>
      </c>
      <c r="D518">
        <v>88</v>
      </c>
    </row>
    <row r="519" spans="1:4" x14ac:dyDescent="0.35">
      <c r="A519" t="s">
        <v>459</v>
      </c>
      <c r="B519">
        <v>0</v>
      </c>
      <c r="C519" t="s">
        <v>594</v>
      </c>
      <c r="D519">
        <v>88</v>
      </c>
    </row>
    <row r="520" spans="1:4" x14ac:dyDescent="0.35">
      <c r="A520" t="s">
        <v>460</v>
      </c>
      <c r="B520">
        <v>0</v>
      </c>
      <c r="C520" t="s">
        <v>568</v>
      </c>
      <c r="D520">
        <v>21</v>
      </c>
    </row>
    <row r="521" spans="1:4" x14ac:dyDescent="0.35">
      <c r="A521" t="s">
        <v>461</v>
      </c>
      <c r="B521">
        <v>0</v>
      </c>
      <c r="C521" t="s">
        <v>636</v>
      </c>
      <c r="D521">
        <v>19</v>
      </c>
    </row>
    <row r="522" spans="1:4" x14ac:dyDescent="0.35">
      <c r="A522" t="s">
        <v>462</v>
      </c>
      <c r="B522">
        <v>0</v>
      </c>
      <c r="C522" t="s">
        <v>569</v>
      </c>
      <c r="D522">
        <v>90</v>
      </c>
    </row>
    <row r="523" spans="1:4" x14ac:dyDescent="0.35">
      <c r="A523" t="s">
        <v>59</v>
      </c>
      <c r="B523">
        <v>2505</v>
      </c>
      <c r="C523" t="s">
        <v>570</v>
      </c>
      <c r="D523">
        <v>38</v>
      </c>
    </row>
    <row r="524" spans="1:4" x14ac:dyDescent="0.35">
      <c r="A524" t="s">
        <v>463</v>
      </c>
      <c r="B524">
        <v>27173</v>
      </c>
      <c r="C524" t="s">
        <v>572</v>
      </c>
      <c r="D524">
        <v>15</v>
      </c>
    </row>
    <row r="525" spans="1:4" x14ac:dyDescent="0.35">
      <c r="A525" t="s">
        <v>464</v>
      </c>
      <c r="B525">
        <v>36262</v>
      </c>
      <c r="C525" t="s">
        <v>572</v>
      </c>
      <c r="D525">
        <v>15</v>
      </c>
    </row>
    <row r="526" spans="1:4" x14ac:dyDescent="0.35">
      <c r="A526" t="s">
        <v>465</v>
      </c>
      <c r="B526">
        <v>18178</v>
      </c>
      <c r="C526" t="s">
        <v>572</v>
      </c>
      <c r="D526">
        <v>15</v>
      </c>
    </row>
    <row r="527" spans="1:4" x14ac:dyDescent="0.35">
      <c r="A527" t="s">
        <v>466</v>
      </c>
      <c r="B527">
        <v>10125</v>
      </c>
      <c r="C527" t="s">
        <v>572</v>
      </c>
      <c r="D527">
        <v>15</v>
      </c>
    </row>
    <row r="528" spans="1:4" x14ac:dyDescent="0.35">
      <c r="A528" t="s">
        <v>467</v>
      </c>
      <c r="B528">
        <v>1</v>
      </c>
      <c r="C528" t="s">
        <v>572</v>
      </c>
      <c r="D528">
        <v>15</v>
      </c>
    </row>
    <row r="529" spans="1:4" x14ac:dyDescent="0.35">
      <c r="A529" t="s">
        <v>468</v>
      </c>
      <c r="B529">
        <v>0</v>
      </c>
      <c r="C529" t="s">
        <v>572</v>
      </c>
      <c r="D529">
        <v>15</v>
      </c>
    </row>
    <row r="530" spans="1:4" x14ac:dyDescent="0.35">
      <c r="A530" t="s">
        <v>469</v>
      </c>
      <c r="B530">
        <v>8919</v>
      </c>
      <c r="C530" t="s">
        <v>572</v>
      </c>
      <c r="D530">
        <v>15</v>
      </c>
    </row>
    <row r="531" spans="1:4" x14ac:dyDescent="0.35">
      <c r="A531" t="s">
        <v>470</v>
      </c>
      <c r="B531">
        <v>160</v>
      </c>
      <c r="C531" t="s">
        <v>575</v>
      </c>
      <c r="D531">
        <v>14</v>
      </c>
    </row>
    <row r="532" spans="1:4" x14ac:dyDescent="0.35">
      <c r="A532" t="s">
        <v>471</v>
      </c>
      <c r="B532">
        <v>0</v>
      </c>
      <c r="C532" t="s">
        <v>576</v>
      </c>
      <c r="D532">
        <v>62</v>
      </c>
    </row>
    <row r="533" spans="1:4" x14ac:dyDescent="0.35">
      <c r="A533" t="s">
        <v>472</v>
      </c>
      <c r="B533">
        <v>0</v>
      </c>
      <c r="C533" t="s">
        <v>576</v>
      </c>
      <c r="D533">
        <v>62</v>
      </c>
    </row>
    <row r="534" spans="1:4" x14ac:dyDescent="0.35">
      <c r="A534" t="s">
        <v>473</v>
      </c>
      <c r="B534">
        <v>0</v>
      </c>
      <c r="C534" t="s">
        <v>576</v>
      </c>
      <c r="D534">
        <v>62</v>
      </c>
    </row>
    <row r="535" spans="1:4" x14ac:dyDescent="0.35">
      <c r="A535" t="s">
        <v>474</v>
      </c>
      <c r="B535">
        <v>0</v>
      </c>
      <c r="C535" t="s">
        <v>578</v>
      </c>
      <c r="D535">
        <v>12</v>
      </c>
    </row>
    <row r="536" spans="1:4" x14ac:dyDescent="0.35">
      <c r="A536" t="s">
        <v>475</v>
      </c>
      <c r="B536">
        <v>0</v>
      </c>
      <c r="C536" t="s">
        <v>579</v>
      </c>
      <c r="D536">
        <v>11</v>
      </c>
    </row>
    <row r="537" spans="1:4" x14ac:dyDescent="0.35">
      <c r="A537" t="s">
        <v>476</v>
      </c>
      <c r="B537">
        <v>0</v>
      </c>
      <c r="C537" t="s">
        <v>579</v>
      </c>
      <c r="D537">
        <v>11</v>
      </c>
    </row>
    <row r="538" spans="1:4" x14ac:dyDescent="0.35">
      <c r="A538" t="s">
        <v>477</v>
      </c>
      <c r="B538">
        <v>0</v>
      </c>
      <c r="C538" t="s">
        <v>580</v>
      </c>
      <c r="D538">
        <v>10</v>
      </c>
    </row>
    <row r="539" spans="1:4" x14ac:dyDescent="0.35">
      <c r="A539" t="s">
        <v>478</v>
      </c>
      <c r="B539">
        <v>0</v>
      </c>
      <c r="C539" t="s">
        <v>580</v>
      </c>
      <c r="D539">
        <v>10</v>
      </c>
    </row>
    <row r="540" spans="1:4" x14ac:dyDescent="0.35">
      <c r="A540" t="s">
        <v>479</v>
      </c>
      <c r="B540">
        <v>0</v>
      </c>
      <c r="C540" t="s">
        <v>580</v>
      </c>
      <c r="D540">
        <v>10</v>
      </c>
    </row>
    <row r="541" spans="1:4" x14ac:dyDescent="0.35">
      <c r="A541" t="s">
        <v>480</v>
      </c>
      <c r="B541">
        <v>0</v>
      </c>
      <c r="C541" t="s">
        <v>581</v>
      </c>
      <c r="D541">
        <v>55</v>
      </c>
    </row>
    <row r="542" spans="1:4" x14ac:dyDescent="0.35">
      <c r="A542" t="s">
        <v>481</v>
      </c>
      <c r="B542">
        <v>0</v>
      </c>
      <c r="C542" t="s">
        <v>637</v>
      </c>
      <c r="D542">
        <v>57</v>
      </c>
    </row>
    <row r="543" spans="1:4" x14ac:dyDescent="0.35">
      <c r="A543" t="s">
        <v>482</v>
      </c>
      <c r="B543">
        <v>0</v>
      </c>
      <c r="C543" t="s">
        <v>631</v>
      </c>
      <c r="D543">
        <v>65</v>
      </c>
    </row>
    <row r="544" spans="1:4" x14ac:dyDescent="0.35">
      <c r="A544" t="s">
        <v>102</v>
      </c>
      <c r="B544">
        <v>0</v>
      </c>
      <c r="C544" t="s">
        <v>585</v>
      </c>
      <c r="D544">
        <v>93</v>
      </c>
    </row>
    <row r="545" spans="1:4" x14ac:dyDescent="0.35">
      <c r="A545" t="s">
        <v>483</v>
      </c>
      <c r="B545">
        <v>0</v>
      </c>
      <c r="C545" t="s">
        <v>542</v>
      </c>
      <c r="D545">
        <v>100</v>
      </c>
    </row>
    <row r="546" spans="1:4" x14ac:dyDescent="0.35">
      <c r="A546" t="s">
        <v>484</v>
      </c>
      <c r="B546">
        <v>0</v>
      </c>
      <c r="C546" t="s">
        <v>542</v>
      </c>
      <c r="D546">
        <v>100</v>
      </c>
    </row>
    <row r="547" spans="1:4" x14ac:dyDescent="0.35">
      <c r="A547" t="s">
        <v>485</v>
      </c>
      <c r="B547">
        <v>22074</v>
      </c>
      <c r="C547" t="s">
        <v>542</v>
      </c>
      <c r="D547">
        <v>100</v>
      </c>
    </row>
    <row r="548" spans="1:4" x14ac:dyDescent="0.35">
      <c r="A548" t="s">
        <v>486</v>
      </c>
      <c r="B548">
        <v>0</v>
      </c>
      <c r="C548" t="s">
        <v>542</v>
      </c>
      <c r="D548">
        <v>100</v>
      </c>
    </row>
    <row r="549" spans="1:4" x14ac:dyDescent="0.35">
      <c r="A549" t="s">
        <v>487</v>
      </c>
      <c r="B549">
        <v>42</v>
      </c>
      <c r="C549" t="s">
        <v>542</v>
      </c>
      <c r="D549">
        <v>100</v>
      </c>
    </row>
    <row r="550" spans="1:4" x14ac:dyDescent="0.35">
      <c r="A550" t="s">
        <v>158</v>
      </c>
      <c r="B550">
        <v>0</v>
      </c>
      <c r="C550" t="s">
        <v>587</v>
      </c>
      <c r="D550">
        <v>13</v>
      </c>
    </row>
    <row r="551" spans="1:4" x14ac:dyDescent="0.35">
      <c r="A551" t="s">
        <v>159</v>
      </c>
      <c r="B551">
        <v>0</v>
      </c>
      <c r="C551" t="s">
        <v>587</v>
      </c>
      <c r="D551">
        <v>13</v>
      </c>
    </row>
    <row r="552" spans="1:4" x14ac:dyDescent="0.35">
      <c r="A552" t="s">
        <v>488</v>
      </c>
      <c r="B552">
        <v>0</v>
      </c>
      <c r="C552" t="s">
        <v>544</v>
      </c>
      <c r="D552">
        <v>97</v>
      </c>
    </row>
    <row r="553" spans="1:4" x14ac:dyDescent="0.35">
      <c r="A553" t="s">
        <v>489</v>
      </c>
      <c r="B553">
        <v>0</v>
      </c>
      <c r="C553" t="s">
        <v>548</v>
      </c>
      <c r="D553">
        <v>72</v>
      </c>
    </row>
    <row r="554" spans="1:4" x14ac:dyDescent="0.35">
      <c r="A554" t="s">
        <v>490</v>
      </c>
      <c r="B554">
        <v>0</v>
      </c>
      <c r="C554" t="s">
        <v>548</v>
      </c>
      <c r="D554">
        <v>72</v>
      </c>
    </row>
    <row r="555" spans="1:4" x14ac:dyDescent="0.35">
      <c r="A555" t="s">
        <v>491</v>
      </c>
      <c r="B555">
        <v>0</v>
      </c>
      <c r="C555" t="s">
        <v>548</v>
      </c>
      <c r="D555">
        <v>72</v>
      </c>
    </row>
    <row r="556" spans="1:4" x14ac:dyDescent="0.35">
      <c r="A556" t="s">
        <v>369</v>
      </c>
      <c r="B556">
        <v>0</v>
      </c>
      <c r="C556" t="s">
        <v>590</v>
      </c>
      <c r="D556">
        <v>64</v>
      </c>
    </row>
    <row r="557" spans="1:4" x14ac:dyDescent="0.35">
      <c r="A557" t="s">
        <v>171</v>
      </c>
      <c r="B557">
        <v>0</v>
      </c>
      <c r="C557" t="s">
        <v>590</v>
      </c>
      <c r="D557">
        <v>64</v>
      </c>
    </row>
    <row r="558" spans="1:4" x14ac:dyDescent="0.35">
      <c r="A558" t="s">
        <v>310</v>
      </c>
      <c r="B558">
        <v>0</v>
      </c>
      <c r="C558" t="s">
        <v>553</v>
      </c>
      <c r="D558">
        <v>91</v>
      </c>
    </row>
    <row r="559" spans="1:4" x14ac:dyDescent="0.35">
      <c r="A559" t="s">
        <v>109</v>
      </c>
      <c r="B559">
        <v>0</v>
      </c>
      <c r="C559" t="s">
        <v>553</v>
      </c>
      <c r="D559">
        <v>2</v>
      </c>
    </row>
    <row r="560" spans="1:4" x14ac:dyDescent="0.35">
      <c r="A560" t="s">
        <v>310</v>
      </c>
      <c r="B560">
        <v>0</v>
      </c>
      <c r="C560" t="s">
        <v>553</v>
      </c>
      <c r="D560">
        <v>2</v>
      </c>
    </row>
    <row r="561" spans="1:4" x14ac:dyDescent="0.35">
      <c r="A561" t="s">
        <v>170</v>
      </c>
      <c r="B561">
        <v>0</v>
      </c>
      <c r="C561" t="s">
        <v>553</v>
      </c>
      <c r="D561">
        <v>2</v>
      </c>
    </row>
    <row r="562" spans="1:4" x14ac:dyDescent="0.35">
      <c r="A562" t="s">
        <v>110</v>
      </c>
      <c r="B562">
        <v>20969</v>
      </c>
      <c r="C562" t="s">
        <v>553</v>
      </c>
      <c r="D562">
        <v>2</v>
      </c>
    </row>
    <row r="563" spans="1:4" x14ac:dyDescent="0.35">
      <c r="A563" t="s">
        <v>311</v>
      </c>
      <c r="B563">
        <v>0</v>
      </c>
      <c r="C563" t="s">
        <v>553</v>
      </c>
      <c r="D563">
        <v>91</v>
      </c>
    </row>
    <row r="564" spans="1:4" x14ac:dyDescent="0.35">
      <c r="A564" t="s">
        <v>311</v>
      </c>
      <c r="B564">
        <v>0</v>
      </c>
      <c r="C564" t="s">
        <v>553</v>
      </c>
      <c r="D564">
        <v>2</v>
      </c>
    </row>
    <row r="565" spans="1:4" x14ac:dyDescent="0.35">
      <c r="A565" t="s">
        <v>370</v>
      </c>
      <c r="B565">
        <v>0</v>
      </c>
      <c r="C565" t="s">
        <v>553</v>
      </c>
      <c r="D565">
        <v>91</v>
      </c>
    </row>
    <row r="566" spans="1:4" x14ac:dyDescent="0.35">
      <c r="A566" t="s">
        <v>492</v>
      </c>
      <c r="B566">
        <v>0</v>
      </c>
      <c r="C566" t="s">
        <v>556</v>
      </c>
      <c r="D566">
        <v>16</v>
      </c>
    </row>
    <row r="567" spans="1:4" x14ac:dyDescent="0.35">
      <c r="A567" t="s">
        <v>493</v>
      </c>
      <c r="B567">
        <v>2</v>
      </c>
      <c r="C567" t="s">
        <v>556</v>
      </c>
      <c r="D567">
        <v>16</v>
      </c>
    </row>
    <row r="568" spans="1:4" x14ac:dyDescent="0.35">
      <c r="A568" t="s">
        <v>494</v>
      </c>
      <c r="B568">
        <v>0</v>
      </c>
      <c r="C568" t="s">
        <v>556</v>
      </c>
      <c r="D568">
        <v>16</v>
      </c>
    </row>
    <row r="569" spans="1:4" x14ac:dyDescent="0.35">
      <c r="A569" t="s">
        <v>495</v>
      </c>
      <c r="B569">
        <v>0</v>
      </c>
      <c r="C569" t="s">
        <v>556</v>
      </c>
      <c r="D569">
        <v>16</v>
      </c>
    </row>
    <row r="570" spans="1:4" x14ac:dyDescent="0.35">
      <c r="A570" t="s">
        <v>496</v>
      </c>
      <c r="B570">
        <v>0</v>
      </c>
      <c r="C570" t="s">
        <v>556</v>
      </c>
      <c r="D570">
        <v>16</v>
      </c>
    </row>
    <row r="571" spans="1:4" x14ac:dyDescent="0.35">
      <c r="A571" t="s">
        <v>497</v>
      </c>
      <c r="B571">
        <v>2</v>
      </c>
      <c r="C571" t="s">
        <v>556</v>
      </c>
      <c r="D571">
        <v>16</v>
      </c>
    </row>
    <row r="572" spans="1:4" x14ac:dyDescent="0.35">
      <c r="A572" t="s">
        <v>498</v>
      </c>
      <c r="B572">
        <v>2</v>
      </c>
      <c r="C572" t="s">
        <v>556</v>
      </c>
      <c r="D572">
        <v>16</v>
      </c>
    </row>
    <row r="573" spans="1:4" x14ac:dyDescent="0.35">
      <c r="A573" t="s">
        <v>499</v>
      </c>
      <c r="B573">
        <v>2</v>
      </c>
      <c r="C573" t="s">
        <v>556</v>
      </c>
      <c r="D573">
        <v>16</v>
      </c>
    </row>
    <row r="574" spans="1:4" x14ac:dyDescent="0.35">
      <c r="A574" t="s">
        <v>500</v>
      </c>
      <c r="B574">
        <v>2</v>
      </c>
      <c r="C574" t="s">
        <v>556</v>
      </c>
      <c r="D574">
        <v>16</v>
      </c>
    </row>
    <row r="575" spans="1:4" x14ac:dyDescent="0.35">
      <c r="A575" t="s">
        <v>501</v>
      </c>
      <c r="B575">
        <v>0</v>
      </c>
      <c r="C575" t="s">
        <v>556</v>
      </c>
      <c r="D575">
        <v>16</v>
      </c>
    </row>
    <row r="576" spans="1:4" x14ac:dyDescent="0.35">
      <c r="A576" t="s">
        <v>502</v>
      </c>
      <c r="B576">
        <v>0</v>
      </c>
      <c r="C576" t="s">
        <v>556</v>
      </c>
      <c r="D576">
        <v>16</v>
      </c>
    </row>
    <row r="577" spans="1:4" x14ac:dyDescent="0.35">
      <c r="A577" t="s">
        <v>503</v>
      </c>
      <c r="B577">
        <v>116</v>
      </c>
      <c r="C577" t="s">
        <v>556</v>
      </c>
      <c r="D577">
        <v>16</v>
      </c>
    </row>
    <row r="578" spans="1:4" x14ac:dyDescent="0.35">
      <c r="A578" t="s">
        <v>504</v>
      </c>
      <c r="B578">
        <v>0</v>
      </c>
      <c r="C578" t="s">
        <v>556</v>
      </c>
      <c r="D578">
        <v>16</v>
      </c>
    </row>
    <row r="579" spans="1:4" x14ac:dyDescent="0.35">
      <c r="A579" t="s">
        <v>505</v>
      </c>
      <c r="B579">
        <v>0</v>
      </c>
      <c r="C579" t="s">
        <v>556</v>
      </c>
      <c r="D579">
        <v>16</v>
      </c>
    </row>
    <row r="580" spans="1:4" x14ac:dyDescent="0.35">
      <c r="A580" t="s">
        <v>506</v>
      </c>
      <c r="B580">
        <v>0</v>
      </c>
      <c r="C580" t="s">
        <v>638</v>
      </c>
      <c r="D580">
        <v>26</v>
      </c>
    </row>
    <row r="581" spans="1:4" x14ac:dyDescent="0.35">
      <c r="A581" t="s">
        <v>507</v>
      </c>
      <c r="B581">
        <v>0</v>
      </c>
      <c r="C581" t="s">
        <v>565</v>
      </c>
      <c r="D581">
        <v>63</v>
      </c>
    </row>
    <row r="582" spans="1:4" x14ac:dyDescent="0.35">
      <c r="A582" t="s">
        <v>508</v>
      </c>
      <c r="B582">
        <v>0</v>
      </c>
      <c r="C582" t="s">
        <v>569</v>
      </c>
      <c r="D582">
        <v>90</v>
      </c>
    </row>
    <row r="583" spans="1:4" x14ac:dyDescent="0.35">
      <c r="A583" t="s">
        <v>509</v>
      </c>
      <c r="B583">
        <v>0</v>
      </c>
      <c r="C583" t="s">
        <v>569</v>
      </c>
      <c r="D583">
        <v>90</v>
      </c>
    </row>
    <row r="584" spans="1:4" x14ac:dyDescent="0.35">
      <c r="A584" t="s">
        <v>391</v>
      </c>
      <c r="B584">
        <v>0</v>
      </c>
      <c r="C584" t="s">
        <v>570</v>
      </c>
      <c r="D584">
        <v>37</v>
      </c>
    </row>
    <row r="585" spans="1:4" x14ac:dyDescent="0.35">
      <c r="A585" t="s">
        <v>62</v>
      </c>
      <c r="B585">
        <v>1010576</v>
      </c>
      <c r="C585" t="s">
        <v>571</v>
      </c>
      <c r="D585">
        <v>39</v>
      </c>
    </row>
    <row r="586" spans="1:4" x14ac:dyDescent="0.35">
      <c r="A586" t="s">
        <v>510</v>
      </c>
      <c r="B586">
        <v>0</v>
      </c>
      <c r="C586" t="s">
        <v>572</v>
      </c>
      <c r="D586">
        <v>15</v>
      </c>
    </row>
    <row r="587" spans="1:4" x14ac:dyDescent="0.35">
      <c r="A587" t="s">
        <v>511</v>
      </c>
      <c r="B587">
        <v>0</v>
      </c>
      <c r="C587" t="s">
        <v>572</v>
      </c>
      <c r="D587">
        <v>15</v>
      </c>
    </row>
    <row r="588" spans="1:4" x14ac:dyDescent="0.35">
      <c r="A588" t="s">
        <v>512</v>
      </c>
      <c r="B588">
        <v>0</v>
      </c>
      <c r="C588" t="s">
        <v>572</v>
      </c>
      <c r="D588">
        <v>15</v>
      </c>
    </row>
    <row r="589" spans="1:4" x14ac:dyDescent="0.35">
      <c r="A589" t="s">
        <v>513</v>
      </c>
      <c r="B589">
        <v>0</v>
      </c>
      <c r="C589" t="s">
        <v>572</v>
      </c>
      <c r="D589">
        <v>15</v>
      </c>
    </row>
    <row r="590" spans="1:4" x14ac:dyDescent="0.35">
      <c r="A590" t="s">
        <v>514</v>
      </c>
      <c r="B590">
        <v>68663</v>
      </c>
      <c r="C590" t="s">
        <v>572</v>
      </c>
      <c r="D590">
        <v>15</v>
      </c>
    </row>
    <row r="591" spans="1:4" x14ac:dyDescent="0.35">
      <c r="A591" t="s">
        <v>515</v>
      </c>
      <c r="B591">
        <v>0</v>
      </c>
      <c r="C591" t="s">
        <v>572</v>
      </c>
      <c r="D591">
        <v>15</v>
      </c>
    </row>
    <row r="592" spans="1:4" x14ac:dyDescent="0.35">
      <c r="A592" t="s">
        <v>516</v>
      </c>
      <c r="B592">
        <v>0</v>
      </c>
      <c r="C592" t="s">
        <v>572</v>
      </c>
      <c r="D592">
        <v>15</v>
      </c>
    </row>
    <row r="593" spans="1:4" x14ac:dyDescent="0.35">
      <c r="A593" t="s">
        <v>517</v>
      </c>
      <c r="B593">
        <v>0</v>
      </c>
      <c r="C593" t="s">
        <v>572</v>
      </c>
      <c r="D593">
        <v>15</v>
      </c>
    </row>
    <row r="594" spans="1:4" x14ac:dyDescent="0.35">
      <c r="A594" t="s">
        <v>518</v>
      </c>
      <c r="B594">
        <v>9068</v>
      </c>
      <c r="C594" t="s">
        <v>572</v>
      </c>
      <c r="D594">
        <v>15</v>
      </c>
    </row>
    <row r="595" spans="1:4" x14ac:dyDescent="0.35">
      <c r="A595" t="s">
        <v>519</v>
      </c>
      <c r="B595">
        <v>0</v>
      </c>
      <c r="C595" t="s">
        <v>572</v>
      </c>
      <c r="D595">
        <v>15</v>
      </c>
    </row>
    <row r="596" spans="1:4" x14ac:dyDescent="0.35">
      <c r="A596" t="s">
        <v>520</v>
      </c>
      <c r="B596">
        <v>0</v>
      </c>
      <c r="C596" t="s">
        <v>639</v>
      </c>
      <c r="D596">
        <v>44</v>
      </c>
    </row>
    <row r="597" spans="1:4" x14ac:dyDescent="0.35">
      <c r="A597" t="s">
        <v>521</v>
      </c>
      <c r="B597">
        <v>0</v>
      </c>
      <c r="C597" t="s">
        <v>572</v>
      </c>
      <c r="D597">
        <v>15</v>
      </c>
    </row>
    <row r="598" spans="1:4" x14ac:dyDescent="0.35">
      <c r="A598" t="s">
        <v>522</v>
      </c>
      <c r="B598">
        <v>0</v>
      </c>
      <c r="C598" t="s">
        <v>572</v>
      </c>
      <c r="D598">
        <v>15</v>
      </c>
    </row>
    <row r="599" spans="1:4" x14ac:dyDescent="0.35">
      <c r="A599" t="s">
        <v>523</v>
      </c>
      <c r="B599">
        <v>0</v>
      </c>
      <c r="C599" t="s">
        <v>640</v>
      </c>
      <c r="D599">
        <v>67</v>
      </c>
    </row>
    <row r="600" spans="1:4" x14ac:dyDescent="0.35">
      <c r="A600" t="s">
        <v>524</v>
      </c>
      <c r="B600">
        <v>0</v>
      </c>
      <c r="C600" t="s">
        <v>641</v>
      </c>
      <c r="D600">
        <v>61</v>
      </c>
    </row>
    <row r="601" spans="1:4" x14ac:dyDescent="0.35">
      <c r="A601" t="s">
        <v>525</v>
      </c>
      <c r="B601">
        <v>2043</v>
      </c>
      <c r="C601" t="s">
        <v>575</v>
      </c>
      <c r="D601">
        <v>14</v>
      </c>
    </row>
    <row r="602" spans="1:4" x14ac:dyDescent="0.35">
      <c r="A602" t="s">
        <v>526</v>
      </c>
      <c r="B602">
        <v>4129</v>
      </c>
      <c r="C602" t="s">
        <v>575</v>
      </c>
      <c r="D602">
        <v>14</v>
      </c>
    </row>
    <row r="603" spans="1:4" x14ac:dyDescent="0.35">
      <c r="A603" t="s">
        <v>527</v>
      </c>
      <c r="B603">
        <v>0</v>
      </c>
      <c r="C603" t="s">
        <v>575</v>
      </c>
      <c r="D603">
        <v>14</v>
      </c>
    </row>
    <row r="604" spans="1:4" x14ac:dyDescent="0.35">
      <c r="A604" t="s">
        <v>528</v>
      </c>
      <c r="B604">
        <v>2041</v>
      </c>
      <c r="C604" t="s">
        <v>575</v>
      </c>
      <c r="D604">
        <v>14</v>
      </c>
    </row>
    <row r="605" spans="1:4" x14ac:dyDescent="0.35">
      <c r="A605" t="s">
        <v>529</v>
      </c>
      <c r="B605">
        <v>0</v>
      </c>
      <c r="C605" t="s">
        <v>576</v>
      </c>
      <c r="D605">
        <v>62</v>
      </c>
    </row>
    <row r="606" spans="1:4" x14ac:dyDescent="0.35">
      <c r="A606" t="s">
        <v>530</v>
      </c>
      <c r="B606">
        <v>0</v>
      </c>
      <c r="C606" t="s">
        <v>618</v>
      </c>
      <c r="D606">
        <v>81</v>
      </c>
    </row>
    <row r="607" spans="1:4" x14ac:dyDescent="0.35">
      <c r="A607" t="s">
        <v>531</v>
      </c>
      <c r="B607">
        <v>0</v>
      </c>
      <c r="C607" t="s">
        <v>577</v>
      </c>
      <c r="D607">
        <v>66</v>
      </c>
    </row>
    <row r="608" spans="1:4" x14ac:dyDescent="0.35">
      <c r="A608" t="s">
        <v>532</v>
      </c>
      <c r="B608">
        <v>0</v>
      </c>
      <c r="C608" t="s">
        <v>578</v>
      </c>
      <c r="D608">
        <v>12</v>
      </c>
    </row>
    <row r="609" spans="1:4" x14ac:dyDescent="0.35">
      <c r="A609" t="s">
        <v>533</v>
      </c>
      <c r="B609">
        <v>0</v>
      </c>
      <c r="C609" t="s">
        <v>578</v>
      </c>
      <c r="D609">
        <v>12</v>
      </c>
    </row>
    <row r="610" spans="1:4" x14ac:dyDescent="0.35">
      <c r="A610" t="s">
        <v>534</v>
      </c>
      <c r="B610">
        <v>0</v>
      </c>
      <c r="C610" t="s">
        <v>598</v>
      </c>
      <c r="D610">
        <v>56</v>
      </c>
    </row>
    <row r="611" spans="1:4" x14ac:dyDescent="0.35">
      <c r="A611" t="s">
        <v>535</v>
      </c>
      <c r="B611">
        <v>0</v>
      </c>
      <c r="C611" t="s">
        <v>598</v>
      </c>
      <c r="D611">
        <v>56</v>
      </c>
    </row>
    <row r="612" spans="1:4" x14ac:dyDescent="0.35">
      <c r="A612" t="s">
        <v>536</v>
      </c>
      <c r="B612">
        <v>640</v>
      </c>
      <c r="C612" t="s">
        <v>579</v>
      </c>
      <c r="D612">
        <v>11</v>
      </c>
    </row>
    <row r="613" spans="1:4" x14ac:dyDescent="0.35">
      <c r="A613" t="s">
        <v>537</v>
      </c>
      <c r="B613">
        <v>0</v>
      </c>
      <c r="C613" t="s">
        <v>580</v>
      </c>
      <c r="D613">
        <v>10</v>
      </c>
    </row>
    <row r="614" spans="1:4" x14ac:dyDescent="0.35">
      <c r="A614" t="s">
        <v>538</v>
      </c>
      <c r="B614">
        <v>0</v>
      </c>
      <c r="C614" t="s">
        <v>580</v>
      </c>
      <c r="D614">
        <v>10</v>
      </c>
    </row>
    <row r="615" spans="1:4" x14ac:dyDescent="0.35">
      <c r="A615" t="s">
        <v>539</v>
      </c>
      <c r="B615">
        <v>0</v>
      </c>
      <c r="C615" t="s">
        <v>580</v>
      </c>
      <c r="D615">
        <v>10</v>
      </c>
    </row>
    <row r="616" spans="1:4" x14ac:dyDescent="0.35">
      <c r="A616" t="s">
        <v>540</v>
      </c>
      <c r="B616">
        <v>0</v>
      </c>
      <c r="C616" t="s">
        <v>581</v>
      </c>
      <c r="D616">
        <v>55</v>
      </c>
    </row>
    <row r="617" spans="1:4" x14ac:dyDescent="0.35">
      <c r="A617" t="s">
        <v>541</v>
      </c>
      <c r="B617">
        <v>0</v>
      </c>
      <c r="C617" t="s">
        <v>631</v>
      </c>
      <c r="D617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A31-D4B9-4E6C-9B61-0055568E9A28}">
  <dimension ref="A1:F546"/>
  <sheetViews>
    <sheetView workbookViewId="0">
      <selection activeCell="H3" sqref="H3"/>
    </sheetView>
  </sheetViews>
  <sheetFormatPr defaultRowHeight="14.5" x14ac:dyDescent="0.35"/>
  <cols>
    <col min="1" max="1" width="21.36328125" style="6" bestFit="1" customWidth="1"/>
    <col min="2" max="2" width="11.453125" style="6" bestFit="1" customWidth="1"/>
    <col min="3" max="3" width="8.7265625" style="6"/>
    <col min="4" max="4" width="13.453125" style="6" bestFit="1" customWidth="1"/>
    <col min="5" max="5" width="8.7265625" style="6"/>
    <col min="6" max="6" width="13.7265625" style="6" bestFit="1" customWidth="1"/>
    <col min="7" max="16384" width="8.7265625" style="6"/>
  </cols>
  <sheetData>
    <row r="1" spans="1:6" s="4" customFormat="1" x14ac:dyDescent="0.35">
      <c r="A1" s="4" t="s">
        <v>642</v>
      </c>
      <c r="B1" s="4" t="s">
        <v>648</v>
      </c>
      <c r="D1" s="4" t="s">
        <v>1196</v>
      </c>
      <c r="F1" s="4" t="s">
        <v>1197</v>
      </c>
    </row>
    <row r="2" spans="1:6" x14ac:dyDescent="0.35">
      <c r="A2" s="5" t="s">
        <v>672</v>
      </c>
      <c r="B2" s="6">
        <v>0</v>
      </c>
      <c r="D2" s="6">
        <f>IF(COUNTIF(Sheet4!A:A,A2)&gt;0,VLOOKUP(A2,Sheet4!A:B,2,FALSE),"NotFound")</f>
        <v>0</v>
      </c>
      <c r="F2" s="6" t="str">
        <f>IF(B2=D2,"Matching","mis match")</f>
        <v>Matching</v>
      </c>
    </row>
    <row r="3" spans="1:6" x14ac:dyDescent="0.35">
      <c r="A3" s="5" t="s">
        <v>699</v>
      </c>
      <c r="B3" s="6">
        <v>1124091</v>
      </c>
      <c r="D3" s="6">
        <f>IF(COUNTIF(Sheet4!A:A,A3)&gt;0,VLOOKUP(A3,Sheet4!A:B,2,FALSE),"NotFound")</f>
        <v>1124091</v>
      </c>
      <c r="F3" s="6" t="str">
        <f t="shared" ref="F3:F66" si="0">IF(B3=D3,"Matching","mis match")</f>
        <v>Matching</v>
      </c>
    </row>
    <row r="4" spans="1:6" x14ac:dyDescent="0.35">
      <c r="A4" s="5" t="s">
        <v>669</v>
      </c>
      <c r="B4" s="6">
        <v>0</v>
      </c>
      <c r="D4" s="6">
        <f>IF(COUNTIF(Sheet4!A:A,A4)&gt;0,VLOOKUP(A4,Sheet4!A:B,2,FALSE),"NotFound")</f>
        <v>0</v>
      </c>
      <c r="F4" s="6" t="str">
        <f t="shared" si="0"/>
        <v>Matching</v>
      </c>
    </row>
    <row r="5" spans="1:6" x14ac:dyDescent="0.35">
      <c r="A5" s="5" t="s">
        <v>673</v>
      </c>
      <c r="B5" s="6">
        <v>0</v>
      </c>
      <c r="D5" s="6">
        <f>IF(COUNTIF(Sheet4!A:A,A5)&gt;0,VLOOKUP(A5,Sheet4!A:B,2,FALSE),"NotFound")</f>
        <v>0</v>
      </c>
      <c r="F5" s="6" t="str">
        <f t="shared" si="0"/>
        <v>Matching</v>
      </c>
    </row>
    <row r="6" spans="1:6" x14ac:dyDescent="0.35">
      <c r="A6" s="5" t="s">
        <v>664</v>
      </c>
      <c r="B6" s="6">
        <v>20</v>
      </c>
      <c r="D6" s="6">
        <f>IF(COUNTIF(Sheet4!A:A,A6)&gt;0,VLOOKUP(A6,Sheet4!A:B,2,FALSE),"NotFound")</f>
        <v>20</v>
      </c>
      <c r="F6" s="6" t="str">
        <f>IF(B6=D6,"Matching","mis match")</f>
        <v>Matching</v>
      </c>
    </row>
    <row r="7" spans="1:6" x14ac:dyDescent="0.35">
      <c r="A7" s="5" t="s">
        <v>656</v>
      </c>
      <c r="B7" s="6">
        <v>442649</v>
      </c>
      <c r="D7" s="6">
        <f>IF(COUNTIF(Sheet4!A:A,A7)&gt;0,VLOOKUP(A7,Sheet4!A:B,2,FALSE),"NotFound")</f>
        <v>442649</v>
      </c>
      <c r="F7" s="6" t="str">
        <f t="shared" si="0"/>
        <v>Matching</v>
      </c>
    </row>
    <row r="8" spans="1:6" x14ac:dyDescent="0.35">
      <c r="A8" s="5" t="s">
        <v>655</v>
      </c>
      <c r="B8" s="6">
        <v>403197</v>
      </c>
      <c r="D8" s="6">
        <f>IF(COUNTIF(Sheet4!A:A,A8)&gt;0,VLOOKUP(A8,Sheet4!A:B,2,FALSE),"NotFound")</f>
        <v>403197</v>
      </c>
      <c r="F8" s="6" t="str">
        <f t="shared" si="0"/>
        <v>Matching</v>
      </c>
    </row>
    <row r="9" spans="1:6" x14ac:dyDescent="0.35">
      <c r="A9" s="5" t="s">
        <v>650</v>
      </c>
      <c r="B9" s="6">
        <v>402580</v>
      </c>
      <c r="D9" s="6">
        <f>IF(COUNTIF(Sheet4!A:A,A9)&gt;0,VLOOKUP(A9,Sheet4!A:B,2,FALSE),"NotFound")</f>
        <v>402580</v>
      </c>
      <c r="F9" s="6" t="str">
        <f t="shared" si="0"/>
        <v>Matching</v>
      </c>
    </row>
    <row r="10" spans="1:6" x14ac:dyDescent="0.35">
      <c r="A10" s="5" t="s">
        <v>663</v>
      </c>
      <c r="B10" s="6">
        <v>19568</v>
      </c>
      <c r="D10" s="6">
        <f>IF(COUNTIF(Sheet4!A:A,A10)&gt;0,VLOOKUP(A10,Sheet4!A:B,2,FALSE),"NotFound")</f>
        <v>19568</v>
      </c>
      <c r="F10" s="6" t="str">
        <f t="shared" si="0"/>
        <v>Matching</v>
      </c>
    </row>
    <row r="11" spans="1:6" x14ac:dyDescent="0.35">
      <c r="A11" s="5" t="s">
        <v>696</v>
      </c>
      <c r="B11" s="6">
        <v>579392</v>
      </c>
      <c r="D11" s="6">
        <f>IF(COUNTIF(Sheet4!A:A,A11)&gt;0,VLOOKUP(A11,Sheet4!A:B,2,FALSE),"NotFound")</f>
        <v>579392</v>
      </c>
      <c r="F11" s="6" t="str">
        <f t="shared" si="0"/>
        <v>Matching</v>
      </c>
    </row>
    <row r="12" spans="1:6" x14ac:dyDescent="0.35">
      <c r="A12" s="5" t="s">
        <v>658</v>
      </c>
      <c r="B12" s="6">
        <v>5181089</v>
      </c>
      <c r="D12" s="6">
        <f>IF(COUNTIF(Sheet4!A:A,A12)&gt;0,VLOOKUP(A12,Sheet4!A:B,2,FALSE),"NotFound")</f>
        <v>5181089</v>
      </c>
      <c r="F12" s="6" t="str">
        <f t="shared" si="0"/>
        <v>Matching</v>
      </c>
    </row>
    <row r="13" spans="1:6" x14ac:dyDescent="0.35">
      <c r="A13" s="5" t="s">
        <v>690</v>
      </c>
      <c r="B13" s="6">
        <v>0</v>
      </c>
      <c r="D13" s="6">
        <f>IF(COUNTIF(Sheet4!A:A,A13)&gt;0,VLOOKUP(A13,Sheet4!A:B,2,FALSE),"NotFound")</f>
        <v>0</v>
      </c>
      <c r="F13" s="6" t="str">
        <f t="shared" si="0"/>
        <v>Matching</v>
      </c>
    </row>
    <row r="14" spans="1:6" x14ac:dyDescent="0.35">
      <c r="A14" s="5" t="s">
        <v>687</v>
      </c>
      <c r="B14" s="6">
        <v>29105</v>
      </c>
      <c r="D14" s="6">
        <f>IF(COUNTIF(Sheet4!A:A,A14)&gt;0,VLOOKUP(A14,Sheet4!A:B,2,FALSE),"NotFound")</f>
        <v>29105</v>
      </c>
      <c r="F14" s="6" t="str">
        <f t="shared" si="0"/>
        <v>Matching</v>
      </c>
    </row>
    <row r="15" spans="1:6" x14ac:dyDescent="0.35">
      <c r="A15" s="5" t="s">
        <v>675</v>
      </c>
      <c r="B15" s="6">
        <v>0</v>
      </c>
      <c r="D15" s="6">
        <f>IF(COUNTIF(Sheet4!A:A,A15)&gt;0,VLOOKUP(A15,Sheet4!A:B,2,FALSE),"NotFound")</f>
        <v>0</v>
      </c>
      <c r="F15" s="6" t="str">
        <f t="shared" si="0"/>
        <v>Matching</v>
      </c>
    </row>
    <row r="16" spans="1:6" x14ac:dyDescent="0.35">
      <c r="A16" s="5" t="s">
        <v>698</v>
      </c>
      <c r="B16" s="6">
        <v>654395</v>
      </c>
      <c r="D16" s="6">
        <f>IF(COUNTIF(Sheet4!A:A,A16)&gt;0,VLOOKUP(A16,Sheet4!A:B,2,FALSE),"NotFound")</f>
        <v>654395</v>
      </c>
      <c r="F16" s="6" t="str">
        <f t="shared" si="0"/>
        <v>Matching</v>
      </c>
    </row>
    <row r="17" spans="1:6" x14ac:dyDescent="0.35">
      <c r="A17" s="5" t="s">
        <v>668</v>
      </c>
      <c r="B17" s="6">
        <v>0</v>
      </c>
      <c r="D17" s="6">
        <f>IF(COUNTIF(Sheet4!A:A,A17)&gt;0,VLOOKUP(A17,Sheet4!A:B,2,FALSE),"NotFound")</f>
        <v>0</v>
      </c>
      <c r="F17" s="6" t="str">
        <f t="shared" si="0"/>
        <v>Matching</v>
      </c>
    </row>
    <row r="18" spans="1:6" x14ac:dyDescent="0.35">
      <c r="A18" s="5" t="s">
        <v>667</v>
      </c>
      <c r="B18" s="6">
        <v>0</v>
      </c>
      <c r="D18" s="6">
        <f>IF(COUNTIF(Sheet4!A:A,A18)&gt;0,VLOOKUP(A18,Sheet4!A:B,2,FALSE),"NotFound")</f>
        <v>0</v>
      </c>
      <c r="F18" s="6" t="str">
        <f t="shared" si="0"/>
        <v>Matching</v>
      </c>
    </row>
    <row r="19" spans="1:6" x14ac:dyDescent="0.35">
      <c r="A19" s="5" t="s">
        <v>688</v>
      </c>
      <c r="B19" s="6">
        <v>51160</v>
      </c>
      <c r="D19" s="6">
        <f>IF(COUNTIF(Sheet4!A:A,A19)&gt;0,VLOOKUP(A19,Sheet4!A:B,2,FALSE),"NotFound")</f>
        <v>51160</v>
      </c>
      <c r="F19" s="6" t="str">
        <f t="shared" si="0"/>
        <v>Matching</v>
      </c>
    </row>
    <row r="20" spans="1:6" x14ac:dyDescent="0.35">
      <c r="A20" s="5" t="s">
        <v>676</v>
      </c>
      <c r="B20" s="6">
        <v>0</v>
      </c>
      <c r="D20" s="6">
        <f>IF(COUNTIF(Sheet4!A:A,A20)&gt;0,VLOOKUP(A20,Sheet4!A:B,2,FALSE),"NotFound")</f>
        <v>0</v>
      </c>
      <c r="F20" s="6" t="str">
        <f t="shared" si="0"/>
        <v>Matching</v>
      </c>
    </row>
    <row r="21" spans="1:6" x14ac:dyDescent="0.35">
      <c r="A21" s="5" t="s">
        <v>677</v>
      </c>
      <c r="B21" s="6">
        <v>0</v>
      </c>
      <c r="D21" s="6">
        <f>IF(COUNTIF(Sheet4!A:A,A21)&gt;0,VLOOKUP(A21,Sheet4!A:B,2,FALSE),"NotFound")</f>
        <v>0</v>
      </c>
      <c r="F21" s="6" t="str">
        <f t="shared" si="0"/>
        <v>Matching</v>
      </c>
    </row>
    <row r="22" spans="1:6" x14ac:dyDescent="0.35">
      <c r="A22" s="5" t="s">
        <v>692</v>
      </c>
      <c r="B22" s="6">
        <v>51333</v>
      </c>
      <c r="D22" s="6">
        <f>IF(COUNTIF(Sheet4!A:A,A22)&gt;0,VLOOKUP(A22,Sheet4!A:B,2,FALSE),"NotFound")</f>
        <v>51333</v>
      </c>
      <c r="F22" s="6" t="str">
        <f t="shared" si="0"/>
        <v>Matching</v>
      </c>
    </row>
    <row r="23" spans="1:6" x14ac:dyDescent="0.35">
      <c r="A23" s="5" t="s">
        <v>678</v>
      </c>
      <c r="B23" s="6">
        <v>0</v>
      </c>
      <c r="D23" s="6">
        <f>IF(COUNTIF(Sheet4!A:A,A23)&gt;0,VLOOKUP(A23,Sheet4!A:B,2,FALSE),"NotFound")</f>
        <v>0</v>
      </c>
      <c r="F23" s="6" t="str">
        <f t="shared" si="0"/>
        <v>Matching</v>
      </c>
    </row>
    <row r="24" spans="1:6" x14ac:dyDescent="0.35">
      <c r="A24" s="5" t="s">
        <v>679</v>
      </c>
      <c r="B24" s="6">
        <v>0</v>
      </c>
      <c r="D24" s="6">
        <f>IF(COUNTIF(Sheet4!A:A,A24)&gt;0,VLOOKUP(A24,Sheet4!A:B,2,FALSE),"NotFound")</f>
        <v>0</v>
      </c>
      <c r="F24" s="6" t="str">
        <f t="shared" si="0"/>
        <v>Matching</v>
      </c>
    </row>
    <row r="25" spans="1:6" x14ac:dyDescent="0.35">
      <c r="A25" s="5" t="s">
        <v>680</v>
      </c>
      <c r="B25" s="6">
        <v>0</v>
      </c>
      <c r="D25" s="6">
        <f>IF(COUNTIF(Sheet4!A:A,A25)&gt;0,VLOOKUP(A25,Sheet4!A:B,2,FALSE),"NotFound")</f>
        <v>0</v>
      </c>
      <c r="F25" s="6" t="str">
        <f t="shared" si="0"/>
        <v>Matching</v>
      </c>
    </row>
    <row r="26" spans="1:6" x14ac:dyDescent="0.35">
      <c r="A26" s="5" t="s">
        <v>662</v>
      </c>
      <c r="B26" s="6">
        <v>22074</v>
      </c>
      <c r="D26" s="6">
        <f>IF(COUNTIF(Sheet4!A:A,A26)&gt;0,VLOOKUP(A26,Sheet4!A:B,2,FALSE),"NotFound")</f>
        <v>22074</v>
      </c>
      <c r="F26" s="6" t="str">
        <f t="shared" si="0"/>
        <v>Matching</v>
      </c>
    </row>
    <row r="27" spans="1:6" x14ac:dyDescent="0.35">
      <c r="A27" s="5" t="s">
        <v>674</v>
      </c>
      <c r="B27" s="6">
        <v>0</v>
      </c>
      <c r="D27" s="6">
        <f>IF(COUNTIF(Sheet4!A:A,A27)&gt;0,VLOOKUP(A27,Sheet4!A:B,2,FALSE),"NotFound")</f>
        <v>0</v>
      </c>
      <c r="F27" s="6" t="str">
        <f t="shared" si="0"/>
        <v>Matching</v>
      </c>
    </row>
    <row r="28" spans="1:6" x14ac:dyDescent="0.35">
      <c r="A28" s="5" t="s">
        <v>660</v>
      </c>
      <c r="B28" s="6">
        <v>82946</v>
      </c>
      <c r="D28" s="6">
        <f>IF(COUNTIF(Sheet4!A:A,A28)&gt;0,VLOOKUP(A28,Sheet4!A:B,2,FALSE),"NotFound")</f>
        <v>82946</v>
      </c>
      <c r="F28" s="6" t="str">
        <f t="shared" si="0"/>
        <v>Matching</v>
      </c>
    </row>
    <row r="29" spans="1:6" x14ac:dyDescent="0.35">
      <c r="A29" s="5" t="s">
        <v>697</v>
      </c>
      <c r="B29" s="6">
        <v>566074</v>
      </c>
      <c r="D29" s="6">
        <f>IF(COUNTIF(Sheet4!A:A,A29)&gt;0,VLOOKUP(A29,Sheet4!A:B,2,FALSE),"NotFound")</f>
        <v>566074</v>
      </c>
      <c r="F29" s="6" t="str">
        <f t="shared" si="0"/>
        <v>Matching</v>
      </c>
    </row>
    <row r="30" spans="1:6" x14ac:dyDescent="0.35">
      <c r="A30" s="5" t="s">
        <v>1081</v>
      </c>
      <c r="B30" s="6">
        <v>0</v>
      </c>
      <c r="D30" s="6">
        <f>IF(COUNTIF(Sheet4!A:A,A30)&gt;0,VLOOKUP(A30,Sheet4!A:B,2,FALSE),"NotFound")</f>
        <v>0</v>
      </c>
      <c r="F30" s="6" t="str">
        <f t="shared" si="0"/>
        <v>Matching</v>
      </c>
    </row>
    <row r="31" spans="1:6" x14ac:dyDescent="0.35">
      <c r="A31" s="5" t="s">
        <v>652</v>
      </c>
      <c r="B31" s="6">
        <v>0</v>
      </c>
      <c r="D31" s="6">
        <f>IF(COUNTIF(Sheet4!A:A,A31)&gt;0,VLOOKUP(A31,Sheet4!A:B,2,FALSE),"NotFound")</f>
        <v>0</v>
      </c>
      <c r="F31" s="6" t="str">
        <f t="shared" si="0"/>
        <v>Matching</v>
      </c>
    </row>
    <row r="32" spans="1:6" x14ac:dyDescent="0.35">
      <c r="A32" s="5" t="s">
        <v>1186</v>
      </c>
      <c r="B32" s="6">
        <v>0</v>
      </c>
      <c r="D32" s="6">
        <f>IF(COUNTIF(Sheet4!A:A,A32)&gt;0,VLOOKUP(A32,Sheet4!A:B,2,FALSE),"NotFound")</f>
        <v>0</v>
      </c>
      <c r="F32" s="6" t="str">
        <f t="shared" si="0"/>
        <v>Matching</v>
      </c>
    </row>
    <row r="33" spans="1:6" x14ac:dyDescent="0.35">
      <c r="A33" s="5" t="s">
        <v>670</v>
      </c>
      <c r="B33" s="6">
        <v>0</v>
      </c>
      <c r="D33" s="6">
        <f>IF(COUNTIF(Sheet4!A:A,A33)&gt;0,VLOOKUP(A33,Sheet4!A:B,2,FALSE),"NotFound")</f>
        <v>0</v>
      </c>
      <c r="F33" s="6" t="str">
        <f t="shared" si="0"/>
        <v>Matching</v>
      </c>
    </row>
    <row r="34" spans="1:6" x14ac:dyDescent="0.35">
      <c r="A34" s="5" t="s">
        <v>700</v>
      </c>
      <c r="B34" s="6">
        <v>0</v>
      </c>
      <c r="D34" s="6">
        <f>IF(COUNTIF(Sheet4!A:A,A34)&gt;0,VLOOKUP(A34,Sheet4!A:B,2,FALSE),"NotFound")</f>
        <v>0</v>
      </c>
      <c r="F34" s="6" t="str">
        <f t="shared" si="0"/>
        <v>Matching</v>
      </c>
    </row>
    <row r="35" spans="1:6" x14ac:dyDescent="0.35">
      <c r="A35" s="5" t="s">
        <v>701</v>
      </c>
      <c r="B35" s="6">
        <v>0</v>
      </c>
      <c r="D35" s="6">
        <f>IF(COUNTIF(Sheet4!A:A,A35)&gt;0,VLOOKUP(A35,Sheet4!A:B,2,FALSE),"NotFound")</f>
        <v>0</v>
      </c>
      <c r="F35" s="6" t="str">
        <f t="shared" si="0"/>
        <v>Matching</v>
      </c>
    </row>
    <row r="36" spans="1:6" x14ac:dyDescent="0.35">
      <c r="A36" s="5" t="s">
        <v>753</v>
      </c>
      <c r="B36" s="6">
        <v>0</v>
      </c>
      <c r="D36" s="6">
        <f>IF(COUNTIF(Sheet4!A:A,A36)&gt;0,VLOOKUP(A36,Sheet4!A:B,2,FALSE),"NotFound")</f>
        <v>0</v>
      </c>
      <c r="F36" s="6" t="str">
        <f t="shared" si="0"/>
        <v>Matching</v>
      </c>
    </row>
    <row r="37" spans="1:6" x14ac:dyDescent="0.35">
      <c r="A37" s="5" t="s">
        <v>754</v>
      </c>
      <c r="B37" s="6">
        <v>0</v>
      </c>
      <c r="D37" s="6">
        <f>IF(COUNTIF(Sheet4!A:A,A37)&gt;0,VLOOKUP(A37,Sheet4!A:B,2,FALSE),"NotFound")</f>
        <v>0</v>
      </c>
      <c r="F37" s="6" t="str">
        <f t="shared" si="0"/>
        <v>Matching</v>
      </c>
    </row>
    <row r="38" spans="1:6" x14ac:dyDescent="0.35">
      <c r="A38" s="5" t="s">
        <v>702</v>
      </c>
      <c r="B38" s="6">
        <v>0</v>
      </c>
      <c r="D38" s="6">
        <f>IF(COUNTIF(Sheet4!A:A,A38)&gt;0,VLOOKUP(A38,Sheet4!A:B,2,FALSE),"NotFound")</f>
        <v>0</v>
      </c>
      <c r="F38" s="6" t="str">
        <f t="shared" si="0"/>
        <v>Matching</v>
      </c>
    </row>
    <row r="39" spans="1:6" x14ac:dyDescent="0.35">
      <c r="A39" s="5" t="s">
        <v>715</v>
      </c>
      <c r="B39" s="6">
        <v>0</v>
      </c>
      <c r="D39" s="6">
        <f>IF(COUNTIF(Sheet4!A:A,A39)&gt;0,VLOOKUP(A39,Sheet4!A:B,2,FALSE),"NotFound")</f>
        <v>0</v>
      </c>
      <c r="F39" s="6" t="str">
        <f t="shared" si="0"/>
        <v>Matching</v>
      </c>
    </row>
    <row r="40" spans="1:6" x14ac:dyDescent="0.35">
      <c r="A40" s="5" t="s">
        <v>716</v>
      </c>
      <c r="B40" s="6">
        <v>0</v>
      </c>
      <c r="D40" s="6">
        <f>IF(COUNTIF(Sheet4!A:A,A40)&gt;0,VLOOKUP(A40,Sheet4!A:B,2,FALSE),"NotFound")</f>
        <v>0</v>
      </c>
      <c r="F40" s="6" t="str">
        <f t="shared" si="0"/>
        <v>Matching</v>
      </c>
    </row>
    <row r="41" spans="1:6" x14ac:dyDescent="0.35">
      <c r="A41" s="5" t="s">
        <v>757</v>
      </c>
      <c r="B41" s="6">
        <v>39396</v>
      </c>
      <c r="D41" s="6">
        <f>IF(COUNTIF(Sheet4!A:A,A41)&gt;0,VLOOKUP(A41,Sheet4!A:B,2,FALSE),"NotFound")</f>
        <v>39396</v>
      </c>
      <c r="F41" s="6" t="str">
        <f t="shared" si="0"/>
        <v>Matching</v>
      </c>
    </row>
    <row r="42" spans="1:6" x14ac:dyDescent="0.35">
      <c r="A42" s="5" t="s">
        <v>755</v>
      </c>
      <c r="B42" s="6">
        <v>0</v>
      </c>
      <c r="D42" s="6">
        <f>IF(COUNTIF(Sheet4!A:A,A42)&gt;0,VLOOKUP(A42,Sheet4!A:B,2,FALSE),"NotFound")</f>
        <v>0</v>
      </c>
      <c r="F42" s="6" t="str">
        <f t="shared" si="0"/>
        <v>Matching</v>
      </c>
    </row>
    <row r="43" spans="1:6" x14ac:dyDescent="0.35">
      <c r="A43" s="5" t="s">
        <v>717</v>
      </c>
      <c r="B43" s="6">
        <v>0</v>
      </c>
      <c r="D43" s="6">
        <f>IF(COUNTIF(Sheet4!A:A,A43)&gt;0,VLOOKUP(A43,Sheet4!A:B,2,FALSE),"NotFound")</f>
        <v>0</v>
      </c>
      <c r="F43" s="6" t="str">
        <f t="shared" si="0"/>
        <v>Matching</v>
      </c>
    </row>
    <row r="44" spans="1:6" x14ac:dyDescent="0.35">
      <c r="A44" s="5" t="s">
        <v>704</v>
      </c>
      <c r="B44" s="6">
        <v>0</v>
      </c>
      <c r="D44" s="6">
        <f>IF(COUNTIF(Sheet4!A:A,A44)&gt;0,VLOOKUP(A44,Sheet4!A:B,2,FALSE),"NotFound")</f>
        <v>0</v>
      </c>
      <c r="F44" s="6" t="str">
        <f t="shared" si="0"/>
        <v>Matching</v>
      </c>
    </row>
    <row r="45" spans="1:6" x14ac:dyDescent="0.35">
      <c r="A45" s="5" t="s">
        <v>705</v>
      </c>
      <c r="B45" s="6">
        <v>0</v>
      </c>
      <c r="D45" s="6">
        <f>IF(COUNTIF(Sheet4!A:A,A45)&gt;0,VLOOKUP(A45,Sheet4!A:B,2,FALSE),"NotFound")</f>
        <v>0</v>
      </c>
      <c r="F45" s="6" t="str">
        <f t="shared" si="0"/>
        <v>Matching</v>
      </c>
    </row>
    <row r="46" spans="1:6" x14ac:dyDescent="0.35">
      <c r="A46" s="5" t="s">
        <v>729</v>
      </c>
      <c r="B46" s="6">
        <v>0</v>
      </c>
      <c r="D46" s="6">
        <f>IF(COUNTIF(Sheet4!A:A,A46)&gt;0,VLOOKUP(A46,Sheet4!A:B,2,FALSE),"NotFound")</f>
        <v>0</v>
      </c>
      <c r="F46" s="6" t="str">
        <f t="shared" si="0"/>
        <v>Matching</v>
      </c>
    </row>
    <row r="47" spans="1:6" x14ac:dyDescent="0.35">
      <c r="A47" s="5" t="s">
        <v>706</v>
      </c>
      <c r="B47" s="6">
        <v>0</v>
      </c>
      <c r="D47" s="6">
        <f>IF(COUNTIF(Sheet4!A:A,A47)&gt;0,VLOOKUP(A47,Sheet4!A:B,2,FALSE),"NotFound")</f>
        <v>0</v>
      </c>
      <c r="F47" s="6" t="str">
        <f t="shared" si="0"/>
        <v>Matching</v>
      </c>
    </row>
    <row r="48" spans="1:6" x14ac:dyDescent="0.35">
      <c r="A48" s="5" t="s">
        <v>759</v>
      </c>
      <c r="B48" s="6">
        <v>0</v>
      </c>
      <c r="D48" s="6">
        <f>IF(COUNTIF(Sheet4!A:A,A48)&gt;0,VLOOKUP(A48,Sheet4!A:B,2,FALSE),"NotFound")</f>
        <v>0</v>
      </c>
      <c r="F48" s="6" t="str">
        <f t="shared" si="0"/>
        <v>Matching</v>
      </c>
    </row>
    <row r="49" spans="1:6" x14ac:dyDescent="0.35">
      <c r="A49" s="5" t="s">
        <v>766</v>
      </c>
      <c r="B49" s="6">
        <v>4</v>
      </c>
      <c r="D49" s="6">
        <f>IF(COUNTIF(Sheet4!A:A,A49)&gt;0,VLOOKUP(A49,Sheet4!A:B,2,FALSE),"NotFound")</f>
        <v>4</v>
      </c>
      <c r="F49" s="6" t="str">
        <f t="shared" si="0"/>
        <v>Matching</v>
      </c>
    </row>
    <row r="50" spans="1:6" x14ac:dyDescent="0.35">
      <c r="A50" s="5" t="s">
        <v>707</v>
      </c>
      <c r="B50" s="6">
        <v>0</v>
      </c>
      <c r="D50" s="6">
        <f>IF(COUNTIF(Sheet4!A:A,A50)&gt;0,VLOOKUP(A50,Sheet4!A:B,2,FALSE),"NotFound")</f>
        <v>0</v>
      </c>
      <c r="F50" s="6" t="str">
        <f t="shared" si="0"/>
        <v>Matching</v>
      </c>
    </row>
    <row r="51" spans="1:6" x14ac:dyDescent="0.35">
      <c r="A51" s="5" t="s">
        <v>703</v>
      </c>
      <c r="B51" s="6">
        <v>0</v>
      </c>
      <c r="D51" s="6">
        <f>IF(COUNTIF(Sheet4!A:A,A51)&gt;0,VLOOKUP(A51,Sheet4!A:B,2,FALSE),"NotFound")</f>
        <v>0</v>
      </c>
      <c r="F51" s="6" t="str">
        <f t="shared" si="0"/>
        <v>Matching</v>
      </c>
    </row>
    <row r="52" spans="1:6" x14ac:dyDescent="0.35">
      <c r="A52" s="5" t="s">
        <v>708</v>
      </c>
      <c r="B52" s="6">
        <v>0</v>
      </c>
      <c r="D52" s="6">
        <f>IF(COUNTIF(Sheet4!A:A,A52)&gt;0,VLOOKUP(A52,Sheet4!A:B,2,FALSE),"NotFound")</f>
        <v>0</v>
      </c>
      <c r="F52" s="6" t="str">
        <f t="shared" si="0"/>
        <v>Matching</v>
      </c>
    </row>
    <row r="53" spans="1:6" x14ac:dyDescent="0.35">
      <c r="A53" s="5" t="s">
        <v>709</v>
      </c>
      <c r="B53" s="6">
        <v>0</v>
      </c>
      <c r="D53" s="6">
        <f>IF(COUNTIF(Sheet4!A:A,A53)&gt;0,VLOOKUP(A53,Sheet4!A:B,2,FALSE),"NotFound")</f>
        <v>0</v>
      </c>
      <c r="F53" s="6" t="str">
        <f t="shared" si="0"/>
        <v>Matching</v>
      </c>
    </row>
    <row r="54" spans="1:6" x14ac:dyDescent="0.35">
      <c r="A54" s="5" t="s">
        <v>710</v>
      </c>
      <c r="B54" s="6">
        <v>0</v>
      </c>
      <c r="D54" s="6">
        <f>IF(COUNTIF(Sheet4!A:A,A54)&gt;0,VLOOKUP(A54,Sheet4!A:B,2,FALSE),"NotFound")</f>
        <v>0</v>
      </c>
      <c r="F54" s="6" t="str">
        <f t="shared" si="0"/>
        <v>Matching</v>
      </c>
    </row>
    <row r="55" spans="1:6" x14ac:dyDescent="0.35">
      <c r="A55" s="5" t="s">
        <v>711</v>
      </c>
      <c r="B55" s="6">
        <v>0</v>
      </c>
      <c r="D55" s="6">
        <f>IF(COUNTIF(Sheet4!A:A,A55)&gt;0,VLOOKUP(A55,Sheet4!A:B,2,FALSE),"NotFound")</f>
        <v>0</v>
      </c>
      <c r="F55" s="6" t="str">
        <f t="shared" si="0"/>
        <v>Matching</v>
      </c>
    </row>
    <row r="56" spans="1:6" x14ac:dyDescent="0.35">
      <c r="A56" s="5" t="s">
        <v>728</v>
      </c>
      <c r="B56" s="6">
        <v>0</v>
      </c>
      <c r="D56" s="6">
        <f>IF(COUNTIF(Sheet4!A:A,A56)&gt;0,VLOOKUP(A56,Sheet4!A:B,2,FALSE),"NotFound")</f>
        <v>0</v>
      </c>
      <c r="F56" s="6" t="str">
        <f t="shared" si="0"/>
        <v>Matching</v>
      </c>
    </row>
    <row r="57" spans="1:6" x14ac:dyDescent="0.35">
      <c r="A57" s="5" t="s">
        <v>727</v>
      </c>
      <c r="B57" s="6">
        <v>0</v>
      </c>
      <c r="D57" s="6">
        <f>IF(COUNTIF(Sheet4!A:A,A57)&gt;0,VLOOKUP(A57,Sheet4!A:B,2,FALSE),"NotFound")</f>
        <v>0</v>
      </c>
      <c r="F57" s="6" t="str">
        <f t="shared" si="0"/>
        <v>Matching</v>
      </c>
    </row>
    <row r="58" spans="1:6" x14ac:dyDescent="0.35">
      <c r="A58" s="5" t="s">
        <v>760</v>
      </c>
      <c r="B58" s="6">
        <v>0</v>
      </c>
      <c r="D58" s="6">
        <f>IF(COUNTIF(Sheet4!A:A,A58)&gt;0,VLOOKUP(A58,Sheet4!A:B,2,FALSE),"NotFound")</f>
        <v>0</v>
      </c>
      <c r="F58" s="6" t="str">
        <f t="shared" si="0"/>
        <v>Matching</v>
      </c>
    </row>
    <row r="59" spans="1:6" x14ac:dyDescent="0.35">
      <c r="A59" s="5" t="s">
        <v>761</v>
      </c>
      <c r="B59" s="6">
        <v>0</v>
      </c>
      <c r="D59" s="6">
        <f>IF(COUNTIF(Sheet4!A:A,A59)&gt;0,VLOOKUP(A59,Sheet4!A:B,2,FALSE),"NotFound")</f>
        <v>0</v>
      </c>
      <c r="F59" s="6" t="str">
        <f t="shared" si="0"/>
        <v>Matching</v>
      </c>
    </row>
    <row r="60" spans="1:6" x14ac:dyDescent="0.35">
      <c r="A60" s="5" t="s">
        <v>767</v>
      </c>
      <c r="B60" s="6">
        <v>1</v>
      </c>
      <c r="D60" s="6">
        <f>IF(COUNTIF(Sheet4!A:A,A60)&gt;0,VLOOKUP(A60,Sheet4!A:B,2,FALSE),"NotFound")</f>
        <v>1</v>
      </c>
      <c r="F60" s="6" t="str">
        <f t="shared" si="0"/>
        <v>Matching</v>
      </c>
    </row>
    <row r="61" spans="1:6" x14ac:dyDescent="0.35">
      <c r="A61" s="5" t="s">
        <v>768</v>
      </c>
      <c r="B61" s="6">
        <v>7</v>
      </c>
      <c r="D61" s="6">
        <f>IF(COUNTIF(Sheet4!A:A,A61)&gt;0,VLOOKUP(A61,Sheet4!A:B,2,FALSE),"NotFound")</f>
        <v>7</v>
      </c>
      <c r="F61" s="6" t="str">
        <f t="shared" si="0"/>
        <v>Matching</v>
      </c>
    </row>
    <row r="62" spans="1:6" x14ac:dyDescent="0.35">
      <c r="A62" s="5" t="s">
        <v>735</v>
      </c>
      <c r="B62" s="6">
        <v>1500586</v>
      </c>
      <c r="D62" s="6">
        <f>IF(COUNTIF(Sheet4!A:A,A62)&gt;0,VLOOKUP(A62,Sheet4!A:B,2,FALSE),"NotFound")</f>
        <v>1500586</v>
      </c>
      <c r="F62" s="6" t="str">
        <f t="shared" si="0"/>
        <v>Matching</v>
      </c>
    </row>
    <row r="63" spans="1:6" x14ac:dyDescent="0.35">
      <c r="A63" s="5" t="s">
        <v>718</v>
      </c>
      <c r="B63" s="6">
        <v>0</v>
      </c>
      <c r="D63" s="6">
        <f>IF(COUNTIF(Sheet4!A:A,A63)&gt;0,VLOOKUP(A63,Sheet4!A:B,2,FALSE),"NotFound")</f>
        <v>0</v>
      </c>
      <c r="F63" s="6" t="str">
        <f t="shared" si="0"/>
        <v>Matching</v>
      </c>
    </row>
    <row r="64" spans="1:6" x14ac:dyDescent="0.35">
      <c r="A64" s="5" t="s">
        <v>719</v>
      </c>
      <c r="B64" s="6">
        <v>0</v>
      </c>
      <c r="D64" s="6">
        <f>IF(COUNTIF(Sheet4!A:A,A64)&gt;0,VLOOKUP(A64,Sheet4!A:B,2,FALSE),"NotFound")</f>
        <v>0</v>
      </c>
      <c r="F64" s="6" t="str">
        <f t="shared" si="0"/>
        <v>Matching</v>
      </c>
    </row>
    <row r="65" spans="1:6" x14ac:dyDescent="0.35">
      <c r="A65" s="5" t="s">
        <v>720</v>
      </c>
      <c r="B65" s="6">
        <v>0</v>
      </c>
      <c r="D65" s="6">
        <f>IF(COUNTIF(Sheet4!A:A,A65)&gt;0,VLOOKUP(A65,Sheet4!A:B,2,FALSE),"NotFound")</f>
        <v>0</v>
      </c>
      <c r="F65" s="6" t="str">
        <f t="shared" si="0"/>
        <v>Matching</v>
      </c>
    </row>
    <row r="66" spans="1:6" x14ac:dyDescent="0.35">
      <c r="A66" s="5" t="s">
        <v>713</v>
      </c>
      <c r="B66" s="6">
        <v>22396043</v>
      </c>
      <c r="D66" s="6">
        <f>IF(COUNTIF(Sheet4!A:A,A66)&gt;0,VLOOKUP(A66,Sheet4!A:B,2,FALSE),"NotFound")</f>
        <v>22396043</v>
      </c>
      <c r="F66" s="6" t="str">
        <f t="shared" si="0"/>
        <v>Matching</v>
      </c>
    </row>
    <row r="67" spans="1:6" x14ac:dyDescent="0.35">
      <c r="A67" s="5" t="s">
        <v>726</v>
      </c>
      <c r="B67" s="6">
        <v>5678877</v>
      </c>
      <c r="D67" s="6">
        <f>IF(COUNTIF(Sheet4!A:A,A67)&gt;0,VLOOKUP(A67,Sheet4!A:B,2,FALSE),"NotFound")</f>
        <v>5678877</v>
      </c>
      <c r="F67" s="6" t="str">
        <f t="shared" ref="F67:F130" si="1">IF(B67=D67,"Matching","mis match")</f>
        <v>Matching</v>
      </c>
    </row>
    <row r="68" spans="1:6" x14ac:dyDescent="0.35">
      <c r="A68" s="5" t="s">
        <v>723</v>
      </c>
      <c r="B68" s="6">
        <v>0</v>
      </c>
      <c r="D68" s="6">
        <f>IF(COUNTIF(Sheet4!A:A,A68)&gt;0,VLOOKUP(A68,Sheet4!A:B,2,FALSE),"NotFound")</f>
        <v>0</v>
      </c>
      <c r="F68" s="6" t="str">
        <f t="shared" si="1"/>
        <v>Matching</v>
      </c>
    </row>
    <row r="69" spans="1:6" x14ac:dyDescent="0.35">
      <c r="A69" s="5" t="s">
        <v>714</v>
      </c>
      <c r="B69" s="6">
        <v>0</v>
      </c>
      <c r="D69" s="6">
        <f>IF(COUNTIF(Sheet4!A:A,A69)&gt;0,VLOOKUP(A69,Sheet4!A:B,2,FALSE),"NotFound")</f>
        <v>0</v>
      </c>
      <c r="F69" s="6" t="str">
        <f t="shared" si="1"/>
        <v>Matching</v>
      </c>
    </row>
    <row r="70" spans="1:6" x14ac:dyDescent="0.35">
      <c r="A70" s="5" t="s">
        <v>712</v>
      </c>
      <c r="B70" s="6">
        <v>11861178</v>
      </c>
      <c r="D70" s="6">
        <f>IF(COUNTIF(Sheet4!A:A,A70)&gt;0,VLOOKUP(A70,Sheet4!A:B,2,FALSE),"NotFound")</f>
        <v>11861178</v>
      </c>
      <c r="F70" s="6" t="str">
        <f t="shared" si="1"/>
        <v>Matching</v>
      </c>
    </row>
    <row r="71" spans="1:6" x14ac:dyDescent="0.35">
      <c r="A71" s="5" t="s">
        <v>724</v>
      </c>
      <c r="B71" s="6">
        <v>0</v>
      </c>
      <c r="D71" s="6">
        <f>IF(COUNTIF(Sheet4!A:A,A71)&gt;0,VLOOKUP(A71,Sheet4!A:B,2,FALSE),"NotFound")</f>
        <v>0</v>
      </c>
      <c r="F71" s="6" t="str">
        <f t="shared" si="1"/>
        <v>Matching</v>
      </c>
    </row>
    <row r="72" spans="1:6" x14ac:dyDescent="0.35">
      <c r="A72" s="5" t="s">
        <v>721</v>
      </c>
      <c r="B72" s="6">
        <v>0</v>
      </c>
      <c r="D72" s="6">
        <f>IF(COUNTIF(Sheet4!A:A,A72)&gt;0,VLOOKUP(A72,Sheet4!A:B,2,FALSE),"NotFound")</f>
        <v>0</v>
      </c>
      <c r="F72" s="6" t="str">
        <f t="shared" si="1"/>
        <v>Matching</v>
      </c>
    </row>
    <row r="73" spans="1:6" x14ac:dyDescent="0.35">
      <c r="A73" s="5" t="s">
        <v>722</v>
      </c>
      <c r="B73" s="6">
        <v>0</v>
      </c>
      <c r="D73" s="6">
        <f>IF(COUNTIF(Sheet4!A:A,A73)&gt;0,VLOOKUP(A73,Sheet4!A:B,2,FALSE),"NotFound")</f>
        <v>0</v>
      </c>
      <c r="F73" s="6" t="str">
        <f t="shared" si="1"/>
        <v>Matching</v>
      </c>
    </row>
    <row r="74" spans="1:6" x14ac:dyDescent="0.35">
      <c r="A74" s="5" t="s">
        <v>725</v>
      </c>
      <c r="B74" s="6">
        <v>0</v>
      </c>
      <c r="D74" s="6">
        <f>IF(COUNTIF(Sheet4!A:A,A74)&gt;0,VLOOKUP(A74,Sheet4!A:B,2,FALSE),"NotFound")</f>
        <v>0</v>
      </c>
      <c r="F74" s="6" t="str">
        <f t="shared" si="1"/>
        <v>Matching</v>
      </c>
    </row>
    <row r="75" spans="1:6" x14ac:dyDescent="0.35">
      <c r="A75" s="5" t="s">
        <v>750</v>
      </c>
      <c r="B75" s="6">
        <v>458084</v>
      </c>
      <c r="D75" s="6">
        <f>IF(COUNTIF(Sheet4!A:A,A75)&gt;0,VLOOKUP(A75,Sheet4!A:B,2,FALSE),"NotFound")</f>
        <v>458084</v>
      </c>
      <c r="F75" s="6" t="str">
        <f t="shared" si="1"/>
        <v>Matching</v>
      </c>
    </row>
    <row r="76" spans="1:6" x14ac:dyDescent="0.35">
      <c r="A76" s="5" t="s">
        <v>749</v>
      </c>
      <c r="B76" s="6">
        <v>4776291</v>
      </c>
      <c r="D76" s="6">
        <f>IF(COUNTIF(Sheet4!A:A,A76)&gt;0,VLOOKUP(A76,Sheet4!A:B,2,FALSE),"NotFound")</f>
        <v>4776291</v>
      </c>
      <c r="F76" s="6" t="str">
        <f t="shared" si="1"/>
        <v>Matching</v>
      </c>
    </row>
    <row r="77" spans="1:6" x14ac:dyDescent="0.35">
      <c r="A77" s="5" t="s">
        <v>756</v>
      </c>
      <c r="B77" s="6">
        <v>0</v>
      </c>
      <c r="D77" s="6">
        <f>IF(COUNTIF(Sheet4!A:A,A77)&gt;0,VLOOKUP(A77,Sheet4!A:B,2,FALSE),"NotFound")</f>
        <v>0</v>
      </c>
      <c r="F77" s="6" t="str">
        <f t="shared" si="1"/>
        <v>Matching</v>
      </c>
    </row>
    <row r="78" spans="1:6" x14ac:dyDescent="0.35">
      <c r="A78" s="5" t="s">
        <v>752</v>
      </c>
      <c r="B78" s="6">
        <v>0</v>
      </c>
      <c r="D78" s="6">
        <f>IF(COUNTIF(Sheet4!A:A,A78)&gt;0,VLOOKUP(A78,Sheet4!A:B,2,FALSE),"NotFound")</f>
        <v>0</v>
      </c>
      <c r="F78" s="6" t="str">
        <f t="shared" si="1"/>
        <v>Matching</v>
      </c>
    </row>
    <row r="79" spans="1:6" x14ac:dyDescent="0.35">
      <c r="A79" s="5" t="s">
        <v>751</v>
      </c>
      <c r="B79" s="6">
        <v>1989</v>
      </c>
      <c r="D79" s="6">
        <f>IF(COUNTIF(Sheet4!A:A,A79)&gt;0,VLOOKUP(A79,Sheet4!A:B,2,FALSE),"NotFound")</f>
        <v>1989</v>
      </c>
      <c r="F79" s="6" t="str">
        <f t="shared" si="1"/>
        <v>Matching</v>
      </c>
    </row>
    <row r="80" spans="1:6" x14ac:dyDescent="0.35">
      <c r="A80" s="5" t="s">
        <v>758</v>
      </c>
      <c r="B80" s="6">
        <v>1335452</v>
      </c>
      <c r="D80" s="6">
        <f>IF(COUNTIF(Sheet4!A:A,A80)&gt;0,VLOOKUP(A80,Sheet4!A:B,2,FALSE),"NotFound")</f>
        <v>1335452</v>
      </c>
      <c r="F80" s="6" t="str">
        <f t="shared" si="1"/>
        <v>Matching</v>
      </c>
    </row>
    <row r="81" spans="1:6" x14ac:dyDescent="0.35">
      <c r="A81" s="5" t="s">
        <v>730</v>
      </c>
      <c r="B81" s="6">
        <v>20453457</v>
      </c>
      <c r="D81" s="6">
        <f>IF(COUNTIF(Sheet4!A:A,A81)&gt;0,VLOOKUP(A81,Sheet4!A:B,2,FALSE),"NotFound")</f>
        <v>20453457</v>
      </c>
      <c r="F81" s="6" t="str">
        <f t="shared" si="1"/>
        <v>Matching</v>
      </c>
    </row>
    <row r="82" spans="1:6" x14ac:dyDescent="0.35">
      <c r="A82" s="5" t="s">
        <v>732</v>
      </c>
      <c r="B82" s="6">
        <v>0</v>
      </c>
      <c r="D82" s="6">
        <f>IF(COUNTIF(Sheet4!A:A,A82)&gt;0,VLOOKUP(A82,Sheet4!A:B,2,FALSE),"NotFound")</f>
        <v>0</v>
      </c>
      <c r="F82" s="6" t="str">
        <f t="shared" si="1"/>
        <v>Matching</v>
      </c>
    </row>
    <row r="83" spans="1:6" x14ac:dyDescent="0.35">
      <c r="A83" s="5" t="s">
        <v>736</v>
      </c>
      <c r="B83" s="6">
        <v>11776783</v>
      </c>
      <c r="D83" s="6">
        <f>IF(COUNTIF(Sheet4!A:A,A83)&gt;0,VLOOKUP(A83,Sheet4!A:B,2,FALSE),"NotFound")</f>
        <v>11776783</v>
      </c>
      <c r="F83" s="6" t="str">
        <f t="shared" si="1"/>
        <v>Matching</v>
      </c>
    </row>
    <row r="84" spans="1:6" x14ac:dyDescent="0.35">
      <c r="A84" s="5" t="s">
        <v>733</v>
      </c>
      <c r="B84" s="6">
        <v>0</v>
      </c>
      <c r="D84" s="6">
        <f>IF(COUNTIF(Sheet4!A:A,A84)&gt;0,VLOOKUP(A84,Sheet4!A:B,2,FALSE),"NotFound")</f>
        <v>0</v>
      </c>
      <c r="F84" s="6" t="str">
        <f t="shared" si="1"/>
        <v>Matching</v>
      </c>
    </row>
    <row r="85" spans="1:6" x14ac:dyDescent="0.35">
      <c r="A85" s="5" t="s">
        <v>734</v>
      </c>
      <c r="B85" s="6">
        <v>0</v>
      </c>
      <c r="D85" s="6">
        <f>IF(COUNTIF(Sheet4!A:A,A85)&gt;0,VLOOKUP(A85,Sheet4!A:B,2,FALSE),"NotFound")</f>
        <v>0</v>
      </c>
      <c r="F85" s="6" t="str">
        <f t="shared" si="1"/>
        <v>Matching</v>
      </c>
    </row>
    <row r="86" spans="1:6" x14ac:dyDescent="0.35">
      <c r="A86" s="5" t="s">
        <v>731</v>
      </c>
      <c r="B86" s="6">
        <v>0</v>
      </c>
      <c r="D86" s="6">
        <f>IF(COUNTIF(Sheet4!A:A,A86)&gt;0,VLOOKUP(A86,Sheet4!A:B,2,FALSE),"NotFound")</f>
        <v>0</v>
      </c>
      <c r="F86" s="6" t="str">
        <f t="shared" si="1"/>
        <v>Matching</v>
      </c>
    </row>
    <row r="87" spans="1:6" x14ac:dyDescent="0.35">
      <c r="A87" s="5" t="s">
        <v>737</v>
      </c>
      <c r="B87" s="6">
        <v>0</v>
      </c>
      <c r="D87" s="6">
        <f>IF(COUNTIF(Sheet4!A:A,A87)&gt;0,VLOOKUP(A87,Sheet4!A:B,2,FALSE),"NotFound")</f>
        <v>0</v>
      </c>
      <c r="F87" s="6" t="str">
        <f t="shared" si="1"/>
        <v>Matching</v>
      </c>
    </row>
    <row r="88" spans="1:6" x14ac:dyDescent="0.35">
      <c r="A88" s="5" t="s">
        <v>748</v>
      </c>
      <c r="B88" s="6">
        <v>0</v>
      </c>
      <c r="D88" s="6">
        <f>IF(COUNTIF(Sheet4!A:A,A88)&gt;0,VLOOKUP(A88,Sheet4!A:B,2,FALSE),"NotFound")</f>
        <v>0</v>
      </c>
      <c r="F88" s="6" t="str">
        <f t="shared" si="1"/>
        <v>Matching</v>
      </c>
    </row>
    <row r="89" spans="1:6" x14ac:dyDescent="0.35">
      <c r="A89" s="5" t="s">
        <v>739</v>
      </c>
      <c r="B89" s="6">
        <v>0</v>
      </c>
      <c r="D89" s="6">
        <f>IF(COUNTIF(Sheet4!A:A,A89)&gt;0,VLOOKUP(A89,Sheet4!A:B,2,FALSE),"NotFound")</f>
        <v>0</v>
      </c>
      <c r="F89" s="6" t="str">
        <f t="shared" si="1"/>
        <v>Matching</v>
      </c>
    </row>
    <row r="90" spans="1:6" x14ac:dyDescent="0.35">
      <c r="A90" s="5" t="s">
        <v>747</v>
      </c>
      <c r="B90" s="6">
        <v>0</v>
      </c>
      <c r="D90" s="6">
        <f>IF(COUNTIF(Sheet4!A:A,A90)&gt;0,VLOOKUP(A90,Sheet4!A:B,2,FALSE),"NotFound")</f>
        <v>0</v>
      </c>
      <c r="F90" s="6" t="str">
        <f t="shared" si="1"/>
        <v>Matching</v>
      </c>
    </row>
    <row r="91" spans="1:6" x14ac:dyDescent="0.35">
      <c r="A91" s="5" t="s">
        <v>746</v>
      </c>
      <c r="B91" s="6">
        <v>0</v>
      </c>
      <c r="D91" s="6">
        <f>IF(COUNTIF(Sheet4!A:A,A91)&gt;0,VLOOKUP(A91,Sheet4!A:B,2,FALSE),"NotFound")</f>
        <v>0</v>
      </c>
      <c r="F91" s="6" t="str">
        <f t="shared" si="1"/>
        <v>Matching</v>
      </c>
    </row>
    <row r="92" spans="1:6" x14ac:dyDescent="0.35">
      <c r="A92" s="5" t="s">
        <v>738</v>
      </c>
      <c r="B92" s="6">
        <v>0</v>
      </c>
      <c r="D92" s="6">
        <f>IF(COUNTIF(Sheet4!A:A,A92)&gt;0,VLOOKUP(A92,Sheet4!A:B,2,FALSE),"NotFound")</f>
        <v>0</v>
      </c>
      <c r="F92" s="6" t="str">
        <f t="shared" si="1"/>
        <v>Matching</v>
      </c>
    </row>
    <row r="93" spans="1:6" x14ac:dyDescent="0.35">
      <c r="A93" s="5" t="s">
        <v>740</v>
      </c>
      <c r="B93" s="6">
        <v>0</v>
      </c>
      <c r="D93" s="6">
        <f>IF(COUNTIF(Sheet4!A:A,A93)&gt;0,VLOOKUP(A93,Sheet4!A:B,2,FALSE),"NotFound")</f>
        <v>0</v>
      </c>
      <c r="F93" s="6" t="str">
        <f t="shared" si="1"/>
        <v>Matching</v>
      </c>
    </row>
    <row r="94" spans="1:6" x14ac:dyDescent="0.35">
      <c r="A94" s="5" t="s">
        <v>745</v>
      </c>
      <c r="B94" s="6">
        <v>0</v>
      </c>
      <c r="D94" s="6">
        <f>IF(COUNTIF(Sheet4!A:A,A94)&gt;0,VLOOKUP(A94,Sheet4!A:B,2,FALSE),"NotFound")</f>
        <v>0</v>
      </c>
      <c r="F94" s="6" t="str">
        <f t="shared" si="1"/>
        <v>Matching</v>
      </c>
    </row>
    <row r="95" spans="1:6" x14ac:dyDescent="0.35">
      <c r="A95" s="5" t="s">
        <v>742</v>
      </c>
      <c r="B95" s="6">
        <v>0</v>
      </c>
      <c r="D95" s="6">
        <f>IF(COUNTIF(Sheet4!A:A,A95)&gt;0,VLOOKUP(A95,Sheet4!A:B,2,FALSE),"NotFound")</f>
        <v>0</v>
      </c>
      <c r="F95" s="6" t="str">
        <f t="shared" si="1"/>
        <v>Matching</v>
      </c>
    </row>
    <row r="96" spans="1:6" x14ac:dyDescent="0.35">
      <c r="A96" s="5" t="s">
        <v>741</v>
      </c>
      <c r="B96" s="6">
        <v>0</v>
      </c>
      <c r="D96" s="6">
        <f>IF(COUNTIF(Sheet4!A:A,A96)&gt;0,VLOOKUP(A96,Sheet4!A:B,2,FALSE),"NotFound")</f>
        <v>0</v>
      </c>
      <c r="F96" s="6" t="str">
        <f t="shared" si="1"/>
        <v>Matching</v>
      </c>
    </row>
    <row r="97" spans="1:6" x14ac:dyDescent="0.35">
      <c r="A97" s="5" t="s">
        <v>762</v>
      </c>
      <c r="B97" s="6">
        <v>6428</v>
      </c>
      <c r="D97" s="6">
        <f>IF(COUNTIF(Sheet4!A:A,A97)&gt;0,VLOOKUP(A97,Sheet4!A:B,2,FALSE),"NotFound")</f>
        <v>6428</v>
      </c>
      <c r="F97" s="6" t="str">
        <f t="shared" si="1"/>
        <v>Matching</v>
      </c>
    </row>
    <row r="98" spans="1:6" x14ac:dyDescent="0.35">
      <c r="A98" s="5" t="s">
        <v>764</v>
      </c>
      <c r="B98" s="6">
        <v>0</v>
      </c>
      <c r="D98" s="6">
        <f>IF(COUNTIF(Sheet4!A:A,A98)&gt;0,VLOOKUP(A98,Sheet4!A:B,2,FALSE),"NotFound")</f>
        <v>0</v>
      </c>
      <c r="F98" s="6" t="str">
        <f t="shared" si="1"/>
        <v>Matching</v>
      </c>
    </row>
    <row r="99" spans="1:6" x14ac:dyDescent="0.35">
      <c r="A99" s="5" t="s">
        <v>765</v>
      </c>
      <c r="B99" s="6">
        <v>87387</v>
      </c>
      <c r="D99" s="6">
        <f>IF(COUNTIF(Sheet4!A:A,A99)&gt;0,VLOOKUP(A99,Sheet4!A:B,2,FALSE),"NotFound")</f>
        <v>87387</v>
      </c>
      <c r="F99" s="6" t="str">
        <f t="shared" si="1"/>
        <v>Matching</v>
      </c>
    </row>
    <row r="100" spans="1:6" x14ac:dyDescent="0.35">
      <c r="A100" s="5" t="s">
        <v>763</v>
      </c>
      <c r="B100" s="6">
        <v>6460</v>
      </c>
      <c r="D100" s="6">
        <f>IF(COUNTIF(Sheet4!A:A,A100)&gt;0,VLOOKUP(A100,Sheet4!A:B,2,FALSE),"NotFound")</f>
        <v>6460</v>
      </c>
      <c r="F100" s="6" t="str">
        <f t="shared" si="1"/>
        <v>Matching</v>
      </c>
    </row>
    <row r="101" spans="1:6" x14ac:dyDescent="0.35">
      <c r="A101" s="5" t="s">
        <v>1129</v>
      </c>
      <c r="B101" s="6">
        <v>0</v>
      </c>
      <c r="D101" s="6">
        <f>IF(COUNTIF(Sheet4!A:A,A101)&gt;0,VLOOKUP(A101,Sheet4!A:B,2,FALSE),"NotFound")</f>
        <v>0</v>
      </c>
      <c r="F101" s="6" t="str">
        <f t="shared" si="1"/>
        <v>Matching</v>
      </c>
    </row>
    <row r="102" spans="1:6" x14ac:dyDescent="0.35">
      <c r="A102" s="5" t="s">
        <v>910</v>
      </c>
      <c r="B102" s="6">
        <v>0</v>
      </c>
      <c r="D102" s="6">
        <f>IF(COUNTIF(Sheet4!A:A,A102)&gt;0,VLOOKUP(A102,Sheet4!A:B,2,FALSE),"NotFound")</f>
        <v>0</v>
      </c>
      <c r="F102" s="6" t="str">
        <f t="shared" si="1"/>
        <v>Matching</v>
      </c>
    </row>
    <row r="103" spans="1:6" x14ac:dyDescent="0.35">
      <c r="A103" s="5" t="s">
        <v>915</v>
      </c>
      <c r="B103" s="6">
        <v>0</v>
      </c>
      <c r="D103" s="6">
        <f>IF(COUNTIF(Sheet4!A:A,A103)&gt;0,VLOOKUP(A103,Sheet4!A:B,2,FALSE),"NotFound")</f>
        <v>0</v>
      </c>
      <c r="F103" s="6" t="str">
        <f t="shared" si="1"/>
        <v>Matching</v>
      </c>
    </row>
    <row r="104" spans="1:6" x14ac:dyDescent="0.35">
      <c r="A104" s="5" t="s">
        <v>916</v>
      </c>
      <c r="B104" s="6">
        <v>0</v>
      </c>
      <c r="D104" s="6">
        <f>IF(COUNTIF(Sheet4!A:A,A104)&gt;0,VLOOKUP(A104,Sheet4!A:B,2,FALSE),"NotFound")</f>
        <v>0</v>
      </c>
      <c r="F104" s="6" t="str">
        <f t="shared" si="1"/>
        <v>Matching</v>
      </c>
    </row>
    <row r="105" spans="1:6" x14ac:dyDescent="0.35">
      <c r="A105" s="5" t="s">
        <v>919</v>
      </c>
      <c r="B105" s="6">
        <v>263763</v>
      </c>
      <c r="D105" s="6">
        <f>IF(COUNTIF(Sheet4!A:A,A105)&gt;0,VLOOKUP(A105,Sheet4!A:B,2,FALSE),"NotFound")</f>
        <v>263763</v>
      </c>
      <c r="F105" s="6" t="str">
        <f t="shared" si="1"/>
        <v>Matching</v>
      </c>
    </row>
    <row r="106" spans="1:6" x14ac:dyDescent="0.35">
      <c r="A106" s="5" t="s">
        <v>1110</v>
      </c>
      <c r="B106" s="6">
        <v>0</v>
      </c>
      <c r="D106" s="6">
        <f>IF(COUNTIF(Sheet4!A:A,A106)&gt;0,VLOOKUP(A106,Sheet4!A:B,2,FALSE),"NotFound")</f>
        <v>0</v>
      </c>
      <c r="F106" s="6" t="str">
        <f t="shared" si="1"/>
        <v>Matching</v>
      </c>
    </row>
    <row r="107" spans="1:6" x14ac:dyDescent="0.35">
      <c r="A107" s="5" t="s">
        <v>805</v>
      </c>
      <c r="B107" s="6">
        <v>66206</v>
      </c>
      <c r="D107" s="6">
        <f>IF(COUNTIF(Sheet4!A:A,A107)&gt;0,VLOOKUP(A107,Sheet4!A:B,2,FALSE),"NotFound")</f>
        <v>66206</v>
      </c>
      <c r="F107" s="6" t="str">
        <f t="shared" si="1"/>
        <v>Matching</v>
      </c>
    </row>
    <row r="108" spans="1:6" x14ac:dyDescent="0.35">
      <c r="A108" s="5" t="s">
        <v>908</v>
      </c>
      <c r="B108" s="6">
        <v>1043431</v>
      </c>
      <c r="D108" s="6">
        <f>IF(COUNTIF(Sheet4!A:A,A108)&gt;0,VLOOKUP(A108,Sheet4!A:B,2,FALSE),"NotFound")</f>
        <v>1043431</v>
      </c>
      <c r="F108" s="6" t="str">
        <f t="shared" si="1"/>
        <v>Matching</v>
      </c>
    </row>
    <row r="109" spans="1:6" x14ac:dyDescent="0.35">
      <c r="A109" s="5" t="s">
        <v>800</v>
      </c>
      <c r="B109" s="6">
        <v>15179486</v>
      </c>
      <c r="D109" s="6">
        <f>IF(COUNTIF(Sheet4!A:A,A109)&gt;0,VLOOKUP(A109,Sheet4!A:B,2,FALSE),"NotFound")</f>
        <v>15179486</v>
      </c>
      <c r="F109" s="6" t="str">
        <f t="shared" si="1"/>
        <v>Matching</v>
      </c>
    </row>
    <row r="110" spans="1:6" x14ac:dyDescent="0.35">
      <c r="A110" s="5" t="s">
        <v>769</v>
      </c>
      <c r="B110" s="6">
        <v>960</v>
      </c>
      <c r="D110" s="6">
        <f>IF(COUNTIF(Sheet4!A:A,A110)&gt;0,VLOOKUP(A110,Sheet4!A:B,2,FALSE),"NotFound")</f>
        <v>960</v>
      </c>
      <c r="F110" s="6" t="str">
        <f t="shared" si="1"/>
        <v>Matching</v>
      </c>
    </row>
    <row r="111" spans="1:6" x14ac:dyDescent="0.35">
      <c r="A111" s="5" t="s">
        <v>791</v>
      </c>
      <c r="B111" s="6">
        <v>0</v>
      </c>
      <c r="D111" s="6">
        <f>IF(COUNTIF(Sheet4!A:A,A111)&gt;0,VLOOKUP(A111,Sheet4!A:B,2,FALSE),"NotFound")</f>
        <v>0</v>
      </c>
      <c r="F111" s="6" t="str">
        <f t="shared" si="1"/>
        <v>Matching</v>
      </c>
    </row>
    <row r="112" spans="1:6" x14ac:dyDescent="0.35">
      <c r="A112" s="5" t="s">
        <v>794</v>
      </c>
      <c r="B112" s="6">
        <v>0</v>
      </c>
      <c r="D112" s="6">
        <f>IF(COUNTIF(Sheet4!A:A,A112)&gt;0,VLOOKUP(A112,Sheet4!A:B,2,FALSE),"NotFound")</f>
        <v>0</v>
      </c>
      <c r="F112" s="6" t="str">
        <f t="shared" si="1"/>
        <v>Matching</v>
      </c>
    </row>
    <row r="113" spans="1:6" x14ac:dyDescent="0.35">
      <c r="A113" s="5" t="s">
        <v>795</v>
      </c>
      <c r="B113" s="6">
        <v>0</v>
      </c>
      <c r="D113" s="6">
        <f>IF(COUNTIF(Sheet4!A:A,A113)&gt;0,VLOOKUP(A113,Sheet4!A:B,2,FALSE),"NotFound")</f>
        <v>0</v>
      </c>
      <c r="F113" s="6" t="str">
        <f t="shared" si="1"/>
        <v>Matching</v>
      </c>
    </row>
    <row r="114" spans="1:6" x14ac:dyDescent="0.35">
      <c r="A114" s="5" t="s">
        <v>796</v>
      </c>
      <c r="B114" s="6">
        <v>0</v>
      </c>
      <c r="D114" s="6">
        <f>IF(COUNTIF(Sheet4!A:A,A114)&gt;0,VLOOKUP(A114,Sheet4!A:B,2,FALSE),"NotFound")</f>
        <v>0</v>
      </c>
      <c r="F114" s="6" t="str">
        <f t="shared" si="1"/>
        <v>Matching</v>
      </c>
    </row>
    <row r="115" spans="1:6" x14ac:dyDescent="0.35">
      <c r="A115" s="5" t="s">
        <v>770</v>
      </c>
      <c r="B115" s="6">
        <v>3998098</v>
      </c>
      <c r="D115" s="6">
        <f>IF(COUNTIF(Sheet4!A:A,A115)&gt;0,VLOOKUP(A115,Sheet4!A:B,2,FALSE),"NotFound")</f>
        <v>3998098</v>
      </c>
      <c r="F115" s="6" t="str">
        <f t="shared" si="1"/>
        <v>Matching</v>
      </c>
    </row>
    <row r="116" spans="1:6" x14ac:dyDescent="0.35">
      <c r="A116" s="5" t="s">
        <v>776</v>
      </c>
      <c r="B116" s="6">
        <v>3998098</v>
      </c>
      <c r="D116" s="6">
        <f>IF(COUNTIF(Sheet4!A:A,A116)&gt;0,VLOOKUP(A116,Sheet4!A:B,2,FALSE),"NotFound")</f>
        <v>3998098</v>
      </c>
      <c r="F116" s="6" t="str">
        <f t="shared" si="1"/>
        <v>Matching</v>
      </c>
    </row>
    <row r="117" spans="1:6" x14ac:dyDescent="0.35">
      <c r="A117" s="5" t="s">
        <v>778</v>
      </c>
      <c r="B117" s="6">
        <v>0</v>
      </c>
      <c r="D117" s="6">
        <f>IF(COUNTIF(Sheet4!A:A,A117)&gt;0,VLOOKUP(A117,Sheet4!A:B,2,FALSE),"NotFound")</f>
        <v>0</v>
      </c>
      <c r="F117" s="6" t="str">
        <f t="shared" si="1"/>
        <v>Matching</v>
      </c>
    </row>
    <row r="118" spans="1:6" x14ac:dyDescent="0.35">
      <c r="A118" s="5" t="s">
        <v>779</v>
      </c>
      <c r="B118" s="6">
        <v>0</v>
      </c>
      <c r="D118" s="6">
        <f>IF(COUNTIF(Sheet4!A:A,A118)&gt;0,VLOOKUP(A118,Sheet4!A:B,2,FALSE),"NotFound")</f>
        <v>0</v>
      </c>
      <c r="F118" s="6" t="str">
        <f t="shared" si="1"/>
        <v>Matching</v>
      </c>
    </row>
    <row r="119" spans="1:6" x14ac:dyDescent="0.35">
      <c r="A119" s="5" t="s">
        <v>777</v>
      </c>
      <c r="B119" s="6">
        <v>0</v>
      </c>
      <c r="D119" s="6">
        <f>IF(COUNTIF(Sheet4!A:A,A119)&gt;0,VLOOKUP(A119,Sheet4!A:B,2,FALSE),"NotFound")</f>
        <v>0</v>
      </c>
      <c r="F119" s="6" t="str">
        <f t="shared" si="1"/>
        <v>Matching</v>
      </c>
    </row>
    <row r="120" spans="1:6" x14ac:dyDescent="0.35">
      <c r="A120" s="5" t="s">
        <v>784</v>
      </c>
      <c r="B120" s="6">
        <v>0</v>
      </c>
      <c r="D120" s="6">
        <f>IF(COUNTIF(Sheet4!A:A,A120)&gt;0,VLOOKUP(A120,Sheet4!A:B,2,FALSE),"NotFound")</f>
        <v>0</v>
      </c>
      <c r="F120" s="6" t="str">
        <f t="shared" si="1"/>
        <v>Matching</v>
      </c>
    </row>
    <row r="121" spans="1:6" x14ac:dyDescent="0.35">
      <c r="A121" s="5" t="s">
        <v>771</v>
      </c>
      <c r="B121" s="6">
        <v>10583254</v>
      </c>
      <c r="D121" s="6">
        <f>IF(COUNTIF(Sheet4!A:A,A121)&gt;0,VLOOKUP(A121,Sheet4!A:B,2,FALSE),"NotFound")</f>
        <v>10583254</v>
      </c>
      <c r="F121" s="6" t="str">
        <f t="shared" si="1"/>
        <v>Matching</v>
      </c>
    </row>
    <row r="122" spans="1:6" x14ac:dyDescent="0.35">
      <c r="A122" s="5" t="s">
        <v>785</v>
      </c>
      <c r="B122" s="6">
        <v>0</v>
      </c>
      <c r="D122" s="6">
        <f>IF(COUNTIF(Sheet4!A:A,A122)&gt;0,VLOOKUP(A122,Sheet4!A:B,2,FALSE),"NotFound")</f>
        <v>0</v>
      </c>
      <c r="F122" s="6" t="str">
        <f t="shared" si="1"/>
        <v>Matching</v>
      </c>
    </row>
    <row r="123" spans="1:6" x14ac:dyDescent="0.35">
      <c r="A123" s="5" t="s">
        <v>783</v>
      </c>
      <c r="B123" s="6">
        <v>0</v>
      </c>
      <c r="D123" s="6">
        <f>IF(COUNTIF(Sheet4!A:A,A123)&gt;0,VLOOKUP(A123,Sheet4!A:B,2,FALSE),"NotFound")</f>
        <v>0</v>
      </c>
      <c r="F123" s="6" t="str">
        <f t="shared" si="1"/>
        <v>Matching</v>
      </c>
    </row>
    <row r="124" spans="1:6" x14ac:dyDescent="0.35">
      <c r="A124" s="5" t="s">
        <v>792</v>
      </c>
      <c r="B124" s="6">
        <v>0</v>
      </c>
      <c r="D124" s="6">
        <f>IF(COUNTIF(Sheet4!A:A,A124)&gt;0,VLOOKUP(A124,Sheet4!A:B,2,FALSE),"NotFound")</f>
        <v>0</v>
      </c>
      <c r="F124" s="6" t="str">
        <f t="shared" si="1"/>
        <v>Matching</v>
      </c>
    </row>
    <row r="125" spans="1:6" x14ac:dyDescent="0.35">
      <c r="A125" s="5" t="s">
        <v>772</v>
      </c>
      <c r="B125" s="6">
        <v>0</v>
      </c>
      <c r="D125" s="6">
        <f>IF(COUNTIF(Sheet4!A:A,A125)&gt;0,VLOOKUP(A125,Sheet4!A:B,2,FALSE),"NotFound")</f>
        <v>0</v>
      </c>
      <c r="F125" s="6" t="str">
        <f t="shared" si="1"/>
        <v>Matching</v>
      </c>
    </row>
    <row r="126" spans="1:6" x14ac:dyDescent="0.35">
      <c r="A126" s="5" t="s">
        <v>790</v>
      </c>
      <c r="B126" s="6">
        <v>0</v>
      </c>
      <c r="D126" s="6">
        <f>IF(COUNTIF(Sheet4!A:A,A126)&gt;0,VLOOKUP(A126,Sheet4!A:B,2,FALSE),"NotFound")</f>
        <v>0</v>
      </c>
      <c r="F126" s="6" t="str">
        <f t="shared" si="1"/>
        <v>Matching</v>
      </c>
    </row>
    <row r="127" spans="1:6" x14ac:dyDescent="0.35">
      <c r="A127" s="5" t="s">
        <v>793</v>
      </c>
      <c r="B127" s="6">
        <v>10583254</v>
      </c>
      <c r="D127" s="6">
        <f>IF(COUNTIF(Sheet4!A:A,A127)&gt;0,VLOOKUP(A127,Sheet4!A:B,2,FALSE),"NotFound")</f>
        <v>10583254</v>
      </c>
      <c r="F127" s="6" t="str">
        <f t="shared" si="1"/>
        <v>Matching</v>
      </c>
    </row>
    <row r="128" spans="1:6" x14ac:dyDescent="0.35">
      <c r="A128" s="5" t="s">
        <v>786</v>
      </c>
      <c r="B128" s="6">
        <v>0</v>
      </c>
      <c r="D128" s="6">
        <f>IF(COUNTIF(Sheet4!A:A,A128)&gt;0,VLOOKUP(A128,Sheet4!A:B,2,FALSE),"NotFound")</f>
        <v>0</v>
      </c>
      <c r="F128" s="6" t="str">
        <f t="shared" si="1"/>
        <v>Matching</v>
      </c>
    </row>
    <row r="129" spans="1:6" x14ac:dyDescent="0.35">
      <c r="A129" s="5" t="s">
        <v>780</v>
      </c>
      <c r="B129" s="6">
        <v>0</v>
      </c>
      <c r="D129" s="6">
        <f>IF(COUNTIF(Sheet4!A:A,A129)&gt;0,VLOOKUP(A129,Sheet4!A:B,2,FALSE),"NotFound")</f>
        <v>0</v>
      </c>
      <c r="F129" s="6" t="str">
        <f t="shared" si="1"/>
        <v>Matching</v>
      </c>
    </row>
    <row r="130" spans="1:6" x14ac:dyDescent="0.35">
      <c r="A130" s="5" t="s">
        <v>773</v>
      </c>
      <c r="B130" s="6">
        <v>0</v>
      </c>
      <c r="D130" s="6">
        <f>IF(COUNTIF(Sheet4!A:A,A130)&gt;0,VLOOKUP(A130,Sheet4!A:B,2,FALSE),"NotFound")</f>
        <v>0</v>
      </c>
      <c r="F130" s="6" t="str">
        <f t="shared" si="1"/>
        <v>Matching</v>
      </c>
    </row>
    <row r="131" spans="1:6" x14ac:dyDescent="0.35">
      <c r="A131" s="5" t="s">
        <v>787</v>
      </c>
      <c r="B131" s="6">
        <v>0</v>
      </c>
      <c r="D131" s="6">
        <f>IF(COUNTIF(Sheet4!A:A,A131)&gt;0,VLOOKUP(A131,Sheet4!A:B,2,FALSE),"NotFound")</f>
        <v>0</v>
      </c>
      <c r="F131" s="6" t="str">
        <f t="shared" ref="F131:F194" si="2">IF(B131=D131,"Matching","mis match")</f>
        <v>Matching</v>
      </c>
    </row>
    <row r="132" spans="1:6" x14ac:dyDescent="0.35">
      <c r="A132" s="5" t="s">
        <v>788</v>
      </c>
      <c r="B132" s="6">
        <v>0</v>
      </c>
      <c r="D132" s="6">
        <f>IF(COUNTIF(Sheet4!A:A,A132)&gt;0,VLOOKUP(A132,Sheet4!A:B,2,FALSE),"NotFound")</f>
        <v>0</v>
      </c>
      <c r="F132" s="6" t="str">
        <f t="shared" si="2"/>
        <v>Matching</v>
      </c>
    </row>
    <row r="133" spans="1:6" x14ac:dyDescent="0.35">
      <c r="A133" s="5" t="s">
        <v>782</v>
      </c>
      <c r="B133" s="6">
        <v>0</v>
      </c>
      <c r="D133" s="6">
        <f>IF(COUNTIF(Sheet4!A:A,A133)&gt;0,VLOOKUP(A133,Sheet4!A:B,2,FALSE),"NotFound")</f>
        <v>0</v>
      </c>
      <c r="F133" s="6" t="str">
        <f t="shared" si="2"/>
        <v>Matching</v>
      </c>
    </row>
    <row r="134" spans="1:6" x14ac:dyDescent="0.35">
      <c r="A134" s="5" t="s">
        <v>774</v>
      </c>
      <c r="B134" s="6">
        <v>0</v>
      </c>
      <c r="D134" s="6">
        <f>IF(COUNTIF(Sheet4!A:A,A134)&gt;0,VLOOKUP(A134,Sheet4!A:B,2,FALSE),"NotFound")</f>
        <v>0</v>
      </c>
      <c r="F134" s="6" t="str">
        <f t="shared" si="2"/>
        <v>Matching</v>
      </c>
    </row>
    <row r="135" spans="1:6" x14ac:dyDescent="0.35">
      <c r="A135" s="5" t="s">
        <v>775</v>
      </c>
      <c r="B135" s="6">
        <v>598134</v>
      </c>
      <c r="D135" s="6">
        <f>IF(COUNTIF(Sheet4!A:A,A135)&gt;0,VLOOKUP(A135,Sheet4!A:B,2,FALSE),"NotFound")</f>
        <v>598134</v>
      </c>
      <c r="F135" s="6" t="str">
        <f t="shared" si="2"/>
        <v>Matching</v>
      </c>
    </row>
    <row r="136" spans="1:6" x14ac:dyDescent="0.35">
      <c r="A136" s="5" t="s">
        <v>802</v>
      </c>
      <c r="B136" s="6">
        <v>0</v>
      </c>
      <c r="D136" s="6">
        <f>IF(COUNTIF(Sheet4!A:A,A136)&gt;0,VLOOKUP(A136,Sheet4!A:B,2,FALSE),"NotFound")</f>
        <v>0</v>
      </c>
      <c r="F136" s="6" t="str">
        <f t="shared" si="2"/>
        <v>Matching</v>
      </c>
    </row>
    <row r="137" spans="1:6" x14ac:dyDescent="0.35">
      <c r="A137" s="5" t="s">
        <v>803</v>
      </c>
      <c r="B137" s="6">
        <v>2</v>
      </c>
      <c r="D137" s="6">
        <f>IF(COUNTIF(Sheet4!A:A,A137)&gt;0,VLOOKUP(A137,Sheet4!A:B,2,FALSE),"NotFound")</f>
        <v>2</v>
      </c>
      <c r="F137" s="6" t="str">
        <f t="shared" si="2"/>
        <v>Matching</v>
      </c>
    </row>
    <row r="138" spans="1:6" x14ac:dyDescent="0.35">
      <c r="A138" s="5" t="s">
        <v>781</v>
      </c>
      <c r="B138" s="6">
        <v>0</v>
      </c>
      <c r="D138" s="6">
        <f>IF(COUNTIF(Sheet4!A:A,A138)&gt;0,VLOOKUP(A138,Sheet4!A:B,2,FALSE),"NotFound")</f>
        <v>0</v>
      </c>
      <c r="F138" s="6" t="str">
        <f t="shared" si="2"/>
        <v>Matching</v>
      </c>
    </row>
    <row r="139" spans="1:6" x14ac:dyDescent="0.35">
      <c r="A139" s="5" t="s">
        <v>911</v>
      </c>
      <c r="B139" s="6">
        <v>14725</v>
      </c>
      <c r="D139" s="6">
        <f>IF(COUNTIF(Sheet4!A:A,A139)&gt;0,VLOOKUP(A139,Sheet4!A:B,2,FALSE),"NotFound")</f>
        <v>14725</v>
      </c>
      <c r="F139" s="6" t="str">
        <f t="shared" si="2"/>
        <v>Matching</v>
      </c>
    </row>
    <row r="140" spans="1:6" x14ac:dyDescent="0.35">
      <c r="A140" s="5" t="s">
        <v>918</v>
      </c>
      <c r="B140" s="6">
        <v>0</v>
      </c>
      <c r="D140" s="6">
        <f>IF(COUNTIF(Sheet4!A:A,A140)&gt;0,VLOOKUP(A140,Sheet4!A:B,2,FALSE),"NotFound")</f>
        <v>0</v>
      </c>
      <c r="F140" s="6" t="str">
        <f t="shared" si="2"/>
        <v>Matching</v>
      </c>
    </row>
    <row r="141" spans="1:6" x14ac:dyDescent="0.35">
      <c r="A141" s="5" t="s">
        <v>917</v>
      </c>
      <c r="B141" s="6">
        <v>59</v>
      </c>
      <c r="D141" s="6">
        <f>IF(COUNTIF(Sheet4!A:A,A141)&gt;0,VLOOKUP(A141,Sheet4!A:B,2,FALSE),"NotFound")</f>
        <v>59</v>
      </c>
      <c r="F141" s="6" t="str">
        <f t="shared" si="2"/>
        <v>Matching</v>
      </c>
    </row>
    <row r="142" spans="1:6" x14ac:dyDescent="0.35">
      <c r="A142" s="5" t="s">
        <v>963</v>
      </c>
      <c r="B142" s="6">
        <v>0</v>
      </c>
      <c r="D142" s="6">
        <f>IF(COUNTIF(Sheet4!A:A,A142)&gt;0,VLOOKUP(A142,Sheet4!A:B,2,FALSE),"NotFound")</f>
        <v>0</v>
      </c>
      <c r="F142" s="6" t="str">
        <f t="shared" si="2"/>
        <v>Matching</v>
      </c>
    </row>
    <row r="143" spans="1:6" x14ac:dyDescent="0.35">
      <c r="A143" s="5" t="s">
        <v>808</v>
      </c>
      <c r="B143" s="6">
        <v>0</v>
      </c>
      <c r="D143" s="6">
        <f>IF(COUNTIF(Sheet4!A:A,A143)&gt;0,VLOOKUP(A143,Sheet4!A:B,2,FALSE),"NotFound")</f>
        <v>0</v>
      </c>
      <c r="F143" s="6" t="str">
        <f t="shared" si="2"/>
        <v>Matching</v>
      </c>
    </row>
    <row r="144" spans="1:6" x14ac:dyDescent="0.35">
      <c r="A144" s="5" t="s">
        <v>907</v>
      </c>
      <c r="B144" s="6">
        <v>282</v>
      </c>
      <c r="D144" s="6">
        <f>IF(COUNTIF(Sheet4!A:A,A144)&gt;0,VLOOKUP(A144,Sheet4!A:B,2,FALSE),"NotFound")</f>
        <v>282</v>
      </c>
      <c r="F144" s="6" t="str">
        <f t="shared" si="2"/>
        <v>Matching</v>
      </c>
    </row>
    <row r="145" spans="1:6" x14ac:dyDescent="0.35">
      <c r="A145" s="5" t="s">
        <v>853</v>
      </c>
      <c r="B145" s="6">
        <v>0</v>
      </c>
      <c r="D145" s="6">
        <f>IF(COUNTIF(Sheet4!A:A,A145)&gt;0,VLOOKUP(A145,Sheet4!A:B,2,FALSE),"NotFound")</f>
        <v>0</v>
      </c>
      <c r="F145" s="6" t="str">
        <f t="shared" si="2"/>
        <v>Matching</v>
      </c>
    </row>
    <row r="146" spans="1:6" x14ac:dyDescent="0.35">
      <c r="A146" s="5" t="s">
        <v>825</v>
      </c>
      <c r="B146" s="6">
        <v>2</v>
      </c>
      <c r="D146" s="6">
        <f>IF(COUNTIF(Sheet4!A:A,A146)&gt;0,VLOOKUP(A146,Sheet4!A:B,2,FALSE),"NotFound")</f>
        <v>2</v>
      </c>
      <c r="F146" s="6" t="str">
        <f t="shared" si="2"/>
        <v>Matching</v>
      </c>
    </row>
    <row r="147" spans="1:6" x14ac:dyDescent="0.35">
      <c r="A147" s="5" t="s">
        <v>854</v>
      </c>
      <c r="B147" s="6">
        <v>0</v>
      </c>
      <c r="D147" s="6">
        <f>IF(COUNTIF(Sheet4!A:A,A147)&gt;0,VLOOKUP(A147,Sheet4!A:B,2,FALSE),"NotFound")</f>
        <v>0</v>
      </c>
      <c r="F147" s="6" t="str">
        <f t="shared" si="2"/>
        <v>Matching</v>
      </c>
    </row>
    <row r="148" spans="1:6" x14ac:dyDescent="0.35">
      <c r="A148" s="5" t="s">
        <v>855</v>
      </c>
      <c r="B148" s="6">
        <v>0</v>
      </c>
      <c r="D148" s="6">
        <f>IF(COUNTIF(Sheet4!A:A,A148)&gt;0,VLOOKUP(A148,Sheet4!A:B,2,FALSE),"NotFound")</f>
        <v>0</v>
      </c>
      <c r="F148" s="6" t="str">
        <f t="shared" si="2"/>
        <v>Matching</v>
      </c>
    </row>
    <row r="149" spans="1:6" x14ac:dyDescent="0.35">
      <c r="A149" s="5" t="s">
        <v>815</v>
      </c>
      <c r="B149" s="6">
        <v>0</v>
      </c>
      <c r="D149" s="6">
        <f>IF(COUNTIF(Sheet4!A:A,A149)&gt;0,VLOOKUP(A149,Sheet4!A:B,2,FALSE),"NotFound")</f>
        <v>0</v>
      </c>
      <c r="F149" s="6" t="str">
        <f t="shared" si="2"/>
        <v>Matching</v>
      </c>
    </row>
    <row r="150" spans="1:6" x14ac:dyDescent="0.35">
      <c r="A150" s="5" t="s">
        <v>836</v>
      </c>
      <c r="B150" s="6">
        <v>0</v>
      </c>
      <c r="D150" s="6">
        <f>IF(COUNTIF(Sheet4!A:A,A150)&gt;0,VLOOKUP(A150,Sheet4!A:B,2,FALSE),"NotFound")</f>
        <v>0</v>
      </c>
      <c r="F150" s="6" t="str">
        <f t="shared" si="2"/>
        <v>Matching</v>
      </c>
    </row>
    <row r="151" spans="1:6" x14ac:dyDescent="0.35">
      <c r="A151" s="5" t="s">
        <v>818</v>
      </c>
      <c r="B151" s="6">
        <v>0</v>
      </c>
      <c r="D151" s="6">
        <f>IF(COUNTIF(Sheet4!A:A,A151)&gt;0,VLOOKUP(A151,Sheet4!A:B,2,FALSE),"NotFound")</f>
        <v>0</v>
      </c>
      <c r="F151" s="6" t="str">
        <f t="shared" si="2"/>
        <v>Matching</v>
      </c>
    </row>
    <row r="152" spans="1:6" x14ac:dyDescent="0.35">
      <c r="A152" s="5" t="s">
        <v>847</v>
      </c>
      <c r="B152" s="6">
        <v>0</v>
      </c>
      <c r="D152" s="6">
        <f>IF(COUNTIF(Sheet4!A:A,A152)&gt;0,VLOOKUP(A152,Sheet4!A:B,2,FALSE),"NotFound")</f>
        <v>0</v>
      </c>
      <c r="F152" s="6" t="str">
        <f t="shared" si="2"/>
        <v>Matching</v>
      </c>
    </row>
    <row r="153" spans="1:6" x14ac:dyDescent="0.35">
      <c r="A153" s="5" t="s">
        <v>856</v>
      </c>
      <c r="B153" s="6">
        <v>0</v>
      </c>
      <c r="D153" s="6">
        <f>IF(COUNTIF(Sheet4!A:A,A153)&gt;0,VLOOKUP(A153,Sheet4!A:B,2,FALSE),"NotFound")</f>
        <v>0</v>
      </c>
      <c r="F153" s="6" t="str">
        <f t="shared" si="2"/>
        <v>Matching</v>
      </c>
    </row>
    <row r="154" spans="1:6" x14ac:dyDescent="0.35">
      <c r="A154" s="5" t="s">
        <v>857</v>
      </c>
      <c r="B154" s="6">
        <v>0</v>
      </c>
      <c r="D154" s="6">
        <f>IF(COUNTIF(Sheet4!A:A,A154)&gt;0,VLOOKUP(A154,Sheet4!A:B,2,FALSE),"NotFound")</f>
        <v>0</v>
      </c>
      <c r="F154" s="6" t="str">
        <f t="shared" si="2"/>
        <v>Matching</v>
      </c>
    </row>
    <row r="155" spans="1:6" x14ac:dyDescent="0.35">
      <c r="A155" s="5" t="s">
        <v>858</v>
      </c>
      <c r="B155" s="6">
        <v>0</v>
      </c>
      <c r="D155" s="6">
        <f>IF(COUNTIF(Sheet4!A:A,A155)&gt;0,VLOOKUP(A155,Sheet4!A:B,2,FALSE),"NotFound")</f>
        <v>0</v>
      </c>
      <c r="F155" s="6" t="str">
        <f t="shared" si="2"/>
        <v>Matching</v>
      </c>
    </row>
    <row r="156" spans="1:6" x14ac:dyDescent="0.35">
      <c r="A156" s="5" t="s">
        <v>814</v>
      </c>
      <c r="B156" s="6">
        <v>141</v>
      </c>
      <c r="D156" s="6">
        <f>IF(COUNTIF(Sheet4!A:A,A156)&gt;0,VLOOKUP(A156,Sheet4!A:B,2,FALSE),"NotFound")</f>
        <v>141</v>
      </c>
      <c r="F156" s="6" t="str">
        <f t="shared" si="2"/>
        <v>Matching</v>
      </c>
    </row>
    <row r="157" spans="1:6" x14ac:dyDescent="0.35">
      <c r="A157" s="5" t="s">
        <v>831</v>
      </c>
      <c r="B157" s="6">
        <v>141</v>
      </c>
      <c r="D157" s="6">
        <f>IF(COUNTIF(Sheet4!A:A,A157)&gt;0,VLOOKUP(A157,Sheet4!A:B,2,FALSE),"NotFound")</f>
        <v>141</v>
      </c>
      <c r="F157" s="6" t="str">
        <f t="shared" si="2"/>
        <v>Matching</v>
      </c>
    </row>
    <row r="158" spans="1:6" x14ac:dyDescent="0.35">
      <c r="A158" s="5" t="s">
        <v>809</v>
      </c>
      <c r="B158" s="6">
        <v>0</v>
      </c>
      <c r="D158" s="6">
        <f>IF(COUNTIF(Sheet4!A:A,A158)&gt;0,VLOOKUP(A158,Sheet4!A:B,2,FALSE),"NotFound")</f>
        <v>0</v>
      </c>
      <c r="F158" s="6" t="str">
        <f t="shared" si="2"/>
        <v>Matching</v>
      </c>
    </row>
    <row r="159" spans="1:6" x14ac:dyDescent="0.35">
      <c r="A159" s="5" t="s">
        <v>859</v>
      </c>
      <c r="B159" s="6">
        <v>0</v>
      </c>
      <c r="D159" s="6">
        <f>IF(COUNTIF(Sheet4!A:A,A159)&gt;0,VLOOKUP(A159,Sheet4!A:B,2,FALSE),"NotFound")</f>
        <v>0</v>
      </c>
      <c r="F159" s="6" t="str">
        <f t="shared" si="2"/>
        <v>Matching</v>
      </c>
    </row>
    <row r="160" spans="1:6" x14ac:dyDescent="0.35">
      <c r="A160" s="5" t="s">
        <v>860</v>
      </c>
      <c r="B160" s="6">
        <v>0</v>
      </c>
      <c r="D160" s="6">
        <f>IF(COUNTIF(Sheet4!A:A,A160)&gt;0,VLOOKUP(A160,Sheet4!A:B,2,FALSE),"NotFound")</f>
        <v>0</v>
      </c>
      <c r="F160" s="6" t="str">
        <f t="shared" si="2"/>
        <v>Matching</v>
      </c>
    </row>
    <row r="161" spans="1:6" x14ac:dyDescent="0.35">
      <c r="A161" s="5" t="s">
        <v>813</v>
      </c>
      <c r="B161" s="6">
        <v>0</v>
      </c>
      <c r="D161" s="6">
        <f>IF(COUNTIF(Sheet4!A:A,A161)&gt;0,VLOOKUP(A161,Sheet4!A:B,2,FALSE),"NotFound")</f>
        <v>0</v>
      </c>
      <c r="F161" s="6" t="str">
        <f t="shared" si="2"/>
        <v>Matching</v>
      </c>
    </row>
    <row r="162" spans="1:6" x14ac:dyDescent="0.35">
      <c r="A162" s="5" t="s">
        <v>850</v>
      </c>
      <c r="B162" s="6">
        <v>0</v>
      </c>
      <c r="D162" s="6">
        <f>IF(COUNTIF(Sheet4!A:A,A162)&gt;0,VLOOKUP(A162,Sheet4!A:B,2,FALSE),"NotFound")</f>
        <v>0</v>
      </c>
      <c r="F162" s="6" t="str">
        <f t="shared" si="2"/>
        <v>Matching</v>
      </c>
    </row>
    <row r="163" spans="1:6" x14ac:dyDescent="0.35">
      <c r="A163" s="5" t="s">
        <v>828</v>
      </c>
      <c r="B163" s="6">
        <v>2</v>
      </c>
      <c r="D163" s="6">
        <f>IF(COUNTIF(Sheet4!A:A,A163)&gt;0,VLOOKUP(A163,Sheet4!A:B,2,FALSE),"NotFound")</f>
        <v>2</v>
      </c>
      <c r="F163" s="6" t="str">
        <f t="shared" si="2"/>
        <v>Matching</v>
      </c>
    </row>
    <row r="164" spans="1:6" x14ac:dyDescent="0.35">
      <c r="A164" s="5" t="s">
        <v>817</v>
      </c>
      <c r="B164" s="6">
        <v>2</v>
      </c>
      <c r="D164" s="6">
        <f>IF(COUNTIF(Sheet4!A:A,A164)&gt;0,VLOOKUP(A164,Sheet4!A:B,2,FALSE),"NotFound")</f>
        <v>2</v>
      </c>
      <c r="F164" s="6" t="str">
        <f t="shared" si="2"/>
        <v>Matching</v>
      </c>
    </row>
    <row r="165" spans="1:6" x14ac:dyDescent="0.35">
      <c r="A165" s="5" t="s">
        <v>861</v>
      </c>
      <c r="B165" s="6">
        <v>0</v>
      </c>
      <c r="D165" s="6">
        <f>IF(COUNTIF(Sheet4!A:A,A165)&gt;0,VLOOKUP(A165,Sheet4!A:B,2,FALSE),"NotFound")</f>
        <v>0</v>
      </c>
      <c r="F165" s="6" t="str">
        <f t="shared" si="2"/>
        <v>Matching</v>
      </c>
    </row>
    <row r="166" spans="1:6" x14ac:dyDescent="0.35">
      <c r="A166" s="5" t="s">
        <v>862</v>
      </c>
      <c r="B166" s="6">
        <v>0</v>
      </c>
      <c r="D166" s="6">
        <f>IF(COUNTIF(Sheet4!A:A,A166)&gt;0,VLOOKUP(A166,Sheet4!A:B,2,FALSE),"NotFound")</f>
        <v>0</v>
      </c>
      <c r="F166" s="6" t="str">
        <f t="shared" si="2"/>
        <v>Matching</v>
      </c>
    </row>
    <row r="167" spans="1:6" x14ac:dyDescent="0.35">
      <c r="A167" s="5" t="s">
        <v>863</v>
      </c>
      <c r="B167" s="6">
        <v>0</v>
      </c>
      <c r="D167" s="6">
        <f>IF(COUNTIF(Sheet4!A:A,A167)&gt;0,VLOOKUP(A167,Sheet4!A:B,2,FALSE),"NotFound")</f>
        <v>0</v>
      </c>
      <c r="F167" s="6" t="str">
        <f t="shared" si="2"/>
        <v>Matching</v>
      </c>
    </row>
    <row r="168" spans="1:6" x14ac:dyDescent="0.35">
      <c r="A168" s="5" t="s">
        <v>865</v>
      </c>
      <c r="B168" s="6">
        <v>0</v>
      </c>
      <c r="D168" s="6">
        <f>IF(COUNTIF(Sheet4!A:A,A168)&gt;0,VLOOKUP(A168,Sheet4!A:B,2,FALSE),"NotFound")</f>
        <v>0</v>
      </c>
      <c r="F168" s="6" t="str">
        <f t="shared" si="2"/>
        <v>Matching</v>
      </c>
    </row>
    <row r="169" spans="1:6" x14ac:dyDescent="0.35">
      <c r="A169" s="5" t="s">
        <v>820</v>
      </c>
      <c r="B169" s="6">
        <v>0</v>
      </c>
      <c r="D169" s="6">
        <f>IF(COUNTIF(Sheet4!A:A,A169)&gt;0,VLOOKUP(A169,Sheet4!A:B,2,FALSE),"NotFound")</f>
        <v>0</v>
      </c>
      <c r="F169" s="6" t="str">
        <f t="shared" si="2"/>
        <v>Matching</v>
      </c>
    </row>
    <row r="170" spans="1:6" x14ac:dyDescent="0.35">
      <c r="A170" s="5" t="s">
        <v>848</v>
      </c>
      <c r="B170" s="6">
        <v>0</v>
      </c>
      <c r="D170" s="6">
        <f>IF(COUNTIF(Sheet4!A:A,A170)&gt;0,VLOOKUP(A170,Sheet4!A:B,2,FALSE),"NotFound")</f>
        <v>0</v>
      </c>
      <c r="F170" s="6" t="str">
        <f t="shared" si="2"/>
        <v>Matching</v>
      </c>
    </row>
    <row r="171" spans="1:6" x14ac:dyDescent="0.35">
      <c r="A171" s="5" t="s">
        <v>864</v>
      </c>
      <c r="B171" s="6">
        <v>0</v>
      </c>
      <c r="D171" s="6">
        <f>IF(COUNTIF(Sheet4!A:A,A171)&gt;0,VLOOKUP(A171,Sheet4!A:B,2,FALSE),"NotFound")</f>
        <v>0</v>
      </c>
      <c r="F171" s="6" t="str">
        <f t="shared" si="2"/>
        <v>Matching</v>
      </c>
    </row>
    <row r="172" spans="1:6" x14ac:dyDescent="0.35">
      <c r="A172" s="5" t="s">
        <v>866</v>
      </c>
      <c r="B172" s="6">
        <v>0</v>
      </c>
      <c r="D172" s="6">
        <f>IF(COUNTIF(Sheet4!A:A,A172)&gt;0,VLOOKUP(A172,Sheet4!A:B,2,FALSE),"NotFound")</f>
        <v>0</v>
      </c>
      <c r="F172" s="6" t="str">
        <f t="shared" si="2"/>
        <v>Matching</v>
      </c>
    </row>
    <row r="173" spans="1:6" x14ac:dyDescent="0.35">
      <c r="A173" s="5" t="s">
        <v>867</v>
      </c>
      <c r="B173" s="6">
        <v>0</v>
      </c>
      <c r="D173" s="6">
        <f>IF(COUNTIF(Sheet4!A:A,A173)&gt;0,VLOOKUP(A173,Sheet4!A:B,2,FALSE),"NotFound")</f>
        <v>0</v>
      </c>
      <c r="F173" s="6" t="str">
        <f t="shared" si="2"/>
        <v>Matching</v>
      </c>
    </row>
    <row r="174" spans="1:6" x14ac:dyDescent="0.35">
      <c r="A174" s="5" t="s">
        <v>829</v>
      </c>
      <c r="B174" s="6">
        <v>0</v>
      </c>
      <c r="D174" s="6">
        <f>IF(COUNTIF(Sheet4!A:A,A174)&gt;0,VLOOKUP(A174,Sheet4!A:B,2,FALSE),"NotFound")</f>
        <v>0</v>
      </c>
      <c r="F174" s="6" t="str">
        <f t="shared" si="2"/>
        <v>Matching</v>
      </c>
    </row>
    <row r="175" spans="1:6" x14ac:dyDescent="0.35">
      <c r="A175" s="5" t="s">
        <v>849</v>
      </c>
      <c r="B175" s="6">
        <v>0</v>
      </c>
      <c r="D175" s="6">
        <f>IF(COUNTIF(Sheet4!A:A,A175)&gt;0,VLOOKUP(A175,Sheet4!A:B,2,FALSE),"NotFound")</f>
        <v>0</v>
      </c>
      <c r="F175" s="6" t="str">
        <f t="shared" si="2"/>
        <v>Matching</v>
      </c>
    </row>
    <row r="176" spans="1:6" x14ac:dyDescent="0.35">
      <c r="A176" s="5" t="s">
        <v>812</v>
      </c>
      <c r="B176" s="6">
        <v>0</v>
      </c>
      <c r="D176" s="6">
        <f>IF(COUNTIF(Sheet4!A:A,A176)&gt;0,VLOOKUP(A176,Sheet4!A:B,2,FALSE),"NotFound")</f>
        <v>0</v>
      </c>
      <c r="F176" s="6" t="str">
        <f t="shared" si="2"/>
        <v>Matching</v>
      </c>
    </row>
    <row r="177" spans="1:6" x14ac:dyDescent="0.35">
      <c r="A177" s="5" t="s">
        <v>806</v>
      </c>
      <c r="B177" s="6">
        <v>94</v>
      </c>
      <c r="D177" s="6">
        <f>IF(COUNTIF(Sheet4!A:A,A177)&gt;0,VLOOKUP(A177,Sheet4!A:B,2,FALSE),"NotFound")</f>
        <v>94</v>
      </c>
      <c r="F177" s="6" t="str">
        <f t="shared" si="2"/>
        <v>Matching</v>
      </c>
    </row>
    <row r="178" spans="1:6" x14ac:dyDescent="0.35">
      <c r="A178" s="5" t="s">
        <v>827</v>
      </c>
      <c r="B178" s="6">
        <v>0</v>
      </c>
      <c r="D178" s="6">
        <f>IF(COUNTIF(Sheet4!A:A,A178)&gt;0,VLOOKUP(A178,Sheet4!A:B,2,FALSE),"NotFound")</f>
        <v>0</v>
      </c>
      <c r="F178" s="6" t="str">
        <f t="shared" si="2"/>
        <v>Matching</v>
      </c>
    </row>
    <row r="179" spans="1:6" x14ac:dyDescent="0.35">
      <c r="A179" s="5" t="s">
        <v>822</v>
      </c>
      <c r="B179" s="6">
        <v>2</v>
      </c>
      <c r="D179" s="6">
        <f>IF(COUNTIF(Sheet4!A:A,A179)&gt;0,VLOOKUP(A179,Sheet4!A:B,2,FALSE),"NotFound")</f>
        <v>2</v>
      </c>
      <c r="F179" s="6" t="str">
        <f t="shared" si="2"/>
        <v>Matching</v>
      </c>
    </row>
    <row r="180" spans="1:6" x14ac:dyDescent="0.35">
      <c r="A180" s="5" t="s">
        <v>816</v>
      </c>
      <c r="B180" s="6">
        <v>2</v>
      </c>
      <c r="D180" s="6">
        <f>IF(COUNTIF(Sheet4!A:A,A180)&gt;0,VLOOKUP(A180,Sheet4!A:B,2,FALSE),"NotFound")</f>
        <v>2</v>
      </c>
      <c r="F180" s="6" t="str">
        <f t="shared" si="2"/>
        <v>Matching</v>
      </c>
    </row>
    <row r="181" spans="1:6" x14ac:dyDescent="0.35">
      <c r="A181" s="5" t="s">
        <v>868</v>
      </c>
      <c r="B181" s="6">
        <v>0</v>
      </c>
      <c r="D181" s="6">
        <f>IF(COUNTIF(Sheet4!A:A,A181)&gt;0,VLOOKUP(A181,Sheet4!A:B,2,FALSE),"NotFound")</f>
        <v>0</v>
      </c>
      <c r="F181" s="6" t="str">
        <f t="shared" si="2"/>
        <v>Matching</v>
      </c>
    </row>
    <row r="182" spans="1:6" x14ac:dyDescent="0.35">
      <c r="A182" s="5" t="s">
        <v>869</v>
      </c>
      <c r="B182" s="6">
        <v>0</v>
      </c>
      <c r="D182" s="6">
        <f>IF(COUNTIF(Sheet4!A:A,A182)&gt;0,VLOOKUP(A182,Sheet4!A:B,2,FALSE),"NotFound")</f>
        <v>0</v>
      </c>
      <c r="F182" s="6" t="str">
        <f t="shared" si="2"/>
        <v>Matching</v>
      </c>
    </row>
    <row r="183" spans="1:6" x14ac:dyDescent="0.35">
      <c r="A183" s="5" t="s">
        <v>870</v>
      </c>
      <c r="B183" s="6">
        <v>0</v>
      </c>
      <c r="D183" s="6">
        <f>IF(COUNTIF(Sheet4!A:A,A183)&gt;0,VLOOKUP(A183,Sheet4!A:B,2,FALSE),"NotFound")</f>
        <v>0</v>
      </c>
      <c r="F183" s="6" t="str">
        <f t="shared" si="2"/>
        <v>Matching</v>
      </c>
    </row>
    <row r="184" spans="1:6" x14ac:dyDescent="0.35">
      <c r="A184" s="5" t="s">
        <v>824</v>
      </c>
      <c r="B184" s="6">
        <v>0</v>
      </c>
      <c r="D184" s="6">
        <f>IF(COUNTIF(Sheet4!A:A,A184)&gt;0,VLOOKUP(A184,Sheet4!A:B,2,FALSE),"NotFound")</f>
        <v>0</v>
      </c>
      <c r="F184" s="6" t="str">
        <f t="shared" si="2"/>
        <v>Matching</v>
      </c>
    </row>
    <row r="185" spans="1:6" x14ac:dyDescent="0.35">
      <c r="A185" s="5" t="s">
        <v>811</v>
      </c>
      <c r="B185" s="6">
        <v>2</v>
      </c>
      <c r="D185" s="6">
        <f>IF(COUNTIF(Sheet4!A:A,A185)&gt;0,VLOOKUP(A185,Sheet4!A:B,2,FALSE),"NotFound")</f>
        <v>2</v>
      </c>
      <c r="F185" s="6" t="str">
        <f t="shared" si="2"/>
        <v>Matching</v>
      </c>
    </row>
    <row r="186" spans="1:6" x14ac:dyDescent="0.35">
      <c r="A186" s="5" t="s">
        <v>871</v>
      </c>
      <c r="B186" s="6">
        <v>0</v>
      </c>
      <c r="D186" s="6">
        <f>IF(COUNTIF(Sheet4!A:A,A186)&gt;0,VLOOKUP(A186,Sheet4!A:B,2,FALSE),"NotFound")</f>
        <v>0</v>
      </c>
      <c r="F186" s="6" t="str">
        <f t="shared" si="2"/>
        <v>Matching</v>
      </c>
    </row>
    <row r="187" spans="1:6" x14ac:dyDescent="0.35">
      <c r="A187" s="5" t="s">
        <v>872</v>
      </c>
      <c r="B187" s="6">
        <v>0</v>
      </c>
      <c r="D187" s="6">
        <f>IF(COUNTIF(Sheet4!A:A,A187)&gt;0,VLOOKUP(A187,Sheet4!A:B,2,FALSE),"NotFound")</f>
        <v>0</v>
      </c>
      <c r="F187" s="6" t="str">
        <f t="shared" si="2"/>
        <v>Matching</v>
      </c>
    </row>
    <row r="188" spans="1:6" x14ac:dyDescent="0.35">
      <c r="A188" s="5" t="s">
        <v>810</v>
      </c>
      <c r="B188" s="6">
        <v>4</v>
      </c>
      <c r="D188" s="6">
        <f>IF(COUNTIF(Sheet4!A:A,A188)&gt;0,VLOOKUP(A188,Sheet4!A:B,2,FALSE),"NotFound")</f>
        <v>4</v>
      </c>
      <c r="F188" s="6" t="str">
        <f t="shared" si="2"/>
        <v>Matching</v>
      </c>
    </row>
    <row r="189" spans="1:6" x14ac:dyDescent="0.35">
      <c r="A189" s="5" t="s">
        <v>835</v>
      </c>
      <c r="B189" s="6">
        <v>0</v>
      </c>
      <c r="D189" s="6">
        <f>IF(COUNTIF(Sheet4!A:A,A189)&gt;0,VLOOKUP(A189,Sheet4!A:B,2,FALSE),"NotFound")</f>
        <v>0</v>
      </c>
      <c r="F189" s="6" t="str">
        <f t="shared" si="2"/>
        <v>Matching</v>
      </c>
    </row>
    <row r="190" spans="1:6" x14ac:dyDescent="0.35">
      <c r="A190" s="5" t="s">
        <v>821</v>
      </c>
      <c r="B190" s="6">
        <v>3</v>
      </c>
      <c r="D190" s="6">
        <f>IF(COUNTIF(Sheet4!A:A,A190)&gt;0,VLOOKUP(A190,Sheet4!A:B,2,FALSE),"NotFound")</f>
        <v>3</v>
      </c>
      <c r="F190" s="6" t="str">
        <f t="shared" si="2"/>
        <v>Matching</v>
      </c>
    </row>
    <row r="191" spans="1:6" x14ac:dyDescent="0.35">
      <c r="A191" s="5" t="s">
        <v>873</v>
      </c>
      <c r="B191" s="6">
        <v>0</v>
      </c>
      <c r="D191" s="6">
        <f>IF(COUNTIF(Sheet4!A:A,A191)&gt;0,VLOOKUP(A191,Sheet4!A:B,2,FALSE),"NotFound")</f>
        <v>0</v>
      </c>
      <c r="F191" s="6" t="str">
        <f t="shared" si="2"/>
        <v>Matching</v>
      </c>
    </row>
    <row r="192" spans="1:6" x14ac:dyDescent="0.35">
      <c r="A192" s="5" t="s">
        <v>830</v>
      </c>
      <c r="B192" s="6">
        <v>2</v>
      </c>
      <c r="D192" s="6">
        <f>IF(COUNTIF(Sheet4!A:A,A192)&gt;0,VLOOKUP(A192,Sheet4!A:B,2,FALSE),"NotFound")</f>
        <v>2</v>
      </c>
      <c r="F192" s="6" t="str">
        <f t="shared" si="2"/>
        <v>Matching</v>
      </c>
    </row>
    <row r="193" spans="1:6" x14ac:dyDescent="0.35">
      <c r="A193" s="5" t="s">
        <v>840</v>
      </c>
      <c r="B193" s="6">
        <v>0</v>
      </c>
      <c r="D193" s="6">
        <f>IF(COUNTIF(Sheet4!A:A,A193)&gt;0,VLOOKUP(A193,Sheet4!A:B,2,FALSE),"NotFound")</f>
        <v>0</v>
      </c>
      <c r="F193" s="6" t="str">
        <f t="shared" si="2"/>
        <v>Matching</v>
      </c>
    </row>
    <row r="194" spans="1:6" x14ac:dyDescent="0.35">
      <c r="A194" s="5" t="s">
        <v>874</v>
      </c>
      <c r="B194" s="6">
        <v>0</v>
      </c>
      <c r="D194" s="6">
        <f>IF(COUNTIF(Sheet4!A:A,A194)&gt;0,VLOOKUP(A194,Sheet4!A:B,2,FALSE),"NotFound")</f>
        <v>0</v>
      </c>
      <c r="F194" s="6" t="str">
        <f t="shared" si="2"/>
        <v>Matching</v>
      </c>
    </row>
    <row r="195" spans="1:6" x14ac:dyDescent="0.35">
      <c r="A195" s="5" t="s">
        <v>875</v>
      </c>
      <c r="B195" s="6">
        <v>0</v>
      </c>
      <c r="D195" s="6">
        <f>IF(COUNTIF(Sheet4!A:A,A195)&gt;0,VLOOKUP(A195,Sheet4!A:B,2,FALSE),"NotFound")</f>
        <v>0</v>
      </c>
      <c r="F195" s="6" t="str">
        <f t="shared" ref="F195:F258" si="3">IF(B195=D195,"Matching","mis match")</f>
        <v>Matching</v>
      </c>
    </row>
    <row r="196" spans="1:6" x14ac:dyDescent="0.35">
      <c r="A196" s="5" t="s">
        <v>876</v>
      </c>
      <c r="B196" s="6">
        <v>0</v>
      </c>
      <c r="D196" s="6">
        <f>IF(COUNTIF(Sheet4!A:A,A196)&gt;0,VLOOKUP(A196,Sheet4!A:B,2,FALSE),"NotFound")</f>
        <v>0</v>
      </c>
      <c r="F196" s="6" t="str">
        <f t="shared" si="3"/>
        <v>Matching</v>
      </c>
    </row>
    <row r="197" spans="1:6" x14ac:dyDescent="0.35">
      <c r="A197" s="5" t="s">
        <v>877</v>
      </c>
      <c r="B197" s="6">
        <v>0</v>
      </c>
      <c r="D197" s="6">
        <f>IF(COUNTIF(Sheet4!A:A,A197)&gt;0,VLOOKUP(A197,Sheet4!A:B,2,FALSE),"NotFound")</f>
        <v>0</v>
      </c>
      <c r="F197" s="6" t="str">
        <f t="shared" si="3"/>
        <v>Matching</v>
      </c>
    </row>
    <row r="198" spans="1:6" x14ac:dyDescent="0.35">
      <c r="A198" s="5" t="s">
        <v>878</v>
      </c>
      <c r="B198" s="6">
        <v>0</v>
      </c>
      <c r="D198" s="6">
        <f>IF(COUNTIF(Sheet4!A:A,A198)&gt;0,VLOOKUP(A198,Sheet4!A:B,2,FALSE),"NotFound")</f>
        <v>0</v>
      </c>
      <c r="F198" s="6" t="str">
        <f t="shared" si="3"/>
        <v>Matching</v>
      </c>
    </row>
    <row r="199" spans="1:6" x14ac:dyDescent="0.35">
      <c r="A199" s="5" t="s">
        <v>880</v>
      </c>
      <c r="B199" s="6">
        <v>0</v>
      </c>
      <c r="D199" s="6">
        <f>IF(COUNTIF(Sheet4!A:A,A199)&gt;0,VLOOKUP(A199,Sheet4!A:B,2,FALSE),"NotFound")</f>
        <v>0</v>
      </c>
      <c r="F199" s="6" t="str">
        <f t="shared" si="3"/>
        <v>Matching</v>
      </c>
    </row>
    <row r="200" spans="1:6" x14ac:dyDescent="0.35">
      <c r="A200" s="5" t="s">
        <v>881</v>
      </c>
      <c r="B200" s="6">
        <v>0</v>
      </c>
      <c r="D200" s="6">
        <f>IF(COUNTIF(Sheet4!A:A,A200)&gt;0,VLOOKUP(A200,Sheet4!A:B,2,FALSE),"NotFound")</f>
        <v>0</v>
      </c>
      <c r="F200" s="6" t="str">
        <f t="shared" si="3"/>
        <v>Matching</v>
      </c>
    </row>
    <row r="201" spans="1:6" x14ac:dyDescent="0.35">
      <c r="A201" s="5" t="s">
        <v>882</v>
      </c>
      <c r="B201" s="6">
        <v>0</v>
      </c>
      <c r="D201" s="6">
        <f>IF(COUNTIF(Sheet4!A:A,A201)&gt;0,VLOOKUP(A201,Sheet4!A:B,2,FALSE),"NotFound")</f>
        <v>0</v>
      </c>
      <c r="F201" s="6" t="str">
        <f t="shared" si="3"/>
        <v>Matching</v>
      </c>
    </row>
    <row r="202" spans="1:6" x14ac:dyDescent="0.35">
      <c r="A202" s="5" t="s">
        <v>833</v>
      </c>
      <c r="B202" s="6">
        <v>2</v>
      </c>
      <c r="D202" s="6">
        <f>IF(COUNTIF(Sheet4!A:A,A202)&gt;0,VLOOKUP(A202,Sheet4!A:B,2,FALSE),"NotFound")</f>
        <v>2</v>
      </c>
      <c r="F202" s="6" t="str">
        <f t="shared" si="3"/>
        <v>Matching</v>
      </c>
    </row>
    <row r="203" spans="1:6" x14ac:dyDescent="0.35">
      <c r="A203" s="5" t="s">
        <v>834</v>
      </c>
      <c r="B203" s="6">
        <v>2</v>
      </c>
      <c r="D203" s="6">
        <f>IF(COUNTIF(Sheet4!A:A,A203)&gt;0,VLOOKUP(A203,Sheet4!A:B,2,FALSE),"NotFound")</f>
        <v>2</v>
      </c>
      <c r="F203" s="6" t="str">
        <f t="shared" si="3"/>
        <v>Matching</v>
      </c>
    </row>
    <row r="204" spans="1:6" x14ac:dyDescent="0.35">
      <c r="A204" s="5" t="s">
        <v>879</v>
      </c>
      <c r="B204" s="6">
        <v>0</v>
      </c>
      <c r="D204" s="6">
        <f>IF(COUNTIF(Sheet4!A:A,A204)&gt;0,VLOOKUP(A204,Sheet4!A:B,2,FALSE),"NotFound")</f>
        <v>0</v>
      </c>
      <c r="F204" s="6" t="str">
        <f t="shared" si="3"/>
        <v>Matching</v>
      </c>
    </row>
    <row r="205" spans="1:6" x14ac:dyDescent="0.35">
      <c r="A205" s="5" t="s">
        <v>883</v>
      </c>
      <c r="B205" s="6">
        <v>0</v>
      </c>
      <c r="D205" s="6">
        <f>IF(COUNTIF(Sheet4!A:A,A205)&gt;0,VLOOKUP(A205,Sheet4!A:B,2,FALSE),"NotFound")</f>
        <v>0</v>
      </c>
      <c r="F205" s="6" t="str">
        <f t="shared" si="3"/>
        <v>Matching</v>
      </c>
    </row>
    <row r="206" spans="1:6" x14ac:dyDescent="0.35">
      <c r="A206" s="5" t="s">
        <v>807</v>
      </c>
      <c r="B206" s="6">
        <v>116</v>
      </c>
      <c r="D206" s="6">
        <f>IF(COUNTIF(Sheet4!A:A,A206)&gt;0,VLOOKUP(A206,Sheet4!A:B,2,FALSE),"NotFound")</f>
        <v>116</v>
      </c>
      <c r="F206" s="6" t="str">
        <f t="shared" si="3"/>
        <v>Matching</v>
      </c>
    </row>
    <row r="207" spans="1:6" x14ac:dyDescent="0.35">
      <c r="A207" s="5" t="s">
        <v>804</v>
      </c>
      <c r="B207" s="6">
        <v>177</v>
      </c>
      <c r="D207" s="6">
        <f>IF(COUNTIF(Sheet4!A:A,A207)&gt;0,VLOOKUP(A207,Sheet4!A:B,2,FALSE),"NotFound")</f>
        <v>177</v>
      </c>
      <c r="F207" s="6" t="str">
        <f t="shared" si="3"/>
        <v>Matching</v>
      </c>
    </row>
    <row r="208" spans="1:6" x14ac:dyDescent="0.35">
      <c r="A208" s="5" t="s">
        <v>837</v>
      </c>
      <c r="B208" s="6">
        <v>1</v>
      </c>
      <c r="D208" s="6">
        <f>IF(COUNTIF(Sheet4!A:A,A208)&gt;0,VLOOKUP(A208,Sheet4!A:B,2,FALSE),"NotFound")</f>
        <v>1</v>
      </c>
      <c r="F208" s="6" t="str">
        <f t="shared" si="3"/>
        <v>Matching</v>
      </c>
    </row>
    <row r="209" spans="1:6" x14ac:dyDescent="0.35">
      <c r="A209" s="5" t="s">
        <v>826</v>
      </c>
      <c r="B209" s="6">
        <v>1</v>
      </c>
      <c r="D209" s="6">
        <f>IF(COUNTIF(Sheet4!A:A,A209)&gt;0,VLOOKUP(A209,Sheet4!A:B,2,FALSE),"NotFound")</f>
        <v>1</v>
      </c>
      <c r="F209" s="6" t="str">
        <f t="shared" si="3"/>
        <v>Matching</v>
      </c>
    </row>
    <row r="210" spans="1:6" x14ac:dyDescent="0.35">
      <c r="A210" s="5" t="s">
        <v>884</v>
      </c>
      <c r="B210" s="6">
        <v>0</v>
      </c>
      <c r="D210" s="6">
        <f>IF(COUNTIF(Sheet4!A:A,A210)&gt;0,VLOOKUP(A210,Sheet4!A:B,2,FALSE),"NotFound")</f>
        <v>0</v>
      </c>
      <c r="F210" s="6" t="str">
        <f t="shared" si="3"/>
        <v>Matching</v>
      </c>
    </row>
    <row r="211" spans="1:6" x14ac:dyDescent="0.35">
      <c r="A211" s="5" t="s">
        <v>885</v>
      </c>
      <c r="B211" s="6">
        <v>0</v>
      </c>
      <c r="D211" s="6">
        <f>IF(COUNTIF(Sheet4!A:A,A211)&gt;0,VLOOKUP(A211,Sheet4!A:B,2,FALSE),"NotFound")</f>
        <v>0</v>
      </c>
      <c r="F211" s="6" t="str">
        <f t="shared" si="3"/>
        <v>Matching</v>
      </c>
    </row>
    <row r="212" spans="1:6" x14ac:dyDescent="0.35">
      <c r="A212" s="5" t="s">
        <v>839</v>
      </c>
      <c r="B212" s="6">
        <v>0</v>
      </c>
      <c r="D212" s="6">
        <f>IF(COUNTIF(Sheet4!A:A,A212)&gt;0,VLOOKUP(A212,Sheet4!A:B,2,FALSE),"NotFound")</f>
        <v>0</v>
      </c>
      <c r="F212" s="6" t="str">
        <f t="shared" si="3"/>
        <v>Matching</v>
      </c>
    </row>
    <row r="213" spans="1:6" x14ac:dyDescent="0.35">
      <c r="A213" s="5" t="s">
        <v>886</v>
      </c>
      <c r="B213" s="6">
        <v>0</v>
      </c>
      <c r="D213" s="6">
        <f>IF(COUNTIF(Sheet4!A:A,A213)&gt;0,VLOOKUP(A213,Sheet4!A:B,2,FALSE),"NotFound")</f>
        <v>0</v>
      </c>
      <c r="F213" s="6" t="str">
        <f t="shared" si="3"/>
        <v>Matching</v>
      </c>
    </row>
    <row r="214" spans="1:6" x14ac:dyDescent="0.35">
      <c r="A214" s="5" t="s">
        <v>838</v>
      </c>
      <c r="B214" s="6">
        <v>0</v>
      </c>
      <c r="D214" s="6">
        <f>IF(COUNTIF(Sheet4!A:A,A214)&gt;0,VLOOKUP(A214,Sheet4!A:B,2,FALSE),"NotFound")</f>
        <v>0</v>
      </c>
      <c r="F214" s="6" t="str">
        <f t="shared" si="3"/>
        <v>Matching</v>
      </c>
    </row>
    <row r="215" spans="1:6" x14ac:dyDescent="0.35">
      <c r="A215" s="5" t="s">
        <v>887</v>
      </c>
      <c r="B215" s="6">
        <v>0</v>
      </c>
      <c r="D215" s="6">
        <f>IF(COUNTIF(Sheet4!A:A,A215)&gt;0,VLOOKUP(A215,Sheet4!A:B,2,FALSE),"NotFound")</f>
        <v>0</v>
      </c>
      <c r="F215" s="6" t="str">
        <f t="shared" si="3"/>
        <v>Matching</v>
      </c>
    </row>
    <row r="216" spans="1:6" x14ac:dyDescent="0.35">
      <c r="A216" s="5" t="s">
        <v>823</v>
      </c>
      <c r="B216" s="6">
        <v>0</v>
      </c>
      <c r="D216" s="6">
        <f>IF(COUNTIF(Sheet4!A:A,A216)&gt;0,VLOOKUP(A216,Sheet4!A:B,2,FALSE),"NotFound")</f>
        <v>0</v>
      </c>
      <c r="F216" s="6" t="str">
        <f t="shared" si="3"/>
        <v>Matching</v>
      </c>
    </row>
    <row r="217" spans="1:6" x14ac:dyDescent="0.35">
      <c r="A217" s="5" t="s">
        <v>819</v>
      </c>
      <c r="B217" s="6">
        <v>0</v>
      </c>
      <c r="D217" s="6">
        <f>IF(COUNTIF(Sheet4!A:A,A217)&gt;0,VLOOKUP(A217,Sheet4!A:B,2,FALSE),"NotFound")</f>
        <v>0</v>
      </c>
      <c r="F217" s="6" t="str">
        <f t="shared" si="3"/>
        <v>Matching</v>
      </c>
    </row>
    <row r="218" spans="1:6" x14ac:dyDescent="0.35">
      <c r="A218" s="5" t="s">
        <v>888</v>
      </c>
      <c r="B218" s="6">
        <v>0</v>
      </c>
      <c r="D218" s="6">
        <f>IF(COUNTIF(Sheet4!A:A,A218)&gt;0,VLOOKUP(A218,Sheet4!A:B,2,FALSE),"NotFound")</f>
        <v>0</v>
      </c>
      <c r="F218" s="6" t="str">
        <f t="shared" si="3"/>
        <v>Matching</v>
      </c>
    </row>
    <row r="219" spans="1:6" x14ac:dyDescent="0.35">
      <c r="A219" s="5" t="s">
        <v>843</v>
      </c>
      <c r="B219" s="6">
        <v>0</v>
      </c>
      <c r="D219" s="6">
        <f>IF(COUNTIF(Sheet4!A:A,A219)&gt;0,VLOOKUP(A219,Sheet4!A:B,2,FALSE),"NotFound")</f>
        <v>0</v>
      </c>
      <c r="F219" s="6" t="str">
        <f t="shared" si="3"/>
        <v>Matching</v>
      </c>
    </row>
    <row r="220" spans="1:6" x14ac:dyDescent="0.35">
      <c r="A220" s="5" t="s">
        <v>889</v>
      </c>
      <c r="B220" s="6">
        <v>0</v>
      </c>
      <c r="D220" s="6">
        <f>IF(COUNTIF(Sheet4!A:A,A220)&gt;0,VLOOKUP(A220,Sheet4!A:B,2,FALSE),"NotFound")</f>
        <v>0</v>
      </c>
      <c r="F220" s="6" t="str">
        <f t="shared" si="3"/>
        <v>Matching</v>
      </c>
    </row>
    <row r="221" spans="1:6" x14ac:dyDescent="0.35">
      <c r="A221" s="5" t="s">
        <v>851</v>
      </c>
      <c r="B221" s="6">
        <v>0</v>
      </c>
      <c r="D221" s="6">
        <f>IF(COUNTIF(Sheet4!A:A,A221)&gt;0,VLOOKUP(A221,Sheet4!A:B,2,FALSE),"NotFound")</f>
        <v>0</v>
      </c>
      <c r="F221" s="6" t="str">
        <f t="shared" si="3"/>
        <v>Matching</v>
      </c>
    </row>
    <row r="222" spans="1:6" x14ac:dyDescent="0.35">
      <c r="A222" s="5" t="s">
        <v>852</v>
      </c>
      <c r="B222" s="6">
        <v>0</v>
      </c>
      <c r="D222" s="6">
        <f>IF(COUNTIF(Sheet4!A:A,A222)&gt;0,VLOOKUP(A222,Sheet4!A:B,2,FALSE),"NotFound")</f>
        <v>0</v>
      </c>
      <c r="F222" s="6" t="str">
        <f t="shared" si="3"/>
        <v>Matching</v>
      </c>
    </row>
    <row r="223" spans="1:6" x14ac:dyDescent="0.35">
      <c r="A223" s="5" t="s">
        <v>890</v>
      </c>
      <c r="B223" s="6">
        <v>0</v>
      </c>
      <c r="D223" s="6">
        <f>IF(COUNTIF(Sheet4!A:A,A223)&gt;0,VLOOKUP(A223,Sheet4!A:B,2,FALSE),"NotFound")</f>
        <v>0</v>
      </c>
      <c r="F223" s="6" t="str">
        <f t="shared" si="3"/>
        <v>Matching</v>
      </c>
    </row>
    <row r="224" spans="1:6" x14ac:dyDescent="0.35">
      <c r="A224" s="5" t="s">
        <v>891</v>
      </c>
      <c r="B224" s="6">
        <v>0</v>
      </c>
      <c r="D224" s="6">
        <f>IF(COUNTIF(Sheet4!A:A,A224)&gt;0,VLOOKUP(A224,Sheet4!A:B,2,FALSE),"NotFound")</f>
        <v>0</v>
      </c>
      <c r="F224" s="6" t="str">
        <f t="shared" si="3"/>
        <v>Matching</v>
      </c>
    </row>
    <row r="225" spans="1:6" x14ac:dyDescent="0.35">
      <c r="A225" s="5" t="s">
        <v>892</v>
      </c>
      <c r="B225" s="6">
        <v>0</v>
      </c>
      <c r="D225" s="6">
        <f>IF(COUNTIF(Sheet4!A:A,A225)&gt;0,VLOOKUP(A225,Sheet4!A:B,2,FALSE),"NotFound")</f>
        <v>0</v>
      </c>
      <c r="F225" s="6" t="str">
        <f t="shared" si="3"/>
        <v>Matching</v>
      </c>
    </row>
    <row r="226" spans="1:6" x14ac:dyDescent="0.35">
      <c r="A226" s="5" t="s">
        <v>893</v>
      </c>
      <c r="B226" s="6">
        <v>0</v>
      </c>
      <c r="D226" s="6">
        <f>IF(COUNTIF(Sheet4!A:A,A226)&gt;0,VLOOKUP(A226,Sheet4!A:B,2,FALSE),"NotFound")</f>
        <v>0</v>
      </c>
      <c r="F226" s="6" t="str">
        <f t="shared" si="3"/>
        <v>Matching</v>
      </c>
    </row>
    <row r="227" spans="1:6" x14ac:dyDescent="0.35">
      <c r="A227" s="5" t="s">
        <v>894</v>
      </c>
      <c r="B227" s="6">
        <v>0</v>
      </c>
      <c r="D227" s="6">
        <f>IF(COUNTIF(Sheet4!A:A,A227)&gt;0,VLOOKUP(A227,Sheet4!A:B,2,FALSE),"NotFound")</f>
        <v>0</v>
      </c>
      <c r="F227" s="6" t="str">
        <f t="shared" si="3"/>
        <v>Matching</v>
      </c>
    </row>
    <row r="228" spans="1:6" x14ac:dyDescent="0.35">
      <c r="A228" s="5" t="s">
        <v>846</v>
      </c>
      <c r="B228" s="6">
        <v>0</v>
      </c>
      <c r="D228" s="6">
        <f>IF(COUNTIF(Sheet4!A:A,A228)&gt;0,VLOOKUP(A228,Sheet4!A:B,2,FALSE),"NotFound")</f>
        <v>0</v>
      </c>
      <c r="F228" s="6" t="str">
        <f t="shared" si="3"/>
        <v>Matching</v>
      </c>
    </row>
    <row r="229" spans="1:6" x14ac:dyDescent="0.35">
      <c r="A229" s="5" t="s">
        <v>841</v>
      </c>
      <c r="B229" s="6">
        <v>0</v>
      </c>
      <c r="D229" s="6">
        <f>IF(COUNTIF(Sheet4!A:A,A229)&gt;0,VLOOKUP(A229,Sheet4!A:B,2,FALSE),"NotFound")</f>
        <v>0</v>
      </c>
      <c r="F229" s="6" t="str">
        <f t="shared" si="3"/>
        <v>Matching</v>
      </c>
    </row>
    <row r="230" spans="1:6" x14ac:dyDescent="0.35">
      <c r="A230" s="5" t="s">
        <v>895</v>
      </c>
      <c r="B230" s="6">
        <v>0</v>
      </c>
      <c r="D230" s="6">
        <f>IF(COUNTIF(Sheet4!A:A,A230)&gt;0,VLOOKUP(A230,Sheet4!A:B,2,FALSE),"NotFound")</f>
        <v>0</v>
      </c>
      <c r="F230" s="6" t="str">
        <f t="shared" si="3"/>
        <v>Matching</v>
      </c>
    </row>
    <row r="231" spans="1:6" x14ac:dyDescent="0.35">
      <c r="A231" s="5" t="s">
        <v>832</v>
      </c>
      <c r="B231" s="6">
        <v>2</v>
      </c>
      <c r="D231" s="6">
        <f>IF(COUNTIF(Sheet4!A:A,A231)&gt;0,VLOOKUP(A231,Sheet4!A:B,2,FALSE),"NotFound")</f>
        <v>2</v>
      </c>
      <c r="F231" s="6" t="str">
        <f t="shared" si="3"/>
        <v>Matching</v>
      </c>
    </row>
    <row r="232" spans="1:6" x14ac:dyDescent="0.35">
      <c r="A232" s="5" t="s">
        <v>844</v>
      </c>
      <c r="B232" s="6">
        <v>0</v>
      </c>
      <c r="D232" s="6">
        <f>IF(COUNTIF(Sheet4!A:A,A232)&gt;0,VLOOKUP(A232,Sheet4!A:B,2,FALSE),"NotFound")</f>
        <v>0</v>
      </c>
      <c r="F232" s="6" t="str">
        <f t="shared" si="3"/>
        <v>Matching</v>
      </c>
    </row>
    <row r="233" spans="1:6" x14ac:dyDescent="0.35">
      <c r="A233" s="5" t="s">
        <v>842</v>
      </c>
      <c r="B233" s="6">
        <v>0</v>
      </c>
      <c r="D233" s="6">
        <f>IF(COUNTIF(Sheet4!A:A,A233)&gt;0,VLOOKUP(A233,Sheet4!A:B,2,FALSE),"NotFound")</f>
        <v>0</v>
      </c>
      <c r="F233" s="6" t="str">
        <f t="shared" si="3"/>
        <v>Matching</v>
      </c>
    </row>
    <row r="234" spans="1:6" x14ac:dyDescent="0.35">
      <c r="A234" s="5" t="s">
        <v>896</v>
      </c>
      <c r="B234" s="6">
        <v>0</v>
      </c>
      <c r="D234" s="6">
        <f>IF(COUNTIF(Sheet4!A:A,A234)&gt;0,VLOOKUP(A234,Sheet4!A:B,2,FALSE),"NotFound")</f>
        <v>0</v>
      </c>
      <c r="F234" s="6" t="str">
        <f t="shared" si="3"/>
        <v>Matching</v>
      </c>
    </row>
    <row r="235" spans="1:6" x14ac:dyDescent="0.35">
      <c r="A235" s="5" t="s">
        <v>899</v>
      </c>
      <c r="B235" s="6">
        <v>0</v>
      </c>
      <c r="D235" s="6">
        <f>IF(COUNTIF(Sheet4!A:A,A235)&gt;0,VLOOKUP(A235,Sheet4!A:B,2,FALSE),"NotFound")</f>
        <v>0</v>
      </c>
      <c r="F235" s="6" t="str">
        <f t="shared" si="3"/>
        <v>Matching</v>
      </c>
    </row>
    <row r="236" spans="1:6" x14ac:dyDescent="0.35">
      <c r="A236" s="5" t="s">
        <v>900</v>
      </c>
      <c r="B236" s="6">
        <v>0</v>
      </c>
      <c r="D236" s="6">
        <f>IF(COUNTIF(Sheet4!A:A,A236)&gt;0,VLOOKUP(A236,Sheet4!A:B,2,FALSE),"NotFound")</f>
        <v>0</v>
      </c>
      <c r="F236" s="6" t="str">
        <f t="shared" si="3"/>
        <v>Matching</v>
      </c>
    </row>
    <row r="237" spans="1:6" x14ac:dyDescent="0.35">
      <c r="A237" s="5" t="s">
        <v>901</v>
      </c>
      <c r="B237" s="6">
        <v>0</v>
      </c>
      <c r="D237" s="6">
        <f>IF(COUNTIF(Sheet4!A:A,A237)&gt;0,VLOOKUP(A237,Sheet4!A:B,2,FALSE),"NotFound")</f>
        <v>0</v>
      </c>
      <c r="F237" s="6" t="str">
        <f t="shared" si="3"/>
        <v>Matching</v>
      </c>
    </row>
    <row r="238" spans="1:6" x14ac:dyDescent="0.35">
      <c r="A238" s="5" t="s">
        <v>902</v>
      </c>
      <c r="B238" s="6">
        <v>0</v>
      </c>
      <c r="D238" s="6">
        <f>IF(COUNTIF(Sheet4!A:A,A238)&gt;0,VLOOKUP(A238,Sheet4!A:B,2,FALSE),"NotFound")</f>
        <v>0</v>
      </c>
      <c r="F238" s="6" t="str">
        <f t="shared" si="3"/>
        <v>Matching</v>
      </c>
    </row>
    <row r="239" spans="1:6" x14ac:dyDescent="0.35">
      <c r="A239" s="5" t="s">
        <v>897</v>
      </c>
      <c r="B239" s="6">
        <v>0</v>
      </c>
      <c r="D239" s="6">
        <f>IF(COUNTIF(Sheet4!A:A,A239)&gt;0,VLOOKUP(A239,Sheet4!A:B,2,FALSE),"NotFound")</f>
        <v>0</v>
      </c>
      <c r="F239" s="6" t="str">
        <f t="shared" si="3"/>
        <v>Matching</v>
      </c>
    </row>
    <row r="240" spans="1:6" x14ac:dyDescent="0.35">
      <c r="A240" s="5" t="s">
        <v>898</v>
      </c>
      <c r="B240" s="6">
        <v>0</v>
      </c>
      <c r="D240" s="6">
        <f>IF(COUNTIF(Sheet4!A:A,A240)&gt;0,VLOOKUP(A240,Sheet4!A:B,2,FALSE),"NotFound")</f>
        <v>0</v>
      </c>
      <c r="F240" s="6" t="str">
        <f t="shared" si="3"/>
        <v>Matching</v>
      </c>
    </row>
    <row r="241" spans="1:6" x14ac:dyDescent="0.35">
      <c r="A241" s="5" t="s">
        <v>903</v>
      </c>
      <c r="B241" s="6">
        <v>0</v>
      </c>
      <c r="D241" s="6">
        <f>IF(COUNTIF(Sheet4!A:A,A241)&gt;0,VLOOKUP(A241,Sheet4!A:B,2,FALSE),"NotFound")</f>
        <v>0</v>
      </c>
      <c r="F241" s="6" t="str">
        <f t="shared" si="3"/>
        <v>Matching</v>
      </c>
    </row>
    <row r="242" spans="1:6" x14ac:dyDescent="0.35">
      <c r="A242" s="5" t="s">
        <v>905</v>
      </c>
      <c r="B242" s="6">
        <v>0</v>
      </c>
      <c r="D242" s="6">
        <f>IF(COUNTIF(Sheet4!A:A,A242)&gt;0,VLOOKUP(A242,Sheet4!A:B,2,FALSE),"NotFound")</f>
        <v>0</v>
      </c>
      <c r="F242" s="6" t="str">
        <f t="shared" si="3"/>
        <v>Matching</v>
      </c>
    </row>
    <row r="243" spans="1:6" x14ac:dyDescent="0.35">
      <c r="A243" s="5" t="s">
        <v>904</v>
      </c>
      <c r="B243" s="6">
        <v>0</v>
      </c>
      <c r="D243" s="6">
        <f>IF(COUNTIF(Sheet4!A:A,A243)&gt;0,VLOOKUP(A243,Sheet4!A:B,2,FALSE),"NotFound")</f>
        <v>0</v>
      </c>
      <c r="F243" s="6" t="str">
        <f t="shared" si="3"/>
        <v>Matching</v>
      </c>
    </row>
    <row r="244" spans="1:6" x14ac:dyDescent="0.35">
      <c r="A244" s="5" t="s">
        <v>845</v>
      </c>
      <c r="B244" s="6">
        <v>0</v>
      </c>
      <c r="D244" s="6">
        <f>IF(COUNTIF(Sheet4!A:A,A244)&gt;0,VLOOKUP(A244,Sheet4!A:B,2,FALSE),"NotFound")</f>
        <v>0</v>
      </c>
      <c r="F244" s="6" t="str">
        <f t="shared" si="3"/>
        <v>Matching</v>
      </c>
    </row>
    <row r="245" spans="1:6" x14ac:dyDescent="0.35">
      <c r="A245" s="5" t="s">
        <v>906</v>
      </c>
      <c r="B245" s="6">
        <v>0</v>
      </c>
      <c r="D245" s="6">
        <f>IF(COUNTIF(Sheet4!A:A,A245)&gt;0,VLOOKUP(A245,Sheet4!A:B,2,FALSE),"NotFound")</f>
        <v>0</v>
      </c>
      <c r="F245" s="6" t="str">
        <f t="shared" si="3"/>
        <v>Matching</v>
      </c>
    </row>
    <row r="246" spans="1:6" x14ac:dyDescent="0.35">
      <c r="A246" s="5" t="s">
        <v>914</v>
      </c>
      <c r="B246" s="6">
        <v>0</v>
      </c>
      <c r="D246" s="6">
        <f>IF(COUNTIF(Sheet4!A:A,A246)&gt;0,VLOOKUP(A246,Sheet4!A:B,2,FALSE),"NotFound")</f>
        <v>0</v>
      </c>
      <c r="F246" s="6" t="str">
        <f t="shared" si="3"/>
        <v>Matching</v>
      </c>
    </row>
    <row r="247" spans="1:6" x14ac:dyDescent="0.35">
      <c r="A247" s="5" t="s">
        <v>1088</v>
      </c>
      <c r="B247" s="6">
        <v>0</v>
      </c>
      <c r="D247" s="6">
        <f>IF(COUNTIF(Sheet4!A:A,A247)&gt;0,VLOOKUP(A247,Sheet4!A:B,2,FALSE),"NotFound")</f>
        <v>0</v>
      </c>
      <c r="F247" s="6" t="str">
        <f t="shared" si="3"/>
        <v>Matching</v>
      </c>
    </row>
    <row r="248" spans="1:6" x14ac:dyDescent="0.35">
      <c r="A248" s="5" t="s">
        <v>1093</v>
      </c>
      <c r="B248" s="6">
        <v>4129</v>
      </c>
      <c r="D248" s="6">
        <f>IF(COUNTIF(Sheet4!A:A,A248)&gt;0,VLOOKUP(A248,Sheet4!A:B,2,FALSE),"NotFound")</f>
        <v>4129</v>
      </c>
      <c r="F248" s="6" t="str">
        <f t="shared" si="3"/>
        <v>Matching</v>
      </c>
    </row>
    <row r="249" spans="1:6" x14ac:dyDescent="0.35">
      <c r="A249" s="5" t="s">
        <v>1086</v>
      </c>
      <c r="B249" s="6">
        <v>0</v>
      </c>
      <c r="D249" s="6">
        <f>IF(COUNTIF(Sheet4!A:A,A249)&gt;0,VLOOKUP(A249,Sheet4!A:B,2,FALSE),"NotFound")</f>
        <v>0</v>
      </c>
      <c r="F249" s="6" t="str">
        <f t="shared" si="3"/>
        <v>Matching</v>
      </c>
    </row>
    <row r="250" spans="1:6" x14ac:dyDescent="0.35">
      <c r="A250" s="5" t="s">
        <v>1121</v>
      </c>
      <c r="B250" s="6">
        <v>0</v>
      </c>
      <c r="D250" s="6">
        <f>IF(COUNTIF(Sheet4!A:A,A250)&gt;0,VLOOKUP(A250,Sheet4!A:B,2,FALSE),"NotFound")</f>
        <v>0</v>
      </c>
      <c r="F250" s="6" t="str">
        <f t="shared" si="3"/>
        <v>Matching</v>
      </c>
    </row>
    <row r="251" spans="1:6" x14ac:dyDescent="0.35">
      <c r="A251" s="5" t="s">
        <v>1146</v>
      </c>
      <c r="B251" s="6">
        <v>639</v>
      </c>
      <c r="D251" s="6">
        <f>IF(COUNTIF(Sheet4!A:A,A251)&gt;0,VLOOKUP(A251,Sheet4!A:B,2,FALSE),"NotFound")</f>
        <v>639</v>
      </c>
      <c r="F251" s="6" t="str">
        <f t="shared" si="3"/>
        <v>Matching</v>
      </c>
    </row>
    <row r="252" spans="1:6" x14ac:dyDescent="0.35">
      <c r="A252" s="5" t="s">
        <v>1142</v>
      </c>
      <c r="B252" s="6">
        <v>0</v>
      </c>
      <c r="D252" s="6">
        <f>IF(COUNTIF(Sheet4!A:A,A252)&gt;0,VLOOKUP(A252,Sheet4!A:B,2,FALSE),"NotFound")</f>
        <v>0</v>
      </c>
      <c r="F252" s="6" t="str">
        <f t="shared" si="3"/>
        <v>Matching</v>
      </c>
    </row>
    <row r="253" spans="1:6" x14ac:dyDescent="0.35">
      <c r="A253" s="5" t="s">
        <v>1148</v>
      </c>
      <c r="B253" s="6">
        <v>640</v>
      </c>
      <c r="D253" s="6">
        <f>IF(COUNTIF(Sheet4!A:A,A253)&gt;0,VLOOKUP(A253,Sheet4!A:B,2,FALSE),"NotFound")</f>
        <v>640</v>
      </c>
      <c r="F253" s="6" t="str">
        <f t="shared" si="3"/>
        <v>Matching</v>
      </c>
    </row>
    <row r="254" spans="1:6" x14ac:dyDescent="0.35">
      <c r="A254" s="5" t="s">
        <v>1152</v>
      </c>
      <c r="B254" s="6">
        <v>0</v>
      </c>
      <c r="D254" s="6">
        <f>IF(COUNTIF(Sheet4!A:A,A254)&gt;0,VLOOKUP(A254,Sheet4!A:B,2,FALSE),"NotFound")</f>
        <v>0</v>
      </c>
      <c r="F254" s="6" t="str">
        <f t="shared" si="3"/>
        <v>Matching</v>
      </c>
    </row>
    <row r="255" spans="1:6" x14ac:dyDescent="0.35">
      <c r="A255" s="5" t="s">
        <v>1147</v>
      </c>
      <c r="B255" s="6">
        <v>639</v>
      </c>
      <c r="D255" s="6">
        <f>IF(COUNTIF(Sheet4!A:A,A255)&gt;0,VLOOKUP(A255,Sheet4!A:B,2,FALSE),"NotFound")</f>
        <v>639</v>
      </c>
      <c r="F255" s="6" t="str">
        <f t="shared" si="3"/>
        <v>Matching</v>
      </c>
    </row>
    <row r="256" spans="1:6" x14ac:dyDescent="0.35">
      <c r="A256" s="5" t="s">
        <v>1140</v>
      </c>
      <c r="B256" s="6">
        <v>0</v>
      </c>
      <c r="D256" s="6">
        <f>IF(COUNTIF(Sheet4!A:A,A256)&gt;0,VLOOKUP(A256,Sheet4!A:B,2,FALSE),"NotFound")</f>
        <v>0</v>
      </c>
      <c r="F256" s="6" t="str">
        <f t="shared" si="3"/>
        <v>Matching</v>
      </c>
    </row>
    <row r="257" spans="1:6" x14ac:dyDescent="0.35">
      <c r="A257" s="5" t="s">
        <v>1138</v>
      </c>
      <c r="B257" s="6">
        <v>0</v>
      </c>
      <c r="D257" s="6">
        <f>IF(COUNTIF(Sheet4!A:A,A257)&gt;0,VLOOKUP(A257,Sheet4!A:B,2,FALSE),"NotFound")</f>
        <v>0</v>
      </c>
      <c r="F257" s="6" t="str">
        <f t="shared" si="3"/>
        <v>Matching</v>
      </c>
    </row>
    <row r="258" spans="1:6" x14ac:dyDescent="0.35">
      <c r="A258" s="5" t="s">
        <v>1139</v>
      </c>
      <c r="B258" s="6">
        <v>0</v>
      </c>
      <c r="D258" s="6">
        <f>IF(COUNTIF(Sheet4!A:A,A258)&gt;0,VLOOKUP(A258,Sheet4!A:B,2,FALSE),"NotFound")</f>
        <v>0</v>
      </c>
      <c r="F258" s="6" t="str">
        <f t="shared" si="3"/>
        <v>Matching</v>
      </c>
    </row>
    <row r="259" spans="1:6" x14ac:dyDescent="0.35">
      <c r="A259" s="5" t="s">
        <v>1149</v>
      </c>
      <c r="B259" s="6">
        <v>0</v>
      </c>
      <c r="D259" s="6">
        <f>IF(COUNTIF(Sheet4!A:A,A259)&gt;0,VLOOKUP(A259,Sheet4!A:B,2,FALSE),"NotFound")</f>
        <v>0</v>
      </c>
      <c r="F259" s="6" t="str">
        <f t="shared" ref="F259:F322" si="4">IF(B259=D259,"Matching","mis match")</f>
        <v>Matching</v>
      </c>
    </row>
    <row r="260" spans="1:6" x14ac:dyDescent="0.35">
      <c r="A260" s="5" t="s">
        <v>1145</v>
      </c>
      <c r="B260" s="6">
        <v>640</v>
      </c>
      <c r="D260" s="6">
        <f>IF(COUNTIF(Sheet4!A:A,A260)&gt;0,VLOOKUP(A260,Sheet4!A:B,2,FALSE),"NotFound")</f>
        <v>640</v>
      </c>
      <c r="F260" s="6" t="str">
        <f t="shared" si="4"/>
        <v>Matching</v>
      </c>
    </row>
    <row r="261" spans="1:6" x14ac:dyDescent="0.35">
      <c r="A261" s="5" t="s">
        <v>1150</v>
      </c>
      <c r="B261" s="6">
        <v>1</v>
      </c>
      <c r="D261" s="6">
        <f>IF(COUNTIF(Sheet4!A:A,A261)&gt;0,VLOOKUP(A261,Sheet4!A:B,2,FALSE),"NotFound")</f>
        <v>1</v>
      </c>
      <c r="F261" s="6" t="str">
        <f t="shared" si="4"/>
        <v>Matching</v>
      </c>
    </row>
    <row r="262" spans="1:6" x14ac:dyDescent="0.35">
      <c r="A262" s="5" t="s">
        <v>1144</v>
      </c>
      <c r="B262" s="6">
        <v>639</v>
      </c>
      <c r="D262" s="6">
        <f>IF(COUNTIF(Sheet4!A:A,A262)&gt;0,VLOOKUP(A262,Sheet4!A:B,2,FALSE),"NotFound")</f>
        <v>639</v>
      </c>
      <c r="F262" s="6" t="str">
        <f t="shared" si="4"/>
        <v>Matching</v>
      </c>
    </row>
    <row r="263" spans="1:6" x14ac:dyDescent="0.35">
      <c r="A263" s="5" t="s">
        <v>1141</v>
      </c>
      <c r="B263" s="6">
        <v>640</v>
      </c>
      <c r="D263" s="6">
        <f>IF(COUNTIF(Sheet4!A:A,A263)&gt;0,VLOOKUP(A263,Sheet4!A:B,2,FALSE),"NotFound")</f>
        <v>640</v>
      </c>
      <c r="F263" s="6" t="str">
        <f t="shared" si="4"/>
        <v>Matching</v>
      </c>
    </row>
    <row r="264" spans="1:6" x14ac:dyDescent="0.35">
      <c r="A264" s="5" t="s">
        <v>1143</v>
      </c>
      <c r="B264" s="6">
        <v>639</v>
      </c>
      <c r="D264" s="6">
        <f>IF(COUNTIF(Sheet4!A:A,A264)&gt;0,VLOOKUP(A264,Sheet4!A:B,2,FALSE),"NotFound")</f>
        <v>639</v>
      </c>
      <c r="F264" s="6" t="str">
        <f t="shared" si="4"/>
        <v>Matching</v>
      </c>
    </row>
    <row r="265" spans="1:6" x14ac:dyDescent="0.35">
      <c r="A265" s="5" t="s">
        <v>1151</v>
      </c>
      <c r="B265" s="6">
        <v>0</v>
      </c>
      <c r="D265" s="6">
        <f>IF(COUNTIF(Sheet4!A:A,A265)&gt;0,VLOOKUP(A265,Sheet4!A:B,2,FALSE),"NotFound")</f>
        <v>0</v>
      </c>
      <c r="F265" s="6" t="str">
        <f t="shared" si="4"/>
        <v>Matching</v>
      </c>
    </row>
    <row r="266" spans="1:6" x14ac:dyDescent="0.35">
      <c r="A266" s="5" t="s">
        <v>1122</v>
      </c>
      <c r="B266" s="6">
        <v>0</v>
      </c>
      <c r="D266" s="6">
        <f>IF(COUNTIF(Sheet4!A:A,A266)&gt;0,VLOOKUP(A266,Sheet4!A:B,2,FALSE),"NotFound")</f>
        <v>0</v>
      </c>
      <c r="F266" s="6" t="str">
        <f t="shared" si="4"/>
        <v>Matching</v>
      </c>
    </row>
    <row r="267" spans="1:6" x14ac:dyDescent="0.35">
      <c r="A267" s="5" t="s">
        <v>1111</v>
      </c>
      <c r="B267" s="6">
        <v>0</v>
      </c>
      <c r="D267" s="6">
        <f>IF(COUNTIF(Sheet4!A:A,A267)&gt;0,VLOOKUP(A267,Sheet4!A:B,2,FALSE),"NotFound")</f>
        <v>0</v>
      </c>
      <c r="F267" s="6" t="str">
        <f t="shared" si="4"/>
        <v>Matching</v>
      </c>
    </row>
    <row r="268" spans="1:6" x14ac:dyDescent="0.35">
      <c r="A268" s="5" t="s">
        <v>912</v>
      </c>
      <c r="B268" s="6">
        <v>0</v>
      </c>
      <c r="D268" s="6">
        <f>IF(COUNTIF(Sheet4!A:A,A268)&gt;0,VLOOKUP(A268,Sheet4!A:B,2,FALSE),"NotFound")</f>
        <v>0</v>
      </c>
      <c r="F268" s="6" t="str">
        <f t="shared" si="4"/>
        <v>Matching</v>
      </c>
    </row>
    <row r="269" spans="1:6" x14ac:dyDescent="0.35">
      <c r="A269" s="5" t="s">
        <v>913</v>
      </c>
      <c r="B269" s="6">
        <v>0</v>
      </c>
      <c r="D269" s="6">
        <f>IF(COUNTIF(Sheet4!A:A,A269)&gt;0,VLOOKUP(A269,Sheet4!A:B,2,FALSE),"NotFound")</f>
        <v>0</v>
      </c>
      <c r="F269" s="6" t="str">
        <f t="shared" si="4"/>
        <v>Matching</v>
      </c>
    </row>
    <row r="270" spans="1:6" x14ac:dyDescent="0.35">
      <c r="A270" s="5" t="s">
        <v>649</v>
      </c>
      <c r="B270" s="6">
        <v>0</v>
      </c>
      <c r="D270" s="6">
        <f>IF(COUNTIF(Sheet4!A:A,A270)&gt;0,VLOOKUP(A270,Sheet4!A:B,2,FALSE),"NotFound")</f>
        <v>0</v>
      </c>
      <c r="F270" s="6" t="str">
        <f t="shared" si="4"/>
        <v>Matching</v>
      </c>
    </row>
    <row r="271" spans="1:6" x14ac:dyDescent="0.35">
      <c r="A271" s="5" t="s">
        <v>666</v>
      </c>
      <c r="B271" s="6">
        <v>42</v>
      </c>
      <c r="D271" s="6">
        <f>IF(COUNTIF(Sheet4!A:A,A271)&gt;0,VLOOKUP(A271,Sheet4!A:B,2,FALSE),"NotFound")</f>
        <v>42</v>
      </c>
      <c r="F271" s="6" t="str">
        <f t="shared" si="4"/>
        <v>Matching</v>
      </c>
    </row>
    <row r="272" spans="1:6" x14ac:dyDescent="0.35">
      <c r="A272" s="5" t="s">
        <v>943</v>
      </c>
      <c r="B272" s="6">
        <v>0</v>
      </c>
      <c r="D272" s="6">
        <f>IF(COUNTIF(Sheet4!A:A,A272)&gt;0,VLOOKUP(A272,Sheet4!A:B,2,FALSE),"NotFound")</f>
        <v>0</v>
      </c>
      <c r="F272" s="6" t="str">
        <f t="shared" si="4"/>
        <v>Matching</v>
      </c>
    </row>
    <row r="273" spans="1:6" x14ac:dyDescent="0.35">
      <c r="A273" s="5" t="s">
        <v>797</v>
      </c>
      <c r="B273" s="6">
        <v>0</v>
      </c>
      <c r="D273" s="6">
        <f>IF(COUNTIF(Sheet4!A:A,A273)&gt;0,VLOOKUP(A273,Sheet4!A:B,2,FALSE),"NotFound")</f>
        <v>0</v>
      </c>
      <c r="F273" s="6" t="str">
        <f t="shared" si="4"/>
        <v>Matching</v>
      </c>
    </row>
    <row r="274" spans="1:6" x14ac:dyDescent="0.35">
      <c r="A274" s="5" t="s">
        <v>1112</v>
      </c>
      <c r="B274" s="6">
        <v>0</v>
      </c>
      <c r="D274" s="6">
        <f>IF(COUNTIF(Sheet4!A:A,A274)&gt;0,VLOOKUP(A274,Sheet4!A:B,2,FALSE),"NotFound")</f>
        <v>0</v>
      </c>
      <c r="F274" s="6" t="str">
        <f t="shared" si="4"/>
        <v>Matching</v>
      </c>
    </row>
    <row r="275" spans="1:6" x14ac:dyDescent="0.35">
      <c r="A275" s="5" t="s">
        <v>1113</v>
      </c>
      <c r="B275" s="6">
        <v>0</v>
      </c>
      <c r="D275" s="6">
        <f>IF(COUNTIF(Sheet4!A:A,A275)&gt;0,VLOOKUP(A275,Sheet4!A:B,2,FALSE),"NotFound")</f>
        <v>0</v>
      </c>
      <c r="F275" s="6" t="str">
        <f t="shared" si="4"/>
        <v>Matching</v>
      </c>
    </row>
    <row r="276" spans="1:6" x14ac:dyDescent="0.35">
      <c r="A276" s="5" t="s">
        <v>950</v>
      </c>
      <c r="B276" s="6">
        <v>0</v>
      </c>
      <c r="D276" s="6">
        <f>IF(COUNTIF(Sheet4!A:A,A276)&gt;0,VLOOKUP(A276,Sheet4!A:B,2,FALSE),"NotFound")</f>
        <v>0</v>
      </c>
      <c r="F276" s="6" t="str">
        <f t="shared" si="4"/>
        <v>Matching</v>
      </c>
    </row>
    <row r="277" spans="1:6" x14ac:dyDescent="0.35">
      <c r="A277" s="5" t="s">
        <v>951</v>
      </c>
      <c r="B277" s="6">
        <v>0</v>
      </c>
      <c r="D277" s="6">
        <f>IF(COUNTIF(Sheet4!A:A,A277)&gt;0,VLOOKUP(A277,Sheet4!A:B,2,FALSE),"NotFound")</f>
        <v>0</v>
      </c>
      <c r="F277" s="6" t="str">
        <f t="shared" si="4"/>
        <v>Matching</v>
      </c>
    </row>
    <row r="278" spans="1:6" x14ac:dyDescent="0.35">
      <c r="A278" s="5" t="s">
        <v>949</v>
      </c>
      <c r="B278" s="6">
        <v>0</v>
      </c>
      <c r="D278" s="6">
        <f>IF(COUNTIF(Sheet4!A:A,A278)&gt;0,VLOOKUP(A278,Sheet4!A:B,2,FALSE),"NotFound")</f>
        <v>0</v>
      </c>
      <c r="F278" s="6" t="str">
        <f t="shared" si="4"/>
        <v>Matching</v>
      </c>
    </row>
    <row r="279" spans="1:6" x14ac:dyDescent="0.35">
      <c r="A279" s="5" t="s">
        <v>952</v>
      </c>
      <c r="B279" s="6">
        <v>0</v>
      </c>
      <c r="D279" s="6">
        <f>IF(COUNTIF(Sheet4!A:A,A279)&gt;0,VLOOKUP(A279,Sheet4!A:B,2,FALSE),"NotFound")</f>
        <v>0</v>
      </c>
      <c r="F279" s="6" t="str">
        <f t="shared" si="4"/>
        <v>Matching</v>
      </c>
    </row>
    <row r="280" spans="1:6" x14ac:dyDescent="0.35">
      <c r="A280" s="5" t="s">
        <v>953</v>
      </c>
      <c r="B280" s="6">
        <v>0</v>
      </c>
      <c r="D280" s="6">
        <f>IF(COUNTIF(Sheet4!A:A,A280)&gt;0,VLOOKUP(A280,Sheet4!A:B,2,FALSE),"NotFound")</f>
        <v>0</v>
      </c>
      <c r="F280" s="6" t="str">
        <f t="shared" si="4"/>
        <v>Matching</v>
      </c>
    </row>
    <row r="281" spans="1:6" x14ac:dyDescent="0.35">
      <c r="A281" s="5" t="s">
        <v>954</v>
      </c>
      <c r="B281" s="6">
        <v>0</v>
      </c>
      <c r="D281" s="6">
        <f>IF(COUNTIF(Sheet4!A:A,A281)&gt;0,VLOOKUP(A281,Sheet4!A:B,2,FALSE),"NotFound")</f>
        <v>0</v>
      </c>
      <c r="F281" s="6" t="str">
        <f t="shared" si="4"/>
        <v>Matching</v>
      </c>
    </row>
    <row r="282" spans="1:6" x14ac:dyDescent="0.35">
      <c r="A282" s="5" t="s">
        <v>956</v>
      </c>
      <c r="B282" s="6">
        <v>0</v>
      </c>
      <c r="D282" s="6">
        <f>IF(COUNTIF(Sheet4!A:A,A282)&gt;0,VLOOKUP(A282,Sheet4!A:B,2,FALSE),"NotFound")</f>
        <v>0</v>
      </c>
      <c r="F282" s="6" t="str">
        <f t="shared" si="4"/>
        <v>Matching</v>
      </c>
    </row>
    <row r="283" spans="1:6" x14ac:dyDescent="0.35">
      <c r="A283" s="5" t="s">
        <v>957</v>
      </c>
      <c r="B283" s="6">
        <v>0</v>
      </c>
      <c r="D283" s="6">
        <f>IF(COUNTIF(Sheet4!A:A,A283)&gt;0,VLOOKUP(A283,Sheet4!A:B,2,FALSE),"NotFound")</f>
        <v>0</v>
      </c>
      <c r="F283" s="6" t="str">
        <f t="shared" si="4"/>
        <v>Matching</v>
      </c>
    </row>
    <row r="284" spans="1:6" x14ac:dyDescent="0.35">
      <c r="A284" s="5" t="s">
        <v>955</v>
      </c>
      <c r="B284" s="6">
        <v>0</v>
      </c>
      <c r="D284" s="6">
        <f>IF(COUNTIF(Sheet4!A:A,A284)&gt;0,VLOOKUP(A284,Sheet4!A:B,2,FALSE),"NotFound")</f>
        <v>0</v>
      </c>
      <c r="F284" s="6" t="str">
        <f t="shared" si="4"/>
        <v>Matching</v>
      </c>
    </row>
    <row r="285" spans="1:6" x14ac:dyDescent="0.35">
      <c r="A285" s="5" t="s">
        <v>939</v>
      </c>
      <c r="B285" s="6">
        <v>0</v>
      </c>
      <c r="D285" s="6">
        <f>IF(COUNTIF(Sheet4!A:A,A285)&gt;0,VLOOKUP(A285,Sheet4!A:B,2,FALSE),"NotFound")</f>
        <v>0</v>
      </c>
      <c r="F285" s="6" t="str">
        <f t="shared" si="4"/>
        <v>Matching</v>
      </c>
    </row>
    <row r="286" spans="1:6" x14ac:dyDescent="0.35">
      <c r="A286" s="5" t="s">
        <v>923</v>
      </c>
      <c r="B286" s="6">
        <v>0</v>
      </c>
      <c r="D286" s="6">
        <f>IF(COUNTIF(Sheet4!A:A,A286)&gt;0,VLOOKUP(A286,Sheet4!A:B,2,FALSE),"NotFound")</f>
        <v>0</v>
      </c>
      <c r="F286" s="6" t="str">
        <f t="shared" si="4"/>
        <v>Matching</v>
      </c>
    </row>
    <row r="287" spans="1:6" x14ac:dyDescent="0.35">
      <c r="A287" s="5" t="s">
        <v>924</v>
      </c>
      <c r="B287" s="6">
        <v>0</v>
      </c>
      <c r="D287" s="6">
        <f>IF(COUNTIF(Sheet4!A:A,A287)&gt;0,VLOOKUP(A287,Sheet4!A:B,2,FALSE),"NotFound")</f>
        <v>0</v>
      </c>
      <c r="F287" s="6" t="str">
        <f t="shared" si="4"/>
        <v>Matching</v>
      </c>
    </row>
    <row r="288" spans="1:6" x14ac:dyDescent="0.35">
      <c r="A288" s="5" t="s">
        <v>925</v>
      </c>
      <c r="B288" s="6">
        <v>0</v>
      </c>
      <c r="D288" s="6">
        <f>IF(COUNTIF(Sheet4!A:A,A288)&gt;0,VLOOKUP(A288,Sheet4!A:B,2,FALSE),"NotFound")</f>
        <v>0</v>
      </c>
      <c r="F288" s="6" t="str">
        <f t="shared" si="4"/>
        <v>Matching</v>
      </c>
    </row>
    <row r="289" spans="1:6" x14ac:dyDescent="0.35">
      <c r="A289" s="5" t="s">
        <v>926</v>
      </c>
      <c r="B289" s="6">
        <v>0</v>
      </c>
      <c r="D289" s="6">
        <f>IF(COUNTIF(Sheet4!A:A,A289)&gt;0,VLOOKUP(A289,Sheet4!A:B,2,FALSE),"NotFound")</f>
        <v>0</v>
      </c>
      <c r="F289" s="6" t="str">
        <f t="shared" si="4"/>
        <v>Matching</v>
      </c>
    </row>
    <row r="290" spans="1:6" x14ac:dyDescent="0.35">
      <c r="A290" s="5" t="s">
        <v>927</v>
      </c>
      <c r="B290" s="6">
        <v>0</v>
      </c>
      <c r="D290" s="6">
        <f>IF(COUNTIF(Sheet4!A:A,A290)&gt;0,VLOOKUP(A290,Sheet4!A:B,2,FALSE),"NotFound")</f>
        <v>0</v>
      </c>
      <c r="F290" s="6" t="str">
        <f t="shared" si="4"/>
        <v>Matching</v>
      </c>
    </row>
    <row r="291" spans="1:6" x14ac:dyDescent="0.35">
      <c r="A291" s="5" t="s">
        <v>928</v>
      </c>
      <c r="B291" s="6">
        <v>0</v>
      </c>
      <c r="D291" s="6">
        <f>IF(COUNTIF(Sheet4!A:A,A291)&gt;0,VLOOKUP(A291,Sheet4!A:B,2,FALSE),"NotFound")</f>
        <v>0</v>
      </c>
      <c r="F291" s="6" t="str">
        <f t="shared" si="4"/>
        <v>Matching</v>
      </c>
    </row>
    <row r="292" spans="1:6" x14ac:dyDescent="0.35">
      <c r="A292" s="5" t="s">
        <v>940</v>
      </c>
      <c r="B292" s="6">
        <v>0</v>
      </c>
      <c r="D292" s="6">
        <f>IF(COUNTIF(Sheet4!A:A,A292)&gt;0,VLOOKUP(A292,Sheet4!A:B,2,FALSE),"NotFound")</f>
        <v>0</v>
      </c>
      <c r="F292" s="6" t="str">
        <f t="shared" si="4"/>
        <v>Matching</v>
      </c>
    </row>
    <row r="293" spans="1:6" x14ac:dyDescent="0.35">
      <c r="A293" s="5" t="s">
        <v>944</v>
      </c>
      <c r="B293" s="6">
        <v>0</v>
      </c>
      <c r="D293" s="6">
        <f>IF(COUNTIF(Sheet4!A:A,A293)&gt;0,VLOOKUP(A293,Sheet4!A:B,2,FALSE),"NotFound")</f>
        <v>0</v>
      </c>
      <c r="F293" s="6" t="str">
        <f t="shared" si="4"/>
        <v>Matching</v>
      </c>
    </row>
    <row r="294" spans="1:6" x14ac:dyDescent="0.35">
      <c r="A294" s="5" t="s">
        <v>945</v>
      </c>
      <c r="B294" s="6">
        <v>0</v>
      </c>
      <c r="D294" s="6">
        <f>IF(COUNTIF(Sheet4!A:A,A294)&gt;0,VLOOKUP(A294,Sheet4!A:B,2,FALSE),"NotFound")</f>
        <v>0</v>
      </c>
      <c r="F294" s="6" t="str">
        <f t="shared" si="4"/>
        <v>Matching</v>
      </c>
    </row>
    <row r="295" spans="1:6" x14ac:dyDescent="0.35">
      <c r="A295" s="5" t="s">
        <v>946</v>
      </c>
      <c r="B295" s="6">
        <v>0</v>
      </c>
      <c r="D295" s="6">
        <f>IF(COUNTIF(Sheet4!A:A,A295)&gt;0,VLOOKUP(A295,Sheet4!A:B,2,FALSE),"NotFound")</f>
        <v>0</v>
      </c>
      <c r="F295" s="6" t="str">
        <f t="shared" si="4"/>
        <v>Matching</v>
      </c>
    </row>
    <row r="296" spans="1:6" x14ac:dyDescent="0.35">
      <c r="A296" s="5" t="s">
        <v>947</v>
      </c>
      <c r="B296" s="6">
        <v>0</v>
      </c>
      <c r="D296" s="6">
        <f>IF(COUNTIF(Sheet4!A:A,A296)&gt;0,VLOOKUP(A296,Sheet4!A:B,2,FALSE),"NotFound")</f>
        <v>0</v>
      </c>
      <c r="F296" s="6" t="str">
        <f t="shared" si="4"/>
        <v>Matching</v>
      </c>
    </row>
    <row r="297" spans="1:6" x14ac:dyDescent="0.35">
      <c r="A297" s="5" t="s">
        <v>941</v>
      </c>
      <c r="B297" s="6">
        <v>0</v>
      </c>
      <c r="D297" s="6">
        <f>IF(COUNTIF(Sheet4!A:A,A297)&gt;0,VLOOKUP(A297,Sheet4!A:B,2,FALSE),"NotFound")</f>
        <v>0</v>
      </c>
      <c r="F297" s="6" t="str">
        <f t="shared" si="4"/>
        <v>Matching</v>
      </c>
    </row>
    <row r="298" spans="1:6" x14ac:dyDescent="0.35">
      <c r="A298" s="5" t="s">
        <v>929</v>
      </c>
      <c r="B298" s="6">
        <v>0</v>
      </c>
      <c r="D298" s="6">
        <f>IF(COUNTIF(Sheet4!A:A,A298)&gt;0,VLOOKUP(A298,Sheet4!A:B,2,FALSE),"NotFound")</f>
        <v>0</v>
      </c>
      <c r="F298" s="6" t="str">
        <f t="shared" si="4"/>
        <v>Matching</v>
      </c>
    </row>
    <row r="299" spans="1:6" x14ac:dyDescent="0.35">
      <c r="A299" s="5" t="s">
        <v>930</v>
      </c>
      <c r="B299" s="6">
        <v>0</v>
      </c>
      <c r="D299" s="6">
        <f>IF(COUNTIF(Sheet4!A:A,A299)&gt;0,VLOOKUP(A299,Sheet4!A:B,2,FALSE),"NotFound")</f>
        <v>0</v>
      </c>
      <c r="F299" s="6" t="str">
        <f t="shared" si="4"/>
        <v>Matching</v>
      </c>
    </row>
    <row r="300" spans="1:6" x14ac:dyDescent="0.35">
      <c r="A300" s="5" t="s">
        <v>942</v>
      </c>
      <c r="B300" s="6">
        <v>0</v>
      </c>
      <c r="D300" s="6">
        <f>IF(COUNTIF(Sheet4!A:A,A300)&gt;0,VLOOKUP(A300,Sheet4!A:B,2,FALSE),"NotFound")</f>
        <v>0</v>
      </c>
      <c r="F300" s="6" t="str">
        <f t="shared" si="4"/>
        <v>Matching</v>
      </c>
    </row>
    <row r="301" spans="1:6" x14ac:dyDescent="0.35">
      <c r="A301" s="5" t="s">
        <v>931</v>
      </c>
      <c r="B301" s="6">
        <v>0</v>
      </c>
      <c r="D301" s="6">
        <f>IF(COUNTIF(Sheet4!A:A,A301)&gt;0,VLOOKUP(A301,Sheet4!A:B,2,FALSE),"NotFound")</f>
        <v>0</v>
      </c>
      <c r="F301" s="6" t="str">
        <f t="shared" si="4"/>
        <v>Matching</v>
      </c>
    </row>
    <row r="302" spans="1:6" x14ac:dyDescent="0.35">
      <c r="A302" s="5" t="s">
        <v>932</v>
      </c>
      <c r="B302" s="6">
        <v>0</v>
      </c>
      <c r="D302" s="6">
        <f>IF(COUNTIF(Sheet4!A:A,A302)&gt;0,VLOOKUP(A302,Sheet4!A:B,2,FALSE),"NotFound")</f>
        <v>0</v>
      </c>
      <c r="F302" s="6" t="str">
        <f t="shared" si="4"/>
        <v>Matching</v>
      </c>
    </row>
    <row r="303" spans="1:6" x14ac:dyDescent="0.35">
      <c r="A303" s="5" t="s">
        <v>933</v>
      </c>
      <c r="B303" s="6">
        <v>0</v>
      </c>
      <c r="D303" s="6">
        <f>IF(COUNTIF(Sheet4!A:A,A303)&gt;0,VLOOKUP(A303,Sheet4!A:B,2,FALSE),"NotFound")</f>
        <v>0</v>
      </c>
      <c r="F303" s="6" t="str">
        <f t="shared" si="4"/>
        <v>Matching</v>
      </c>
    </row>
    <row r="304" spans="1:6" x14ac:dyDescent="0.35">
      <c r="A304" s="5" t="s">
        <v>934</v>
      </c>
      <c r="B304" s="6">
        <v>0</v>
      </c>
      <c r="D304" s="6">
        <f>IF(COUNTIF(Sheet4!A:A,A304)&gt;0,VLOOKUP(A304,Sheet4!A:B,2,FALSE),"NotFound")</f>
        <v>0</v>
      </c>
      <c r="F304" s="6" t="str">
        <f t="shared" si="4"/>
        <v>Matching</v>
      </c>
    </row>
    <row r="305" spans="1:6" x14ac:dyDescent="0.35">
      <c r="A305" s="5" t="s">
        <v>935</v>
      </c>
      <c r="B305" s="6">
        <v>0</v>
      </c>
      <c r="D305" s="6">
        <f>IF(COUNTIF(Sheet4!A:A,A305)&gt;0,VLOOKUP(A305,Sheet4!A:B,2,FALSE),"NotFound")</f>
        <v>0</v>
      </c>
      <c r="F305" s="6" t="str">
        <f t="shared" si="4"/>
        <v>Matching</v>
      </c>
    </row>
    <row r="306" spans="1:6" x14ac:dyDescent="0.35">
      <c r="A306" s="5" t="s">
        <v>936</v>
      </c>
      <c r="B306" s="6">
        <v>0</v>
      </c>
      <c r="D306" s="6">
        <f>IF(COUNTIF(Sheet4!A:A,A306)&gt;0,VLOOKUP(A306,Sheet4!A:B,2,FALSE),"NotFound")</f>
        <v>0</v>
      </c>
      <c r="F306" s="6" t="str">
        <f t="shared" si="4"/>
        <v>Matching</v>
      </c>
    </row>
    <row r="307" spans="1:6" x14ac:dyDescent="0.35">
      <c r="A307" s="5" t="s">
        <v>937</v>
      </c>
      <c r="B307" s="6">
        <v>0</v>
      </c>
      <c r="D307" s="6">
        <f>IF(COUNTIF(Sheet4!A:A,A307)&gt;0,VLOOKUP(A307,Sheet4!A:B,2,FALSE),"NotFound")</f>
        <v>0</v>
      </c>
      <c r="F307" s="6" t="str">
        <f t="shared" si="4"/>
        <v>Matching</v>
      </c>
    </row>
    <row r="308" spans="1:6" x14ac:dyDescent="0.35">
      <c r="A308" s="5" t="s">
        <v>938</v>
      </c>
      <c r="B308" s="6">
        <v>0</v>
      </c>
      <c r="D308" s="6">
        <f>IF(COUNTIF(Sheet4!A:A,A308)&gt;0,VLOOKUP(A308,Sheet4!A:B,2,FALSE),"NotFound")</f>
        <v>0</v>
      </c>
      <c r="F308" s="6" t="str">
        <f t="shared" si="4"/>
        <v>Matching</v>
      </c>
    </row>
    <row r="309" spans="1:6" x14ac:dyDescent="0.35">
      <c r="A309" s="5" t="s">
        <v>948</v>
      </c>
      <c r="B309" s="6">
        <v>0</v>
      </c>
      <c r="D309" s="6">
        <f>IF(COUNTIF(Sheet4!A:A,A309)&gt;0,VLOOKUP(A309,Sheet4!A:B,2,FALSE),"NotFound")</f>
        <v>0</v>
      </c>
      <c r="F309" s="6" t="str">
        <f t="shared" si="4"/>
        <v>Matching</v>
      </c>
    </row>
    <row r="310" spans="1:6" x14ac:dyDescent="0.35">
      <c r="A310" s="5" t="s">
        <v>981</v>
      </c>
      <c r="B310" s="6">
        <v>0</v>
      </c>
      <c r="D310" s="6">
        <f>IF(COUNTIF(Sheet4!A:A,A310)&gt;0,VLOOKUP(A310,Sheet4!A:B,2,FALSE),"NotFound")</f>
        <v>0</v>
      </c>
      <c r="F310" s="6" t="str">
        <f t="shared" si="4"/>
        <v>Matching</v>
      </c>
    </row>
    <row r="311" spans="1:6" x14ac:dyDescent="0.35">
      <c r="A311" s="5" t="s">
        <v>1099</v>
      </c>
      <c r="B311" s="6">
        <v>0</v>
      </c>
      <c r="D311" s="6">
        <f>IF(COUNTIF(Sheet4!A:A,A311)&gt;0,VLOOKUP(A311,Sheet4!A:B,2,FALSE),"NotFound")</f>
        <v>0</v>
      </c>
      <c r="F311" s="6" t="str">
        <f t="shared" si="4"/>
        <v>Matching</v>
      </c>
    </row>
    <row r="312" spans="1:6" x14ac:dyDescent="0.35">
      <c r="A312" s="5" t="s">
        <v>1097</v>
      </c>
      <c r="B312" s="6">
        <v>0</v>
      </c>
      <c r="D312" s="6">
        <f>IF(COUNTIF(Sheet4!A:A,A312)&gt;0,VLOOKUP(A312,Sheet4!A:B,2,FALSE),"NotFound")</f>
        <v>0</v>
      </c>
      <c r="F312" s="6" t="str">
        <f t="shared" si="4"/>
        <v>Matching</v>
      </c>
    </row>
    <row r="313" spans="1:6" x14ac:dyDescent="0.35">
      <c r="A313" s="5" t="s">
        <v>1100</v>
      </c>
      <c r="B313" s="6">
        <v>0</v>
      </c>
      <c r="D313" s="6">
        <f>IF(COUNTIF(Sheet4!A:A,A313)&gt;0,VLOOKUP(A313,Sheet4!A:B,2,FALSE),"NotFound")</f>
        <v>0</v>
      </c>
      <c r="F313" s="6" t="str">
        <f t="shared" si="4"/>
        <v>Matching</v>
      </c>
    </row>
    <row r="314" spans="1:6" x14ac:dyDescent="0.35">
      <c r="A314" s="5" t="s">
        <v>1104</v>
      </c>
      <c r="B314" s="6">
        <v>0</v>
      </c>
      <c r="D314" s="6">
        <f>IF(COUNTIF(Sheet4!A:A,A314)&gt;0,VLOOKUP(A314,Sheet4!A:B,2,FALSE),"NotFound")</f>
        <v>0</v>
      </c>
      <c r="F314" s="6" t="str">
        <f t="shared" si="4"/>
        <v>Matching</v>
      </c>
    </row>
    <row r="315" spans="1:6" x14ac:dyDescent="0.35">
      <c r="A315" s="5" t="s">
        <v>1102</v>
      </c>
      <c r="B315" s="6">
        <v>0</v>
      </c>
      <c r="D315" s="6">
        <f>IF(COUNTIF(Sheet4!A:A,A315)&gt;0,VLOOKUP(A315,Sheet4!A:B,2,FALSE),"NotFound")</f>
        <v>0</v>
      </c>
      <c r="F315" s="6" t="str">
        <f t="shared" si="4"/>
        <v>Matching</v>
      </c>
    </row>
    <row r="316" spans="1:6" x14ac:dyDescent="0.35">
      <c r="A316" s="5" t="s">
        <v>1095</v>
      </c>
      <c r="B316" s="6">
        <v>0</v>
      </c>
      <c r="D316" s="6">
        <f>IF(COUNTIF(Sheet4!A:A,A316)&gt;0,VLOOKUP(A316,Sheet4!A:B,2,FALSE),"NotFound")</f>
        <v>0</v>
      </c>
      <c r="F316" s="6" t="str">
        <f t="shared" si="4"/>
        <v>Matching</v>
      </c>
    </row>
    <row r="317" spans="1:6" x14ac:dyDescent="0.35">
      <c r="A317" s="5" t="s">
        <v>1103</v>
      </c>
      <c r="B317" s="6">
        <v>0</v>
      </c>
      <c r="D317" s="6">
        <f>IF(COUNTIF(Sheet4!A:A,A317)&gt;0,VLOOKUP(A317,Sheet4!A:B,2,FALSE),"NotFound")</f>
        <v>0</v>
      </c>
      <c r="F317" s="6" t="str">
        <f t="shared" si="4"/>
        <v>Matching</v>
      </c>
    </row>
    <row r="318" spans="1:6" x14ac:dyDescent="0.35">
      <c r="A318" s="5" t="s">
        <v>1098</v>
      </c>
      <c r="B318" s="6">
        <v>0</v>
      </c>
      <c r="D318" s="6">
        <f>IF(COUNTIF(Sheet4!A:A,A318)&gt;0,VLOOKUP(A318,Sheet4!A:B,2,FALSE),"NotFound")</f>
        <v>0</v>
      </c>
      <c r="F318" s="6" t="str">
        <f t="shared" si="4"/>
        <v>Matching</v>
      </c>
    </row>
    <row r="319" spans="1:6" x14ac:dyDescent="0.35">
      <c r="A319" s="5" t="s">
        <v>1096</v>
      </c>
      <c r="B319" s="6">
        <v>0</v>
      </c>
      <c r="D319" s="6">
        <f>IF(COUNTIF(Sheet4!A:A,A319)&gt;0,VLOOKUP(A319,Sheet4!A:B,2,FALSE),"NotFound")</f>
        <v>0</v>
      </c>
      <c r="F319" s="6" t="str">
        <f t="shared" si="4"/>
        <v>Matching</v>
      </c>
    </row>
    <row r="320" spans="1:6" x14ac:dyDescent="0.35">
      <c r="A320" s="5" t="s">
        <v>1105</v>
      </c>
      <c r="B320" s="6">
        <v>0</v>
      </c>
      <c r="D320" s="6">
        <f>IF(COUNTIF(Sheet4!A:A,A320)&gt;0,VLOOKUP(A320,Sheet4!A:B,2,FALSE),"NotFound")</f>
        <v>0</v>
      </c>
      <c r="F320" s="6" t="str">
        <f t="shared" si="4"/>
        <v>Matching</v>
      </c>
    </row>
    <row r="321" spans="1:6" x14ac:dyDescent="0.35">
      <c r="A321" s="5" t="s">
        <v>1106</v>
      </c>
      <c r="B321" s="6">
        <v>0</v>
      </c>
      <c r="D321" s="6">
        <f>IF(COUNTIF(Sheet4!A:A,A321)&gt;0,VLOOKUP(A321,Sheet4!A:B,2,FALSE),"NotFound")</f>
        <v>0</v>
      </c>
      <c r="F321" s="6" t="str">
        <f t="shared" si="4"/>
        <v>Matching</v>
      </c>
    </row>
    <row r="322" spans="1:6" x14ac:dyDescent="0.35">
      <c r="A322" s="5" t="s">
        <v>1094</v>
      </c>
      <c r="B322" s="6">
        <v>0</v>
      </c>
      <c r="D322" s="6">
        <f>IF(COUNTIF(Sheet4!A:A,A322)&gt;0,VLOOKUP(A322,Sheet4!A:B,2,FALSE),"NotFound")</f>
        <v>0</v>
      </c>
      <c r="F322" s="6" t="str">
        <f t="shared" si="4"/>
        <v>Matching</v>
      </c>
    </row>
    <row r="323" spans="1:6" x14ac:dyDescent="0.35">
      <c r="A323" s="5" t="s">
        <v>1101</v>
      </c>
      <c r="B323" s="6">
        <v>0</v>
      </c>
      <c r="D323" s="6">
        <f>IF(COUNTIF(Sheet4!A:A,A323)&gt;0,VLOOKUP(A323,Sheet4!A:B,2,FALSE),"NotFound")</f>
        <v>0</v>
      </c>
      <c r="F323" s="6" t="str">
        <f t="shared" ref="F323:F386" si="5">IF(B323=D323,"Matching","mis match")</f>
        <v>Matching</v>
      </c>
    </row>
    <row r="324" spans="1:6" x14ac:dyDescent="0.35">
      <c r="A324" s="5" t="s">
        <v>1064</v>
      </c>
      <c r="B324" s="6">
        <v>0</v>
      </c>
      <c r="D324" s="6">
        <f>IF(COUNTIF(Sheet4!A:A,A324)&gt;0,VLOOKUP(A324,Sheet4!A:B,2,FALSE),"NotFound")</f>
        <v>0</v>
      </c>
      <c r="F324" s="6" t="str">
        <f t="shared" si="5"/>
        <v>Matching</v>
      </c>
    </row>
    <row r="325" spans="1:6" x14ac:dyDescent="0.35">
      <c r="A325" s="5" t="s">
        <v>1022</v>
      </c>
      <c r="B325" s="6">
        <v>0</v>
      </c>
      <c r="D325" s="6">
        <f>IF(COUNTIF(Sheet4!A:A,A325)&gt;0,VLOOKUP(A325,Sheet4!A:B,2,FALSE),"NotFound")</f>
        <v>0</v>
      </c>
      <c r="F325" s="6" t="str">
        <f t="shared" si="5"/>
        <v>Matching</v>
      </c>
    </row>
    <row r="326" spans="1:6" x14ac:dyDescent="0.35">
      <c r="A326" s="5" t="s">
        <v>801</v>
      </c>
      <c r="B326" s="6">
        <v>0</v>
      </c>
      <c r="D326" s="6">
        <f>IF(COUNTIF(Sheet4!A:A,A326)&gt;0,VLOOKUP(A326,Sheet4!A:B,2,FALSE),"NotFound")</f>
        <v>0</v>
      </c>
      <c r="F326" s="6" t="str">
        <f t="shared" si="5"/>
        <v>Matching</v>
      </c>
    </row>
    <row r="327" spans="1:6" x14ac:dyDescent="0.35">
      <c r="A327" s="5" t="s">
        <v>799</v>
      </c>
      <c r="B327" s="6">
        <v>0</v>
      </c>
      <c r="D327" s="6">
        <f>IF(COUNTIF(Sheet4!A:A,A327)&gt;0,VLOOKUP(A327,Sheet4!A:B,2,FALSE),"NotFound")</f>
        <v>0</v>
      </c>
      <c r="F327" s="6" t="str">
        <f t="shared" si="5"/>
        <v>Matching</v>
      </c>
    </row>
    <row r="328" spans="1:6" x14ac:dyDescent="0.35">
      <c r="A328" s="5" t="s">
        <v>798</v>
      </c>
      <c r="B328" s="6">
        <v>0</v>
      </c>
      <c r="D328" s="6">
        <f>IF(COUNTIF(Sheet4!A:A,A328)&gt;0,VLOOKUP(A328,Sheet4!A:B,2,FALSE),"NotFound")</f>
        <v>0</v>
      </c>
      <c r="F328" s="6" t="str">
        <f t="shared" si="5"/>
        <v>Matching</v>
      </c>
    </row>
    <row r="329" spans="1:6" x14ac:dyDescent="0.35">
      <c r="A329" s="5" t="s">
        <v>1126</v>
      </c>
      <c r="B329" s="6">
        <v>0</v>
      </c>
      <c r="D329" s="6">
        <f>IF(COUNTIF(Sheet4!A:A,A329)&gt;0,VLOOKUP(A329,Sheet4!A:B,2,FALSE),"NotFound")</f>
        <v>0</v>
      </c>
      <c r="F329" s="6" t="str">
        <f t="shared" si="5"/>
        <v>Matching</v>
      </c>
    </row>
    <row r="330" spans="1:6" x14ac:dyDescent="0.35">
      <c r="A330" s="5" t="s">
        <v>1127</v>
      </c>
      <c r="B330" s="6">
        <v>0</v>
      </c>
      <c r="D330" s="6">
        <f>IF(COUNTIF(Sheet4!A:A,A330)&gt;0,VLOOKUP(A330,Sheet4!A:B,2,FALSE),"NotFound")</f>
        <v>0</v>
      </c>
      <c r="F330" s="6" t="str">
        <f t="shared" si="5"/>
        <v>Matching</v>
      </c>
    </row>
    <row r="331" spans="1:6" x14ac:dyDescent="0.35">
      <c r="A331" s="5" t="s">
        <v>1128</v>
      </c>
      <c r="B331" s="6">
        <v>0</v>
      </c>
      <c r="D331" s="6">
        <f>IF(COUNTIF(Sheet4!A:A,A331)&gt;0,VLOOKUP(A331,Sheet4!A:B,2,FALSE),"NotFound")</f>
        <v>0</v>
      </c>
      <c r="F331" s="6" t="str">
        <f t="shared" si="5"/>
        <v>Matching</v>
      </c>
    </row>
    <row r="332" spans="1:6" x14ac:dyDescent="0.35">
      <c r="A332" s="5" t="s">
        <v>1130</v>
      </c>
      <c r="B332" s="6">
        <v>0</v>
      </c>
      <c r="D332" s="6">
        <f>IF(COUNTIF(Sheet4!A:A,A332)&gt;0,VLOOKUP(A332,Sheet4!A:B,2,FALSE),"NotFound")</f>
        <v>0</v>
      </c>
      <c r="F332" s="6" t="str">
        <f t="shared" si="5"/>
        <v>Matching</v>
      </c>
    </row>
    <row r="333" spans="1:6" x14ac:dyDescent="0.35">
      <c r="A333" s="5" t="s">
        <v>1114</v>
      </c>
      <c r="B333" s="6">
        <v>0</v>
      </c>
      <c r="D333" s="6">
        <f>IF(COUNTIF(Sheet4!A:A,A333)&gt;0,VLOOKUP(A333,Sheet4!A:B,2,FALSE),"NotFound")</f>
        <v>0</v>
      </c>
      <c r="F333" s="6" t="str">
        <f t="shared" si="5"/>
        <v>Matching</v>
      </c>
    </row>
    <row r="334" spans="1:6" x14ac:dyDescent="0.35">
      <c r="A334" s="5" t="s">
        <v>1115</v>
      </c>
      <c r="B334" s="6">
        <v>0</v>
      </c>
      <c r="D334" s="6">
        <f>IF(COUNTIF(Sheet4!A:A,A334)&gt;0,VLOOKUP(A334,Sheet4!A:B,2,FALSE),"NotFound")</f>
        <v>0</v>
      </c>
      <c r="F334" s="6" t="str">
        <f t="shared" si="5"/>
        <v>Matching</v>
      </c>
    </row>
    <row r="335" spans="1:6" x14ac:dyDescent="0.35">
      <c r="A335" s="5" t="s">
        <v>982</v>
      </c>
      <c r="B335" s="6">
        <v>87300</v>
      </c>
      <c r="D335" s="6">
        <f>IF(COUNTIF(Sheet4!A:A,A335)&gt;0,VLOOKUP(A335,Sheet4!A:B,2,FALSE),"NotFound")</f>
        <v>87300</v>
      </c>
      <c r="F335" s="6" t="str">
        <f t="shared" si="5"/>
        <v>Matching</v>
      </c>
    </row>
    <row r="336" spans="1:6" x14ac:dyDescent="0.35">
      <c r="A336" s="5" t="s">
        <v>978</v>
      </c>
      <c r="B336" s="6">
        <v>89288</v>
      </c>
      <c r="D336" s="6">
        <f>IF(COUNTIF(Sheet4!A:A,A336)&gt;0,VLOOKUP(A336,Sheet4!A:B,2,FALSE),"NotFound")</f>
        <v>89288</v>
      </c>
      <c r="F336" s="6" t="str">
        <f t="shared" si="5"/>
        <v>Matching</v>
      </c>
    </row>
    <row r="337" spans="1:6" x14ac:dyDescent="0.35">
      <c r="A337" s="5" t="s">
        <v>980</v>
      </c>
      <c r="B337" s="6">
        <v>0</v>
      </c>
      <c r="D337" s="6">
        <f>IF(COUNTIF(Sheet4!A:A,A337)&gt;0,VLOOKUP(A337,Sheet4!A:B,2,FALSE),"NotFound")</f>
        <v>0</v>
      </c>
      <c r="F337" s="6" t="str">
        <f t="shared" si="5"/>
        <v>Matching</v>
      </c>
    </row>
    <row r="338" spans="1:6" x14ac:dyDescent="0.35">
      <c r="A338" s="5" t="s">
        <v>977</v>
      </c>
      <c r="B338" s="6">
        <v>13174395</v>
      </c>
      <c r="D338" s="6">
        <f>IF(COUNTIF(Sheet4!A:A,A338)&gt;0,VLOOKUP(A338,Sheet4!A:B,2,FALSE),"NotFound")</f>
        <v>13174395</v>
      </c>
      <c r="F338" s="6" t="str">
        <f t="shared" si="5"/>
        <v>Matching</v>
      </c>
    </row>
    <row r="339" spans="1:6" x14ac:dyDescent="0.35">
      <c r="A339" s="5" t="s">
        <v>979</v>
      </c>
      <c r="B339" s="6">
        <v>0</v>
      </c>
      <c r="D339" s="6">
        <f>IF(COUNTIF(Sheet4!A:A,A339)&gt;0,VLOOKUP(A339,Sheet4!A:B,2,FALSE),"NotFound")</f>
        <v>0</v>
      </c>
      <c r="F339" s="6" t="str">
        <f t="shared" si="5"/>
        <v>Matching</v>
      </c>
    </row>
    <row r="340" spans="1:6" x14ac:dyDescent="0.35">
      <c r="A340" s="5" t="s">
        <v>983</v>
      </c>
      <c r="B340" s="6">
        <v>3889350</v>
      </c>
      <c r="D340" s="6">
        <f>IF(COUNTIF(Sheet4!A:A,A340)&gt;0,VLOOKUP(A340,Sheet4!A:B,2,FALSE),"NotFound")</f>
        <v>3889350</v>
      </c>
      <c r="F340" s="6" t="str">
        <f t="shared" si="5"/>
        <v>Matching</v>
      </c>
    </row>
    <row r="341" spans="1:6" x14ac:dyDescent="0.35">
      <c r="A341" s="5" t="s">
        <v>695</v>
      </c>
      <c r="B341" s="6">
        <v>0</v>
      </c>
      <c r="D341" s="6">
        <f>IF(COUNTIF(Sheet4!A:A,A341)&gt;0,VLOOKUP(A341,Sheet4!A:B,2,FALSE),"NotFound")</f>
        <v>0</v>
      </c>
      <c r="F341" s="6" t="str">
        <f t="shared" si="5"/>
        <v>Matching</v>
      </c>
    </row>
    <row r="342" spans="1:6" x14ac:dyDescent="0.35">
      <c r="A342" s="5" t="s">
        <v>1124</v>
      </c>
      <c r="B342" s="6">
        <v>0</v>
      </c>
      <c r="D342" s="6">
        <f>IF(COUNTIF(Sheet4!A:A,A342)&gt;0,VLOOKUP(A342,Sheet4!A:B,2,FALSE),"NotFound")</f>
        <v>0</v>
      </c>
      <c r="F342" s="6" t="str">
        <f t="shared" si="5"/>
        <v>Matching</v>
      </c>
    </row>
    <row r="343" spans="1:6" x14ac:dyDescent="0.35">
      <c r="A343" s="5" t="s">
        <v>657</v>
      </c>
      <c r="B343" s="6">
        <v>892</v>
      </c>
      <c r="D343" s="6">
        <f>IF(COUNTIF(Sheet4!A:A,A343)&gt;0,VLOOKUP(A343,Sheet4!A:B,2,FALSE),"NotFound")</f>
        <v>892</v>
      </c>
      <c r="F343" s="6" t="str">
        <f t="shared" si="5"/>
        <v>Matching</v>
      </c>
    </row>
    <row r="344" spans="1:6" x14ac:dyDescent="0.35">
      <c r="A344" s="5" t="s">
        <v>653</v>
      </c>
      <c r="B344" s="6">
        <v>402580</v>
      </c>
      <c r="D344" s="6">
        <f>IF(COUNTIF(Sheet4!A:A,A344)&gt;0,VLOOKUP(A344,Sheet4!A:B,2,FALSE),"NotFound")</f>
        <v>402580</v>
      </c>
      <c r="F344" s="6" t="str">
        <f t="shared" si="5"/>
        <v>Matching</v>
      </c>
    </row>
    <row r="345" spans="1:6" x14ac:dyDescent="0.35">
      <c r="A345" s="5" t="s">
        <v>986</v>
      </c>
      <c r="B345" s="6">
        <v>27173</v>
      </c>
      <c r="D345" s="6">
        <f>IF(COUNTIF(Sheet4!A:A,A345)&gt;0,VLOOKUP(A345,Sheet4!A:B,2,FALSE),"NotFound")</f>
        <v>27173</v>
      </c>
      <c r="F345" s="6" t="str">
        <f t="shared" si="5"/>
        <v>Matching</v>
      </c>
    </row>
    <row r="346" spans="1:6" x14ac:dyDescent="0.35">
      <c r="A346" s="5" t="s">
        <v>988</v>
      </c>
      <c r="B346" s="6">
        <v>27173</v>
      </c>
      <c r="D346" s="6">
        <f>IF(COUNTIF(Sheet4!A:A,A346)&gt;0,VLOOKUP(A346,Sheet4!A:B,2,FALSE),"NotFound")</f>
        <v>27173</v>
      </c>
      <c r="F346" s="6" t="str">
        <f t="shared" si="5"/>
        <v>Matching</v>
      </c>
    </row>
    <row r="347" spans="1:6" x14ac:dyDescent="0.35">
      <c r="A347" s="5" t="s">
        <v>992</v>
      </c>
      <c r="B347" s="6">
        <v>9771</v>
      </c>
      <c r="D347" s="6">
        <f>IF(COUNTIF(Sheet4!A:A,A347)&gt;0,VLOOKUP(A347,Sheet4!A:B,2,FALSE),"NotFound")</f>
        <v>9771</v>
      </c>
      <c r="F347" s="6" t="str">
        <f t="shared" si="5"/>
        <v>Matching</v>
      </c>
    </row>
    <row r="348" spans="1:6" x14ac:dyDescent="0.35">
      <c r="A348" s="5" t="s">
        <v>1008</v>
      </c>
      <c r="B348" s="6">
        <v>8919</v>
      </c>
      <c r="D348" s="6">
        <f>IF(COUNTIF(Sheet4!A:A,A348)&gt;0,VLOOKUP(A348,Sheet4!A:B,2,FALSE),"NotFound")</f>
        <v>8919</v>
      </c>
      <c r="F348" s="6" t="str">
        <f t="shared" si="5"/>
        <v>Matching</v>
      </c>
    </row>
    <row r="349" spans="1:6" x14ac:dyDescent="0.35">
      <c r="A349" s="5" t="s">
        <v>1073</v>
      </c>
      <c r="B349" s="6">
        <v>100</v>
      </c>
      <c r="D349" s="6">
        <f>IF(COUNTIF(Sheet4!A:A,A349)&gt;0,VLOOKUP(A349,Sheet4!A:B,2,FALSE),"NotFound")</f>
        <v>100</v>
      </c>
      <c r="F349" s="6" t="str">
        <f t="shared" si="5"/>
        <v>Matching</v>
      </c>
    </row>
    <row r="350" spans="1:6" x14ac:dyDescent="0.35">
      <c r="A350" s="5" t="s">
        <v>1023</v>
      </c>
      <c r="B350" s="6">
        <v>0</v>
      </c>
      <c r="D350" s="6">
        <f>IF(COUNTIF(Sheet4!A:A,A350)&gt;0,VLOOKUP(A350,Sheet4!A:B,2,FALSE),"NotFound")</f>
        <v>0</v>
      </c>
      <c r="F350" s="6" t="str">
        <f t="shared" si="5"/>
        <v>Matching</v>
      </c>
    </row>
    <row r="351" spans="1:6" x14ac:dyDescent="0.35">
      <c r="A351" s="5" t="s">
        <v>1024</v>
      </c>
      <c r="B351" s="6">
        <v>0</v>
      </c>
      <c r="D351" s="6">
        <f>IF(COUNTIF(Sheet4!A:A,A351)&gt;0,VLOOKUP(A351,Sheet4!A:B,2,FALSE),"NotFound")</f>
        <v>0</v>
      </c>
      <c r="F351" s="6" t="str">
        <f t="shared" si="5"/>
        <v>Matching</v>
      </c>
    </row>
    <row r="352" spans="1:6" x14ac:dyDescent="0.35">
      <c r="A352" s="5" t="s">
        <v>1025</v>
      </c>
      <c r="B352" s="6">
        <v>0</v>
      </c>
      <c r="D352" s="6">
        <f>IF(COUNTIF(Sheet4!A:A,A352)&gt;0,VLOOKUP(A352,Sheet4!A:B,2,FALSE),"NotFound")</f>
        <v>0</v>
      </c>
      <c r="F352" s="6" t="str">
        <f t="shared" si="5"/>
        <v>Matching</v>
      </c>
    </row>
    <row r="353" spans="1:6" x14ac:dyDescent="0.35">
      <c r="A353" s="5" t="s">
        <v>1026</v>
      </c>
      <c r="B353" s="6">
        <v>0</v>
      </c>
      <c r="D353" s="6">
        <f>IF(COUNTIF(Sheet4!A:A,A353)&gt;0,VLOOKUP(A353,Sheet4!A:B,2,FALSE),"NotFound")</f>
        <v>0</v>
      </c>
      <c r="F353" s="6" t="str">
        <f t="shared" si="5"/>
        <v>Matching</v>
      </c>
    </row>
    <row r="354" spans="1:6" x14ac:dyDescent="0.35">
      <c r="A354" s="5" t="s">
        <v>1027</v>
      </c>
      <c r="B354" s="6">
        <v>0</v>
      </c>
      <c r="D354" s="6">
        <f>IF(COUNTIF(Sheet4!A:A,A354)&gt;0,VLOOKUP(A354,Sheet4!A:B,2,FALSE),"NotFound")</f>
        <v>0</v>
      </c>
      <c r="F354" s="6" t="str">
        <f t="shared" si="5"/>
        <v>Matching</v>
      </c>
    </row>
    <row r="355" spans="1:6" x14ac:dyDescent="0.35">
      <c r="A355" s="5" t="s">
        <v>1028</v>
      </c>
      <c r="B355" s="6">
        <v>0</v>
      </c>
      <c r="D355" s="6">
        <f>IF(COUNTIF(Sheet4!A:A,A355)&gt;0,VLOOKUP(A355,Sheet4!A:B,2,FALSE),"NotFound")</f>
        <v>0</v>
      </c>
      <c r="F355" s="6" t="str">
        <f t="shared" si="5"/>
        <v>Matching</v>
      </c>
    </row>
    <row r="356" spans="1:6" x14ac:dyDescent="0.35">
      <c r="A356" s="5" t="s">
        <v>1030</v>
      </c>
      <c r="B356" s="6">
        <v>0</v>
      </c>
      <c r="D356" s="6">
        <f>IF(COUNTIF(Sheet4!A:A,A356)&gt;0,VLOOKUP(A356,Sheet4!A:B,2,FALSE),"NotFound")</f>
        <v>0</v>
      </c>
      <c r="F356" s="6" t="str">
        <f t="shared" si="5"/>
        <v>Matching</v>
      </c>
    </row>
    <row r="357" spans="1:6" x14ac:dyDescent="0.35">
      <c r="A357" s="5" t="s">
        <v>1029</v>
      </c>
      <c r="B357" s="6">
        <v>0</v>
      </c>
      <c r="D357" s="6">
        <f>IF(COUNTIF(Sheet4!A:A,A357)&gt;0,VLOOKUP(A357,Sheet4!A:B,2,FALSE),"NotFound")</f>
        <v>0</v>
      </c>
      <c r="F357" s="6" t="str">
        <f t="shared" si="5"/>
        <v>Matching</v>
      </c>
    </row>
    <row r="358" spans="1:6" x14ac:dyDescent="0.35">
      <c r="A358" s="5" t="s">
        <v>1031</v>
      </c>
      <c r="B358" s="6">
        <v>0</v>
      </c>
      <c r="D358" s="6">
        <f>IF(COUNTIF(Sheet4!A:A,A358)&gt;0,VLOOKUP(A358,Sheet4!A:B,2,FALSE),"NotFound")</f>
        <v>0</v>
      </c>
      <c r="F358" s="6" t="str">
        <f t="shared" si="5"/>
        <v>Matching</v>
      </c>
    </row>
    <row r="359" spans="1:6" x14ac:dyDescent="0.35">
      <c r="A359" s="5" t="s">
        <v>1032</v>
      </c>
      <c r="B359" s="6">
        <v>0</v>
      </c>
      <c r="D359" s="6">
        <f>IF(COUNTIF(Sheet4!A:A,A359)&gt;0,VLOOKUP(A359,Sheet4!A:B,2,FALSE),"NotFound")</f>
        <v>0</v>
      </c>
      <c r="F359" s="6" t="str">
        <f t="shared" si="5"/>
        <v>Matching</v>
      </c>
    </row>
    <row r="360" spans="1:6" x14ac:dyDescent="0.35">
      <c r="A360" s="5" t="s">
        <v>1033</v>
      </c>
      <c r="B360" s="6">
        <v>0</v>
      </c>
      <c r="D360" s="6">
        <f>IF(COUNTIF(Sheet4!A:A,A360)&gt;0,VLOOKUP(A360,Sheet4!A:B,2,FALSE),"NotFound")</f>
        <v>0</v>
      </c>
      <c r="F360" s="6" t="str">
        <f t="shared" si="5"/>
        <v>Matching</v>
      </c>
    </row>
    <row r="361" spans="1:6" x14ac:dyDescent="0.35">
      <c r="A361" s="5" t="s">
        <v>1035</v>
      </c>
      <c r="B361" s="6">
        <v>0</v>
      </c>
      <c r="D361" s="6">
        <f>IF(COUNTIF(Sheet4!A:A,A361)&gt;0,VLOOKUP(A361,Sheet4!A:B,2,FALSE),"NotFound")</f>
        <v>0</v>
      </c>
      <c r="F361" s="6" t="str">
        <f t="shared" si="5"/>
        <v>Matching</v>
      </c>
    </row>
    <row r="362" spans="1:6" x14ac:dyDescent="0.35">
      <c r="A362" s="5" t="s">
        <v>1034</v>
      </c>
      <c r="B362" s="6">
        <v>0</v>
      </c>
      <c r="D362" s="6">
        <f>IF(COUNTIF(Sheet4!A:A,A362)&gt;0,VLOOKUP(A362,Sheet4!A:B,2,FALSE),"NotFound")</f>
        <v>0</v>
      </c>
      <c r="F362" s="6" t="str">
        <f t="shared" si="5"/>
        <v>Matching</v>
      </c>
    </row>
    <row r="363" spans="1:6" x14ac:dyDescent="0.35">
      <c r="A363" s="5" t="s">
        <v>1009</v>
      </c>
      <c r="B363" s="6">
        <v>0</v>
      </c>
      <c r="D363" s="6">
        <f>IF(COUNTIF(Sheet4!A:A,A363)&gt;0,VLOOKUP(A363,Sheet4!A:B,2,FALSE),"NotFound")</f>
        <v>0</v>
      </c>
      <c r="F363" s="6" t="str">
        <f t="shared" si="5"/>
        <v>Matching</v>
      </c>
    </row>
    <row r="364" spans="1:6" x14ac:dyDescent="0.35">
      <c r="A364" s="5" t="s">
        <v>1036</v>
      </c>
      <c r="B364" s="6">
        <v>0</v>
      </c>
      <c r="D364" s="6">
        <f>IF(COUNTIF(Sheet4!A:A,A364)&gt;0,VLOOKUP(A364,Sheet4!A:B,2,FALSE),"NotFound")</f>
        <v>0</v>
      </c>
      <c r="F364" s="6" t="str">
        <f t="shared" si="5"/>
        <v>Matching</v>
      </c>
    </row>
    <row r="365" spans="1:6" x14ac:dyDescent="0.35">
      <c r="A365" s="5" t="s">
        <v>1065</v>
      </c>
      <c r="B365" s="6">
        <v>0</v>
      </c>
      <c r="D365" s="6">
        <f>IF(COUNTIF(Sheet4!A:A,A365)&gt;0,VLOOKUP(A365,Sheet4!A:B,2,FALSE),"NotFound")</f>
        <v>0</v>
      </c>
      <c r="F365" s="6" t="str">
        <f t="shared" si="5"/>
        <v>Matching</v>
      </c>
    </row>
    <row r="366" spans="1:6" x14ac:dyDescent="0.35">
      <c r="A366" s="5" t="s">
        <v>1037</v>
      </c>
      <c r="B366" s="6">
        <v>0</v>
      </c>
      <c r="D366" s="6">
        <f>IF(COUNTIF(Sheet4!A:A,A366)&gt;0,VLOOKUP(A366,Sheet4!A:B,2,FALSE),"NotFound")</f>
        <v>0</v>
      </c>
      <c r="F366" s="6" t="str">
        <f t="shared" si="5"/>
        <v>Matching</v>
      </c>
    </row>
    <row r="367" spans="1:6" x14ac:dyDescent="0.35">
      <c r="A367" s="5" t="s">
        <v>1038</v>
      </c>
      <c r="B367" s="6">
        <v>0</v>
      </c>
      <c r="D367" s="6">
        <f>IF(COUNTIF(Sheet4!A:A,A367)&gt;0,VLOOKUP(A367,Sheet4!A:B,2,FALSE),"NotFound")</f>
        <v>0</v>
      </c>
      <c r="F367" s="6" t="str">
        <f t="shared" si="5"/>
        <v>Matching</v>
      </c>
    </row>
    <row r="368" spans="1:6" x14ac:dyDescent="0.35">
      <c r="A368" s="5" t="s">
        <v>996</v>
      </c>
      <c r="B368" s="6">
        <v>240</v>
      </c>
      <c r="D368" s="6">
        <f>IF(COUNTIF(Sheet4!A:A,A368)&gt;0,VLOOKUP(A368,Sheet4!A:B,2,FALSE),"NotFound")</f>
        <v>240</v>
      </c>
      <c r="F368" s="6" t="str">
        <f t="shared" si="5"/>
        <v>Matching</v>
      </c>
    </row>
    <row r="369" spans="1:6" x14ac:dyDescent="0.35">
      <c r="A369" s="5" t="s">
        <v>1015</v>
      </c>
      <c r="B369" s="6">
        <v>336</v>
      </c>
      <c r="D369" s="6">
        <f>IF(COUNTIF(Sheet4!A:A,A369)&gt;0,VLOOKUP(A369,Sheet4!A:B,2,FALSE),"NotFound")</f>
        <v>336</v>
      </c>
      <c r="F369" s="6" t="str">
        <f t="shared" si="5"/>
        <v>Matching</v>
      </c>
    </row>
    <row r="370" spans="1:6" x14ac:dyDescent="0.35">
      <c r="A370" s="5" t="s">
        <v>1039</v>
      </c>
      <c r="B370" s="6">
        <v>0</v>
      </c>
      <c r="D370" s="6">
        <f>IF(COUNTIF(Sheet4!A:A,A370)&gt;0,VLOOKUP(A370,Sheet4!A:B,2,FALSE),"NotFound")</f>
        <v>0</v>
      </c>
      <c r="F370" s="6" t="str">
        <f t="shared" si="5"/>
        <v>Matching</v>
      </c>
    </row>
    <row r="371" spans="1:6" x14ac:dyDescent="0.35">
      <c r="A371" s="5" t="s">
        <v>1004</v>
      </c>
      <c r="B371" s="6">
        <v>68663</v>
      </c>
      <c r="D371" s="6">
        <f>IF(COUNTIF(Sheet4!A:A,A371)&gt;0,VLOOKUP(A371,Sheet4!A:B,2,FALSE),"NotFound")</f>
        <v>68663</v>
      </c>
      <c r="F371" s="6" t="str">
        <f t="shared" si="5"/>
        <v>Matching</v>
      </c>
    </row>
    <row r="372" spans="1:6" x14ac:dyDescent="0.35">
      <c r="A372" s="5" t="s">
        <v>987</v>
      </c>
      <c r="B372" s="6">
        <v>36262</v>
      </c>
      <c r="D372" s="6">
        <f>IF(COUNTIF(Sheet4!A:A,A372)&gt;0,VLOOKUP(A372,Sheet4!A:B,2,FALSE),"NotFound")</f>
        <v>36262</v>
      </c>
      <c r="F372" s="6" t="str">
        <f t="shared" si="5"/>
        <v>Matching</v>
      </c>
    </row>
    <row r="373" spans="1:6" x14ac:dyDescent="0.35">
      <c r="A373" s="5" t="s">
        <v>1074</v>
      </c>
      <c r="B373" s="6">
        <v>0</v>
      </c>
      <c r="D373" s="6">
        <f>IF(COUNTIF(Sheet4!A:A,A373)&gt;0,VLOOKUP(A373,Sheet4!A:B,2,FALSE),"NotFound")</f>
        <v>0</v>
      </c>
      <c r="F373" s="6" t="str">
        <f t="shared" si="5"/>
        <v>Matching</v>
      </c>
    </row>
    <row r="374" spans="1:6" x14ac:dyDescent="0.35">
      <c r="A374" s="5" t="s">
        <v>1072</v>
      </c>
      <c r="B374" s="6">
        <v>0</v>
      </c>
      <c r="D374" s="6">
        <f>IF(COUNTIF(Sheet4!A:A,A374)&gt;0,VLOOKUP(A374,Sheet4!A:B,2,FALSE),"NotFound")</f>
        <v>0</v>
      </c>
      <c r="F374" s="6" t="str">
        <f t="shared" si="5"/>
        <v>Matching</v>
      </c>
    </row>
    <row r="375" spans="1:6" x14ac:dyDescent="0.35">
      <c r="A375" s="5" t="s">
        <v>1067</v>
      </c>
      <c r="B375" s="6">
        <v>0</v>
      </c>
      <c r="D375" s="6">
        <f>IF(COUNTIF(Sheet4!A:A,A375)&gt;0,VLOOKUP(A375,Sheet4!A:B,2,FALSE),"NotFound")</f>
        <v>0</v>
      </c>
      <c r="F375" s="6" t="str">
        <f t="shared" si="5"/>
        <v>Matching</v>
      </c>
    </row>
    <row r="376" spans="1:6" x14ac:dyDescent="0.35">
      <c r="A376" s="5" t="s">
        <v>1019</v>
      </c>
      <c r="B376" s="6">
        <v>1</v>
      </c>
      <c r="D376" s="6">
        <f>IF(COUNTIF(Sheet4!A:A,A376)&gt;0,VLOOKUP(A376,Sheet4!A:B,2,FALSE),"NotFound")</f>
        <v>1</v>
      </c>
      <c r="F376" s="6" t="str">
        <f t="shared" si="5"/>
        <v>Matching</v>
      </c>
    </row>
    <row r="377" spans="1:6" x14ac:dyDescent="0.35">
      <c r="A377" s="5" t="s">
        <v>1040</v>
      </c>
      <c r="B377" s="6">
        <v>0</v>
      </c>
      <c r="D377" s="6">
        <f>IF(COUNTIF(Sheet4!A:A,A377)&gt;0,VLOOKUP(A377,Sheet4!A:B,2,FALSE),"NotFound")</f>
        <v>0</v>
      </c>
      <c r="F377" s="6" t="str">
        <f t="shared" si="5"/>
        <v>Matching</v>
      </c>
    </row>
    <row r="378" spans="1:6" x14ac:dyDescent="0.35">
      <c r="A378" s="5" t="s">
        <v>1041</v>
      </c>
      <c r="B378" s="6">
        <v>0</v>
      </c>
      <c r="D378" s="6">
        <f>IF(COUNTIF(Sheet4!A:A,A378)&gt;0,VLOOKUP(A378,Sheet4!A:B,2,FALSE),"NotFound")</f>
        <v>0</v>
      </c>
      <c r="F378" s="6" t="str">
        <f t="shared" si="5"/>
        <v>Matching</v>
      </c>
    </row>
    <row r="379" spans="1:6" x14ac:dyDescent="0.35">
      <c r="A379" s="5" t="s">
        <v>997</v>
      </c>
      <c r="B379" s="6">
        <v>0</v>
      </c>
      <c r="D379" s="6">
        <f>IF(COUNTIF(Sheet4!A:A,A379)&gt;0,VLOOKUP(A379,Sheet4!A:B,2,FALSE),"NotFound")</f>
        <v>0</v>
      </c>
      <c r="F379" s="6" t="str">
        <f t="shared" si="5"/>
        <v>Matching</v>
      </c>
    </row>
    <row r="380" spans="1:6" x14ac:dyDescent="0.35">
      <c r="A380" s="5" t="s">
        <v>1001</v>
      </c>
      <c r="B380" s="6">
        <v>0</v>
      </c>
      <c r="D380" s="6">
        <f>IF(COUNTIF(Sheet4!A:A,A380)&gt;0,VLOOKUP(A380,Sheet4!A:B,2,FALSE),"NotFound")</f>
        <v>0</v>
      </c>
      <c r="F380" s="6" t="str">
        <f t="shared" si="5"/>
        <v>Matching</v>
      </c>
    </row>
    <row r="381" spans="1:6" x14ac:dyDescent="0.35">
      <c r="A381" s="5" t="s">
        <v>1000</v>
      </c>
      <c r="B381" s="6">
        <v>5125</v>
      </c>
      <c r="D381" s="6">
        <f>IF(COUNTIF(Sheet4!A:A,A381)&gt;0,VLOOKUP(A381,Sheet4!A:B,2,FALSE),"NotFound")</f>
        <v>5125</v>
      </c>
      <c r="F381" s="6" t="str">
        <f t="shared" si="5"/>
        <v>Matching</v>
      </c>
    </row>
    <row r="382" spans="1:6" x14ac:dyDescent="0.35">
      <c r="A382" s="5" t="s">
        <v>984</v>
      </c>
      <c r="B382" s="6">
        <v>6759</v>
      </c>
      <c r="D382" s="6">
        <f>IF(COUNTIF(Sheet4!A:A,A382)&gt;0,VLOOKUP(A382,Sheet4!A:B,2,FALSE),"NotFound")</f>
        <v>6759</v>
      </c>
      <c r="F382" s="6" t="str">
        <f t="shared" si="5"/>
        <v>Matching</v>
      </c>
    </row>
    <row r="383" spans="1:6" x14ac:dyDescent="0.35">
      <c r="A383" s="5" t="s">
        <v>998</v>
      </c>
      <c r="B383" s="6">
        <v>8906</v>
      </c>
      <c r="D383" s="6">
        <f>IF(COUNTIF(Sheet4!A:A,A383)&gt;0,VLOOKUP(A383,Sheet4!A:B,2,FALSE),"NotFound")</f>
        <v>8906</v>
      </c>
      <c r="F383" s="6" t="str">
        <f t="shared" si="5"/>
        <v>Matching</v>
      </c>
    </row>
    <row r="384" spans="1:6" x14ac:dyDescent="0.35">
      <c r="A384" s="5" t="s">
        <v>991</v>
      </c>
      <c r="B384" s="6">
        <v>62433</v>
      </c>
      <c r="D384" s="6">
        <f>IF(COUNTIF(Sheet4!A:A,A384)&gt;0,VLOOKUP(A384,Sheet4!A:B,2,FALSE),"NotFound")</f>
        <v>62433</v>
      </c>
      <c r="F384" s="6" t="str">
        <f t="shared" si="5"/>
        <v>Matching</v>
      </c>
    </row>
    <row r="385" spans="1:6" x14ac:dyDescent="0.35">
      <c r="A385" s="5" t="s">
        <v>1042</v>
      </c>
      <c r="B385" s="6">
        <v>0</v>
      </c>
      <c r="D385" s="6">
        <f>IF(COUNTIF(Sheet4!A:A,A385)&gt;0,VLOOKUP(A385,Sheet4!A:B,2,FALSE),"NotFound")</f>
        <v>0</v>
      </c>
      <c r="F385" s="6" t="str">
        <f t="shared" si="5"/>
        <v>Matching</v>
      </c>
    </row>
    <row r="386" spans="1:6" x14ac:dyDescent="0.35">
      <c r="A386" s="5" t="s">
        <v>1070</v>
      </c>
      <c r="B386" s="6">
        <v>0</v>
      </c>
      <c r="D386" s="6">
        <f>IF(COUNTIF(Sheet4!A:A,A386)&gt;0,VLOOKUP(A386,Sheet4!A:B,2,FALSE),"NotFound")</f>
        <v>0</v>
      </c>
      <c r="F386" s="6" t="str">
        <f t="shared" si="5"/>
        <v>Matching</v>
      </c>
    </row>
    <row r="387" spans="1:6" x14ac:dyDescent="0.35">
      <c r="A387" s="5" t="s">
        <v>1071</v>
      </c>
      <c r="B387" s="6">
        <v>0</v>
      </c>
      <c r="D387" s="6">
        <f>IF(COUNTIF(Sheet4!A:A,A387)&gt;0,VLOOKUP(A387,Sheet4!A:B,2,FALSE),"NotFound")</f>
        <v>0</v>
      </c>
      <c r="F387" s="6" t="str">
        <f t="shared" ref="F387:F450" si="6">IF(B387=D387,"Matching","mis match")</f>
        <v>Matching</v>
      </c>
    </row>
    <row r="388" spans="1:6" x14ac:dyDescent="0.35">
      <c r="A388" s="5" t="s">
        <v>1068</v>
      </c>
      <c r="B388" s="6">
        <v>0</v>
      </c>
      <c r="D388" s="6">
        <f>IF(COUNTIF(Sheet4!A:A,A388)&gt;0,VLOOKUP(A388,Sheet4!A:B,2,FALSE),"NotFound")</f>
        <v>0</v>
      </c>
      <c r="F388" s="6" t="str">
        <f t="shared" si="6"/>
        <v>Matching</v>
      </c>
    </row>
    <row r="389" spans="1:6" x14ac:dyDescent="0.35">
      <c r="A389" s="5" t="s">
        <v>1043</v>
      </c>
      <c r="B389" s="6">
        <v>0</v>
      </c>
      <c r="D389" s="6">
        <f>IF(COUNTIF(Sheet4!A:A,A389)&gt;0,VLOOKUP(A389,Sheet4!A:B,2,FALSE),"NotFound")</f>
        <v>0</v>
      </c>
      <c r="F389" s="6" t="str">
        <f t="shared" si="6"/>
        <v>Matching</v>
      </c>
    </row>
    <row r="390" spans="1:6" x14ac:dyDescent="0.35">
      <c r="A390" s="5" t="s">
        <v>1069</v>
      </c>
      <c r="B390" s="6">
        <v>0</v>
      </c>
      <c r="D390" s="6">
        <f>IF(COUNTIF(Sheet4!A:A,A390)&gt;0,VLOOKUP(A390,Sheet4!A:B,2,FALSE),"NotFound")</f>
        <v>0</v>
      </c>
      <c r="F390" s="6" t="str">
        <f t="shared" si="6"/>
        <v>Matching</v>
      </c>
    </row>
    <row r="391" spans="1:6" x14ac:dyDescent="0.35">
      <c r="A391" s="5" t="s">
        <v>1066</v>
      </c>
      <c r="B391" s="6">
        <v>0</v>
      </c>
      <c r="D391" s="6">
        <f>IF(COUNTIF(Sheet4!A:A,A391)&gt;0,VLOOKUP(A391,Sheet4!A:B,2,FALSE),"NotFound")</f>
        <v>0</v>
      </c>
      <c r="F391" s="6" t="str">
        <f t="shared" si="6"/>
        <v>Matching</v>
      </c>
    </row>
    <row r="392" spans="1:6" x14ac:dyDescent="0.35">
      <c r="A392" s="5" t="s">
        <v>1119</v>
      </c>
      <c r="B392" s="6">
        <v>0</v>
      </c>
      <c r="D392" s="6">
        <f>IF(COUNTIF(Sheet4!A:A,A392)&gt;0,VLOOKUP(A392,Sheet4!A:B,2,FALSE),"NotFound")</f>
        <v>0</v>
      </c>
      <c r="F392" s="6" t="str">
        <f t="shared" si="6"/>
        <v>Matching</v>
      </c>
    </row>
    <row r="393" spans="1:6" x14ac:dyDescent="0.35">
      <c r="A393" s="5" t="s">
        <v>1116</v>
      </c>
      <c r="B393" s="6">
        <v>0</v>
      </c>
      <c r="D393" s="6">
        <f>IF(COUNTIF(Sheet4!A:A,A393)&gt;0,VLOOKUP(A393,Sheet4!A:B,2,FALSE),"NotFound")</f>
        <v>0</v>
      </c>
      <c r="F393" s="6" t="str">
        <f t="shared" si="6"/>
        <v>Matching</v>
      </c>
    </row>
    <row r="394" spans="1:6" x14ac:dyDescent="0.35">
      <c r="A394" s="5" t="s">
        <v>1117</v>
      </c>
      <c r="B394" s="6">
        <v>0</v>
      </c>
      <c r="D394" s="6">
        <f>IF(COUNTIF(Sheet4!A:A,A394)&gt;0,VLOOKUP(A394,Sheet4!A:B,2,FALSE),"NotFound")</f>
        <v>0</v>
      </c>
      <c r="F394" s="6" t="str">
        <f t="shared" si="6"/>
        <v>Matching</v>
      </c>
    </row>
    <row r="395" spans="1:6" x14ac:dyDescent="0.35">
      <c r="A395" s="5" t="s">
        <v>1118</v>
      </c>
      <c r="B395" s="6">
        <v>0</v>
      </c>
      <c r="D395" s="6">
        <f>IF(COUNTIF(Sheet4!A:A,A395)&gt;0,VLOOKUP(A395,Sheet4!A:B,2,FALSE),"NotFound")</f>
        <v>0</v>
      </c>
      <c r="F395" s="6" t="str">
        <f t="shared" si="6"/>
        <v>Matching</v>
      </c>
    </row>
    <row r="396" spans="1:6" x14ac:dyDescent="0.35">
      <c r="A396" s="5" t="s">
        <v>1075</v>
      </c>
      <c r="B396" s="6">
        <v>0</v>
      </c>
      <c r="D396" s="6">
        <f>IF(COUNTIF(Sheet4!A:A,A396)&gt;0,VLOOKUP(A396,Sheet4!A:B,2,FALSE),"NotFound")</f>
        <v>0</v>
      </c>
      <c r="F396" s="6" t="str">
        <f t="shared" si="6"/>
        <v>Matching</v>
      </c>
    </row>
    <row r="397" spans="1:6" x14ac:dyDescent="0.35">
      <c r="A397" s="5" t="s">
        <v>1076</v>
      </c>
      <c r="B397" s="6">
        <v>0</v>
      </c>
      <c r="D397" s="6">
        <f>IF(COUNTIF(Sheet4!A:A,A397)&gt;0,VLOOKUP(A397,Sheet4!A:B,2,FALSE),"NotFound")</f>
        <v>0</v>
      </c>
      <c r="F397" s="6" t="str">
        <f t="shared" si="6"/>
        <v>Matching</v>
      </c>
    </row>
    <row r="398" spans="1:6" x14ac:dyDescent="0.35">
      <c r="A398" s="5" t="s">
        <v>1077</v>
      </c>
      <c r="B398" s="6">
        <v>0</v>
      </c>
      <c r="D398" s="6">
        <f>IF(COUNTIF(Sheet4!A:A,A398)&gt;0,VLOOKUP(A398,Sheet4!A:B,2,FALSE),"NotFound")</f>
        <v>0</v>
      </c>
      <c r="F398" s="6" t="str">
        <f t="shared" si="6"/>
        <v>Matching</v>
      </c>
    </row>
    <row r="399" spans="1:6" x14ac:dyDescent="0.35">
      <c r="A399" s="5" t="s">
        <v>1078</v>
      </c>
      <c r="B399" s="6">
        <v>0</v>
      </c>
      <c r="D399" s="6">
        <f>IF(COUNTIF(Sheet4!A:A,A399)&gt;0,VLOOKUP(A399,Sheet4!A:B,2,FALSE),"NotFound")</f>
        <v>0</v>
      </c>
      <c r="F399" s="6" t="str">
        <f t="shared" si="6"/>
        <v>Matching</v>
      </c>
    </row>
    <row r="400" spans="1:6" x14ac:dyDescent="0.35">
      <c r="A400" s="5" t="s">
        <v>1079</v>
      </c>
      <c r="B400" s="6">
        <v>0</v>
      </c>
      <c r="D400" s="6">
        <f>IF(COUNTIF(Sheet4!A:A,A400)&gt;0,VLOOKUP(A400,Sheet4!A:B,2,FALSE),"NotFound")</f>
        <v>0</v>
      </c>
      <c r="F400" s="6" t="str">
        <f t="shared" si="6"/>
        <v>Matching</v>
      </c>
    </row>
    <row r="401" spans="1:6" x14ac:dyDescent="0.35">
      <c r="A401" s="5" t="s">
        <v>1080</v>
      </c>
      <c r="B401" s="6">
        <v>0</v>
      </c>
      <c r="D401" s="6">
        <f>IF(COUNTIF(Sheet4!A:A,A401)&gt;0,VLOOKUP(A401,Sheet4!A:B,2,FALSE),"NotFound")</f>
        <v>0</v>
      </c>
      <c r="F401" s="6" t="str">
        <f t="shared" si="6"/>
        <v>Matching</v>
      </c>
    </row>
    <row r="402" spans="1:6" x14ac:dyDescent="0.35">
      <c r="A402" s="5" t="s">
        <v>1044</v>
      </c>
      <c r="B402" s="6">
        <v>0</v>
      </c>
      <c r="D402" s="6">
        <f>IF(COUNTIF(Sheet4!A:A,A402)&gt;0,VLOOKUP(A402,Sheet4!A:B,2,FALSE),"NotFound")</f>
        <v>0</v>
      </c>
      <c r="F402" s="6" t="str">
        <f t="shared" si="6"/>
        <v>Matching</v>
      </c>
    </row>
    <row r="403" spans="1:6" x14ac:dyDescent="0.35">
      <c r="A403" s="5" t="s">
        <v>1045</v>
      </c>
      <c r="B403" s="6">
        <v>0</v>
      </c>
      <c r="D403" s="6">
        <f>IF(COUNTIF(Sheet4!A:A,A403)&gt;0,VLOOKUP(A403,Sheet4!A:B,2,FALSE),"NotFound")</f>
        <v>0</v>
      </c>
      <c r="F403" s="6" t="str">
        <f t="shared" si="6"/>
        <v>Matching</v>
      </c>
    </row>
    <row r="404" spans="1:6" x14ac:dyDescent="0.35">
      <c r="A404" s="5" t="s">
        <v>1051</v>
      </c>
      <c r="B404" s="6">
        <v>0</v>
      </c>
      <c r="D404" s="6">
        <f>IF(COUNTIF(Sheet4!A:A,A404)&gt;0,VLOOKUP(A404,Sheet4!A:B,2,FALSE),"NotFound")</f>
        <v>0</v>
      </c>
      <c r="F404" s="6" t="str">
        <f t="shared" si="6"/>
        <v>Matching</v>
      </c>
    </row>
    <row r="405" spans="1:6" x14ac:dyDescent="0.35">
      <c r="A405" s="5" t="s">
        <v>1046</v>
      </c>
      <c r="B405" s="6">
        <v>0</v>
      </c>
      <c r="D405" s="6">
        <f>IF(COUNTIF(Sheet4!A:A,A405)&gt;0,VLOOKUP(A405,Sheet4!A:B,2,FALSE),"NotFound")</f>
        <v>0</v>
      </c>
      <c r="F405" s="6" t="str">
        <f t="shared" si="6"/>
        <v>Matching</v>
      </c>
    </row>
    <row r="406" spans="1:6" x14ac:dyDescent="0.35">
      <c r="A406" s="5" t="s">
        <v>1047</v>
      </c>
      <c r="B406" s="6">
        <v>0</v>
      </c>
      <c r="D406" s="6">
        <f>IF(COUNTIF(Sheet4!A:A,A406)&gt;0,VLOOKUP(A406,Sheet4!A:B,2,FALSE),"NotFound")</f>
        <v>0</v>
      </c>
      <c r="F406" s="6" t="str">
        <f t="shared" si="6"/>
        <v>Matching</v>
      </c>
    </row>
    <row r="407" spans="1:6" x14ac:dyDescent="0.35">
      <c r="A407" s="5" t="s">
        <v>1048</v>
      </c>
      <c r="B407" s="6">
        <v>0</v>
      </c>
      <c r="D407" s="6">
        <f>IF(COUNTIF(Sheet4!A:A,A407)&gt;0,VLOOKUP(A407,Sheet4!A:B,2,FALSE),"NotFound")</f>
        <v>0</v>
      </c>
      <c r="F407" s="6" t="str">
        <f t="shared" si="6"/>
        <v>Matching</v>
      </c>
    </row>
    <row r="408" spans="1:6" x14ac:dyDescent="0.35">
      <c r="A408" s="5" t="s">
        <v>1049</v>
      </c>
      <c r="B408" s="6">
        <v>0</v>
      </c>
      <c r="D408" s="6">
        <f>IF(COUNTIF(Sheet4!A:A,A408)&gt;0,VLOOKUP(A408,Sheet4!A:B,2,FALSE),"NotFound")</f>
        <v>0</v>
      </c>
      <c r="F408" s="6" t="str">
        <f t="shared" si="6"/>
        <v>Matching</v>
      </c>
    </row>
    <row r="409" spans="1:6" x14ac:dyDescent="0.35">
      <c r="A409" s="5" t="s">
        <v>1050</v>
      </c>
      <c r="B409" s="6">
        <v>0</v>
      </c>
      <c r="D409" s="6">
        <f>IF(COUNTIF(Sheet4!A:A,A409)&gt;0,VLOOKUP(A409,Sheet4!A:B,2,FALSE),"NotFound")</f>
        <v>0</v>
      </c>
      <c r="F409" s="6" t="str">
        <f t="shared" si="6"/>
        <v>Matching</v>
      </c>
    </row>
    <row r="410" spans="1:6" x14ac:dyDescent="0.35">
      <c r="A410" s="5" t="s">
        <v>958</v>
      </c>
      <c r="B410" s="6">
        <v>0</v>
      </c>
      <c r="D410" s="6">
        <f>IF(COUNTIF(Sheet4!A:A,A410)&gt;0,VLOOKUP(A410,Sheet4!A:B,2,FALSE),"NotFound")</f>
        <v>0</v>
      </c>
      <c r="F410" s="6" t="str">
        <f t="shared" si="6"/>
        <v>Matching</v>
      </c>
    </row>
    <row r="411" spans="1:6" x14ac:dyDescent="0.35">
      <c r="A411" s="5" t="s">
        <v>960</v>
      </c>
      <c r="B411" s="6">
        <v>0</v>
      </c>
      <c r="D411" s="6">
        <f>IF(COUNTIF(Sheet4!A:A,A411)&gt;0,VLOOKUP(A411,Sheet4!A:B,2,FALSE),"NotFound")</f>
        <v>0</v>
      </c>
      <c r="F411" s="6" t="str">
        <f t="shared" si="6"/>
        <v>Matching</v>
      </c>
    </row>
    <row r="412" spans="1:6" x14ac:dyDescent="0.35">
      <c r="A412" s="5" t="s">
        <v>959</v>
      </c>
      <c r="B412" s="6">
        <v>0</v>
      </c>
      <c r="D412" s="6">
        <f>IF(COUNTIF(Sheet4!A:A,A412)&gt;0,VLOOKUP(A412,Sheet4!A:B,2,FALSE),"NotFound")</f>
        <v>0</v>
      </c>
      <c r="F412" s="6" t="str">
        <f t="shared" si="6"/>
        <v>Matching</v>
      </c>
    </row>
    <row r="413" spans="1:6" x14ac:dyDescent="0.35">
      <c r="A413" s="5" t="s">
        <v>964</v>
      </c>
      <c r="B413" s="6">
        <v>0</v>
      </c>
      <c r="D413" s="6">
        <f>IF(COUNTIF(Sheet4!A:A,A413)&gt;0,VLOOKUP(A413,Sheet4!A:B,2,FALSE),"NotFound")</f>
        <v>0</v>
      </c>
      <c r="F413" s="6" t="str">
        <f t="shared" si="6"/>
        <v>Matching</v>
      </c>
    </row>
    <row r="414" spans="1:6" x14ac:dyDescent="0.35">
      <c r="A414" s="5" t="s">
        <v>965</v>
      </c>
      <c r="B414" s="6">
        <v>0</v>
      </c>
      <c r="D414" s="6">
        <f>IF(COUNTIF(Sheet4!A:A,A414)&gt;0,VLOOKUP(A414,Sheet4!A:B,2,FALSE),"NotFound")</f>
        <v>0</v>
      </c>
      <c r="F414" s="6" t="str">
        <f t="shared" si="6"/>
        <v>Matching</v>
      </c>
    </row>
    <row r="415" spans="1:6" x14ac:dyDescent="0.35">
      <c r="A415" s="5" t="s">
        <v>961</v>
      </c>
      <c r="B415" s="6">
        <v>0</v>
      </c>
      <c r="D415" s="6">
        <f>IF(COUNTIF(Sheet4!A:A,A415)&gt;0,VLOOKUP(A415,Sheet4!A:B,2,FALSE),"NotFound")</f>
        <v>0</v>
      </c>
      <c r="F415" s="6" t="str">
        <f t="shared" si="6"/>
        <v>Matching</v>
      </c>
    </row>
    <row r="416" spans="1:6" x14ac:dyDescent="0.35">
      <c r="A416" s="5" t="s">
        <v>974</v>
      </c>
      <c r="B416" s="6">
        <v>0</v>
      </c>
      <c r="D416" s="6">
        <f>IF(COUNTIF(Sheet4!A:A,A416)&gt;0,VLOOKUP(A416,Sheet4!A:B,2,FALSE),"NotFound")</f>
        <v>0</v>
      </c>
      <c r="F416" s="6" t="str">
        <f t="shared" si="6"/>
        <v>Matching</v>
      </c>
    </row>
    <row r="417" spans="1:6" x14ac:dyDescent="0.35">
      <c r="A417" s="5" t="s">
        <v>962</v>
      </c>
      <c r="B417" s="6">
        <v>0</v>
      </c>
      <c r="D417" s="6">
        <f>IF(COUNTIF(Sheet4!A:A,A417)&gt;0,VLOOKUP(A417,Sheet4!A:B,2,FALSE),"NotFound")</f>
        <v>0</v>
      </c>
      <c r="F417" s="6" t="str">
        <f t="shared" si="6"/>
        <v>Matching</v>
      </c>
    </row>
    <row r="418" spans="1:6" x14ac:dyDescent="0.35">
      <c r="A418" s="5" t="s">
        <v>975</v>
      </c>
      <c r="B418" s="6">
        <v>0</v>
      </c>
      <c r="D418" s="6">
        <f>IF(COUNTIF(Sheet4!A:A,A418)&gt;0,VLOOKUP(A418,Sheet4!A:B,2,FALSE),"NotFound")</f>
        <v>0</v>
      </c>
      <c r="F418" s="6" t="str">
        <f t="shared" si="6"/>
        <v>Matching</v>
      </c>
    </row>
    <row r="419" spans="1:6" x14ac:dyDescent="0.35">
      <c r="A419" s="5" t="s">
        <v>966</v>
      </c>
      <c r="B419" s="6">
        <v>0</v>
      </c>
      <c r="D419" s="6">
        <f>IF(COUNTIF(Sheet4!A:A,A419)&gt;0,VLOOKUP(A419,Sheet4!A:B,2,FALSE),"NotFound")</f>
        <v>0</v>
      </c>
      <c r="F419" s="6" t="str">
        <f t="shared" si="6"/>
        <v>Matching</v>
      </c>
    </row>
    <row r="420" spans="1:6" x14ac:dyDescent="0.35">
      <c r="A420" s="5" t="s">
        <v>967</v>
      </c>
      <c r="B420" s="6">
        <v>0</v>
      </c>
      <c r="D420" s="6">
        <f>IF(COUNTIF(Sheet4!A:A,A420)&gt;0,VLOOKUP(A420,Sheet4!A:B,2,FALSE),"NotFound")</f>
        <v>0</v>
      </c>
      <c r="F420" s="6" t="str">
        <f t="shared" si="6"/>
        <v>Matching</v>
      </c>
    </row>
    <row r="421" spans="1:6" x14ac:dyDescent="0.35">
      <c r="A421" s="5" t="s">
        <v>968</v>
      </c>
      <c r="B421" s="6">
        <v>0</v>
      </c>
      <c r="D421" s="6">
        <f>IF(COUNTIF(Sheet4!A:A,A421)&gt;0,VLOOKUP(A421,Sheet4!A:B,2,FALSE),"NotFound")</f>
        <v>0</v>
      </c>
      <c r="F421" s="6" t="str">
        <f t="shared" si="6"/>
        <v>Matching</v>
      </c>
    </row>
    <row r="422" spans="1:6" x14ac:dyDescent="0.35">
      <c r="A422" s="5" t="s">
        <v>969</v>
      </c>
      <c r="B422" s="6">
        <v>0</v>
      </c>
      <c r="D422" s="6">
        <f>IF(COUNTIF(Sheet4!A:A,A422)&gt;0,VLOOKUP(A422,Sheet4!A:B,2,FALSE),"NotFound")</f>
        <v>0</v>
      </c>
      <c r="F422" s="6" t="str">
        <f t="shared" si="6"/>
        <v>Matching</v>
      </c>
    </row>
    <row r="423" spans="1:6" x14ac:dyDescent="0.35">
      <c r="A423" s="5" t="s">
        <v>970</v>
      </c>
      <c r="B423" s="6">
        <v>0</v>
      </c>
      <c r="D423" s="6">
        <f>IF(COUNTIF(Sheet4!A:A,A423)&gt;0,VLOOKUP(A423,Sheet4!A:B,2,FALSE),"NotFound")</f>
        <v>0</v>
      </c>
      <c r="F423" s="6" t="str">
        <f t="shared" si="6"/>
        <v>Matching</v>
      </c>
    </row>
    <row r="424" spans="1:6" x14ac:dyDescent="0.35">
      <c r="A424" s="5" t="s">
        <v>971</v>
      </c>
      <c r="B424" s="6">
        <v>0</v>
      </c>
      <c r="D424" s="6">
        <f>IF(COUNTIF(Sheet4!A:A,A424)&gt;0,VLOOKUP(A424,Sheet4!A:B,2,FALSE),"NotFound")</f>
        <v>0</v>
      </c>
      <c r="F424" s="6" t="str">
        <f t="shared" si="6"/>
        <v>Matching</v>
      </c>
    </row>
    <row r="425" spans="1:6" x14ac:dyDescent="0.35">
      <c r="A425" s="5" t="s">
        <v>972</v>
      </c>
      <c r="B425" s="6">
        <v>0</v>
      </c>
      <c r="D425" s="6">
        <f>IF(COUNTIF(Sheet4!A:A,A425)&gt;0,VLOOKUP(A425,Sheet4!A:B,2,FALSE),"NotFound")</f>
        <v>0</v>
      </c>
      <c r="F425" s="6" t="str">
        <f t="shared" si="6"/>
        <v>Matching</v>
      </c>
    </row>
    <row r="426" spans="1:6" x14ac:dyDescent="0.35">
      <c r="A426" s="5" t="s">
        <v>1171</v>
      </c>
      <c r="B426" s="6">
        <v>0</v>
      </c>
      <c r="D426" s="6">
        <f>IF(COUNTIF(Sheet4!A:A,A426)&gt;0,VLOOKUP(A426,Sheet4!A:B,2,FALSE),"NotFound")</f>
        <v>0</v>
      </c>
      <c r="F426" s="6" t="str">
        <f t="shared" si="6"/>
        <v>Matching</v>
      </c>
    </row>
    <row r="427" spans="1:6" x14ac:dyDescent="0.35">
      <c r="A427" s="5" t="s">
        <v>1172</v>
      </c>
      <c r="B427" s="6">
        <v>0</v>
      </c>
      <c r="D427" s="6">
        <f>IF(COUNTIF(Sheet4!A:A,A427)&gt;0,VLOOKUP(A427,Sheet4!A:B,2,FALSE),"NotFound")</f>
        <v>0</v>
      </c>
      <c r="F427" s="6" t="str">
        <f t="shared" si="6"/>
        <v>Matching</v>
      </c>
    </row>
    <row r="428" spans="1:6" x14ac:dyDescent="0.35">
      <c r="A428" s="5" t="s">
        <v>1162</v>
      </c>
      <c r="B428" s="6">
        <v>0</v>
      </c>
      <c r="D428" s="6">
        <f>IF(COUNTIF(Sheet4!A:A,A428)&gt;0,VLOOKUP(A428,Sheet4!A:B,2,FALSE),"NotFound")</f>
        <v>0</v>
      </c>
      <c r="F428" s="6" t="str">
        <f t="shared" si="6"/>
        <v>Matching</v>
      </c>
    </row>
    <row r="429" spans="1:6" x14ac:dyDescent="0.35">
      <c r="A429" s="5" t="s">
        <v>1167</v>
      </c>
      <c r="B429" s="6">
        <v>0</v>
      </c>
      <c r="D429" s="6">
        <f>IF(COUNTIF(Sheet4!A:A,A429)&gt;0,VLOOKUP(A429,Sheet4!A:B,2,FALSE),"NotFound")</f>
        <v>0</v>
      </c>
      <c r="F429" s="6" t="str">
        <f t="shared" si="6"/>
        <v>Matching</v>
      </c>
    </row>
    <row r="430" spans="1:6" x14ac:dyDescent="0.35">
      <c r="A430" s="5" t="s">
        <v>1164</v>
      </c>
      <c r="B430" s="6">
        <v>0</v>
      </c>
      <c r="D430" s="6">
        <f>IF(COUNTIF(Sheet4!A:A,A430)&gt;0,VLOOKUP(A430,Sheet4!A:B,2,FALSE),"NotFound")</f>
        <v>0</v>
      </c>
      <c r="F430" s="6" t="str">
        <f t="shared" si="6"/>
        <v>Matching</v>
      </c>
    </row>
    <row r="431" spans="1:6" x14ac:dyDescent="0.35">
      <c r="A431" s="5" t="s">
        <v>1163</v>
      </c>
      <c r="B431" s="6">
        <v>0</v>
      </c>
      <c r="D431" s="6">
        <f>IF(COUNTIF(Sheet4!A:A,A431)&gt;0,VLOOKUP(A431,Sheet4!A:B,2,FALSE),"NotFound")</f>
        <v>0</v>
      </c>
      <c r="F431" s="6" t="str">
        <f t="shared" si="6"/>
        <v>Matching</v>
      </c>
    </row>
    <row r="432" spans="1:6" x14ac:dyDescent="0.35">
      <c r="A432" s="5" t="s">
        <v>1169</v>
      </c>
      <c r="B432" s="6">
        <v>0</v>
      </c>
      <c r="D432" s="6">
        <f>IF(COUNTIF(Sheet4!A:A,A432)&gt;0,VLOOKUP(A432,Sheet4!A:B,2,FALSE),"NotFound")</f>
        <v>0</v>
      </c>
      <c r="F432" s="6" t="str">
        <f t="shared" si="6"/>
        <v>Matching</v>
      </c>
    </row>
    <row r="433" spans="1:6" x14ac:dyDescent="0.35">
      <c r="A433" s="5" t="s">
        <v>1157</v>
      </c>
      <c r="B433" s="6">
        <v>0</v>
      </c>
      <c r="D433" s="6">
        <f>IF(COUNTIF(Sheet4!A:A,A433)&gt;0,VLOOKUP(A433,Sheet4!A:B,2,FALSE),"NotFound")</f>
        <v>0</v>
      </c>
      <c r="F433" s="6" t="str">
        <f t="shared" si="6"/>
        <v>Matching</v>
      </c>
    </row>
    <row r="434" spans="1:6" x14ac:dyDescent="0.35">
      <c r="A434" s="5" t="s">
        <v>1156</v>
      </c>
      <c r="B434" s="6">
        <v>0</v>
      </c>
      <c r="D434" s="6">
        <f>IF(COUNTIF(Sheet4!A:A,A434)&gt;0,VLOOKUP(A434,Sheet4!A:B,2,FALSE),"NotFound")</f>
        <v>0</v>
      </c>
      <c r="F434" s="6" t="str">
        <f t="shared" si="6"/>
        <v>Matching</v>
      </c>
    </row>
    <row r="435" spans="1:6" x14ac:dyDescent="0.35">
      <c r="A435" s="5" t="s">
        <v>1158</v>
      </c>
      <c r="B435" s="6">
        <v>0</v>
      </c>
      <c r="D435" s="6">
        <f>IF(COUNTIF(Sheet4!A:A,A435)&gt;0,VLOOKUP(A435,Sheet4!A:B,2,FALSE),"NotFound")</f>
        <v>0</v>
      </c>
      <c r="F435" s="6" t="str">
        <f t="shared" si="6"/>
        <v>Matching</v>
      </c>
    </row>
    <row r="436" spans="1:6" x14ac:dyDescent="0.35">
      <c r="A436" s="5" t="s">
        <v>1174</v>
      </c>
      <c r="B436" s="6">
        <v>0</v>
      </c>
      <c r="D436" s="6">
        <f>IF(COUNTIF(Sheet4!A:A,A436)&gt;0,VLOOKUP(A436,Sheet4!A:B,2,FALSE),"NotFound")</f>
        <v>0</v>
      </c>
      <c r="F436" s="6" t="str">
        <f t="shared" si="6"/>
        <v>Matching</v>
      </c>
    </row>
    <row r="437" spans="1:6" x14ac:dyDescent="0.35">
      <c r="A437" s="5" t="s">
        <v>1168</v>
      </c>
      <c r="B437" s="6">
        <v>0</v>
      </c>
      <c r="D437" s="6">
        <f>IF(COUNTIF(Sheet4!A:A,A437)&gt;0,VLOOKUP(A437,Sheet4!A:B,2,FALSE),"NotFound")</f>
        <v>0</v>
      </c>
      <c r="F437" s="6" t="str">
        <f t="shared" si="6"/>
        <v>Matching</v>
      </c>
    </row>
    <row r="438" spans="1:6" x14ac:dyDescent="0.35">
      <c r="A438" s="5" t="s">
        <v>744</v>
      </c>
      <c r="B438" s="6">
        <v>0</v>
      </c>
      <c r="D438" s="6">
        <f>IF(COUNTIF(Sheet4!A:A,A438)&gt;0,VLOOKUP(A438,Sheet4!A:B,2,FALSE),"NotFound")</f>
        <v>0</v>
      </c>
      <c r="F438" s="6" t="str">
        <f t="shared" si="6"/>
        <v>Matching</v>
      </c>
    </row>
    <row r="439" spans="1:6" x14ac:dyDescent="0.35">
      <c r="A439" s="5" t="s">
        <v>1173</v>
      </c>
      <c r="B439" s="6">
        <v>0</v>
      </c>
      <c r="D439" s="6">
        <f>IF(COUNTIF(Sheet4!A:A,A439)&gt;0,VLOOKUP(A439,Sheet4!A:B,2,FALSE),"NotFound")</f>
        <v>0</v>
      </c>
      <c r="F439" s="6" t="str">
        <f t="shared" si="6"/>
        <v>Matching</v>
      </c>
    </row>
    <row r="440" spans="1:6" x14ac:dyDescent="0.35">
      <c r="A440" s="5" t="s">
        <v>1161</v>
      </c>
      <c r="B440" s="6">
        <v>0</v>
      </c>
      <c r="D440" s="6">
        <f>IF(COUNTIF(Sheet4!A:A,A440)&gt;0,VLOOKUP(A440,Sheet4!A:B,2,FALSE),"NotFound")</f>
        <v>0</v>
      </c>
      <c r="F440" s="6" t="str">
        <f t="shared" si="6"/>
        <v>Matching</v>
      </c>
    </row>
    <row r="441" spans="1:6" x14ac:dyDescent="0.35">
      <c r="A441" s="5" t="s">
        <v>1165</v>
      </c>
      <c r="B441" s="6">
        <v>0</v>
      </c>
      <c r="D441" s="6">
        <f>IF(COUNTIF(Sheet4!A:A,A441)&gt;0,VLOOKUP(A441,Sheet4!A:B,2,FALSE),"NotFound")</f>
        <v>0</v>
      </c>
      <c r="F441" s="6" t="str">
        <f t="shared" si="6"/>
        <v>Matching</v>
      </c>
    </row>
    <row r="442" spans="1:6" x14ac:dyDescent="0.35">
      <c r="A442" s="5" t="s">
        <v>1166</v>
      </c>
      <c r="B442" s="6">
        <v>0</v>
      </c>
      <c r="D442" s="6">
        <f>IF(COUNTIF(Sheet4!A:A,A442)&gt;0,VLOOKUP(A442,Sheet4!A:B,2,FALSE),"NotFound")</f>
        <v>0</v>
      </c>
      <c r="F442" s="6" t="str">
        <f t="shared" si="6"/>
        <v>Matching</v>
      </c>
    </row>
    <row r="443" spans="1:6" x14ac:dyDescent="0.35">
      <c r="A443" s="5" t="s">
        <v>743</v>
      </c>
      <c r="B443" s="6">
        <v>0</v>
      </c>
      <c r="D443" s="6">
        <f>IF(COUNTIF(Sheet4!A:A,A443)&gt;0,VLOOKUP(A443,Sheet4!A:B,2,FALSE),"NotFound")</f>
        <v>0</v>
      </c>
      <c r="F443" s="6" t="str">
        <f t="shared" si="6"/>
        <v>Matching</v>
      </c>
    </row>
    <row r="444" spans="1:6" x14ac:dyDescent="0.35">
      <c r="A444" s="5" t="s">
        <v>1155</v>
      </c>
      <c r="B444" s="6">
        <v>0</v>
      </c>
      <c r="D444" s="6">
        <f>IF(COUNTIF(Sheet4!A:A,A444)&gt;0,VLOOKUP(A444,Sheet4!A:B,2,FALSE),"NotFound")</f>
        <v>0</v>
      </c>
      <c r="F444" s="6" t="str">
        <f t="shared" si="6"/>
        <v>Matching</v>
      </c>
    </row>
    <row r="445" spans="1:6" x14ac:dyDescent="0.35">
      <c r="A445" s="5" t="s">
        <v>1153</v>
      </c>
      <c r="B445" s="6">
        <v>0</v>
      </c>
      <c r="D445" s="6">
        <f>IF(COUNTIF(Sheet4!A:A,A445)&gt;0,VLOOKUP(A445,Sheet4!A:B,2,FALSE),"NotFound")</f>
        <v>0</v>
      </c>
      <c r="F445" s="6" t="str">
        <f t="shared" si="6"/>
        <v>Matching</v>
      </c>
    </row>
    <row r="446" spans="1:6" x14ac:dyDescent="0.35">
      <c r="A446" s="5" t="s">
        <v>1154</v>
      </c>
      <c r="B446" s="6">
        <v>0</v>
      </c>
      <c r="D446" s="6">
        <f>IF(COUNTIF(Sheet4!A:A,A446)&gt;0,VLOOKUP(A446,Sheet4!A:B,2,FALSE),"NotFound")</f>
        <v>0</v>
      </c>
      <c r="F446" s="6" t="str">
        <f t="shared" si="6"/>
        <v>Matching</v>
      </c>
    </row>
    <row r="447" spans="1:6" x14ac:dyDescent="0.35">
      <c r="A447" s="5" t="s">
        <v>1159</v>
      </c>
      <c r="B447" s="6">
        <v>0</v>
      </c>
      <c r="D447" s="6">
        <f>IF(COUNTIF(Sheet4!A:A,A447)&gt;0,VLOOKUP(A447,Sheet4!A:B,2,FALSE),"NotFound")</f>
        <v>0</v>
      </c>
      <c r="F447" s="6" t="str">
        <f t="shared" si="6"/>
        <v>Matching</v>
      </c>
    </row>
    <row r="448" spans="1:6" x14ac:dyDescent="0.35">
      <c r="A448" s="5" t="s">
        <v>1160</v>
      </c>
      <c r="B448" s="6">
        <v>0</v>
      </c>
      <c r="D448" s="6">
        <f>IF(COUNTIF(Sheet4!A:A,A448)&gt;0,VLOOKUP(A448,Sheet4!A:B,2,FALSE),"NotFound")</f>
        <v>0</v>
      </c>
      <c r="F448" s="6" t="str">
        <f t="shared" si="6"/>
        <v>Matching</v>
      </c>
    </row>
    <row r="449" spans="1:6" x14ac:dyDescent="0.35">
      <c r="A449" s="5" t="s">
        <v>1170</v>
      </c>
      <c r="B449" s="6">
        <v>0</v>
      </c>
      <c r="D449" s="6">
        <f>IF(COUNTIF(Sheet4!A:A,A449)&gt;0,VLOOKUP(A449,Sheet4!A:B,2,FALSE),"NotFound")</f>
        <v>0</v>
      </c>
      <c r="F449" s="6" t="str">
        <f t="shared" si="6"/>
        <v>Matching</v>
      </c>
    </row>
    <row r="450" spans="1:6" x14ac:dyDescent="0.35">
      <c r="A450" s="5" t="s">
        <v>1090</v>
      </c>
      <c r="B450" s="6">
        <v>2043</v>
      </c>
      <c r="D450" s="6">
        <f>IF(COUNTIF(Sheet4!A:A,A450)&gt;0,VLOOKUP(A450,Sheet4!A:B,2,FALSE),"NotFound")</f>
        <v>2043</v>
      </c>
      <c r="F450" s="6" t="str">
        <f t="shared" si="6"/>
        <v>Matching</v>
      </c>
    </row>
    <row r="451" spans="1:6" x14ac:dyDescent="0.35">
      <c r="A451" s="5" t="s">
        <v>1089</v>
      </c>
      <c r="B451" s="6">
        <v>0</v>
      </c>
      <c r="D451" s="6">
        <f>IF(COUNTIF(Sheet4!A:A,A451)&gt;0,VLOOKUP(A451,Sheet4!A:B,2,FALSE),"NotFound")</f>
        <v>0</v>
      </c>
      <c r="F451" s="6" t="str">
        <f t="shared" ref="F451:F514" si="7">IF(B451=D451,"Matching","mis match")</f>
        <v>Matching</v>
      </c>
    </row>
    <row r="452" spans="1:6" x14ac:dyDescent="0.35">
      <c r="A452" s="5" t="s">
        <v>1082</v>
      </c>
      <c r="B452" s="6">
        <v>2043</v>
      </c>
      <c r="D452" s="6">
        <f>IF(COUNTIF(Sheet4!A:A,A452)&gt;0,VLOOKUP(A452,Sheet4!A:B,2,FALSE),"NotFound")</f>
        <v>2043</v>
      </c>
      <c r="F452" s="6" t="str">
        <f t="shared" si="7"/>
        <v>Matching</v>
      </c>
    </row>
    <row r="453" spans="1:6" x14ac:dyDescent="0.35">
      <c r="A453" s="5" t="s">
        <v>1092</v>
      </c>
      <c r="B453" s="6">
        <v>2043</v>
      </c>
      <c r="D453" s="6">
        <f>IF(COUNTIF(Sheet4!A:A,A453)&gt;0,VLOOKUP(A453,Sheet4!A:B,2,FALSE),"NotFound")</f>
        <v>2043</v>
      </c>
      <c r="F453" s="6" t="str">
        <f t="shared" si="7"/>
        <v>Matching</v>
      </c>
    </row>
    <row r="454" spans="1:6" x14ac:dyDescent="0.35">
      <c r="A454" s="5" t="s">
        <v>1087</v>
      </c>
      <c r="B454" s="6">
        <v>0</v>
      </c>
      <c r="D454" s="6">
        <f>IF(COUNTIF(Sheet4!A:A,A454)&gt;0,VLOOKUP(A454,Sheet4!A:B,2,FALSE),"NotFound")</f>
        <v>0</v>
      </c>
      <c r="F454" s="6" t="str">
        <f t="shared" si="7"/>
        <v>Matching</v>
      </c>
    </row>
    <row r="455" spans="1:6" x14ac:dyDescent="0.35">
      <c r="A455" s="5" t="s">
        <v>1083</v>
      </c>
      <c r="B455" s="6">
        <v>2043</v>
      </c>
      <c r="D455" s="6">
        <f>IF(COUNTIF(Sheet4!A:A,A455)&gt;0,VLOOKUP(A455,Sheet4!A:B,2,FALSE),"NotFound")</f>
        <v>2043</v>
      </c>
      <c r="F455" s="6" t="str">
        <f t="shared" si="7"/>
        <v>Matching</v>
      </c>
    </row>
    <row r="456" spans="1:6" x14ac:dyDescent="0.35">
      <c r="A456" s="5" t="s">
        <v>1085</v>
      </c>
      <c r="B456" s="6">
        <v>2041</v>
      </c>
      <c r="D456" s="6">
        <f>IF(COUNTIF(Sheet4!A:A,A456)&gt;0,VLOOKUP(A456,Sheet4!A:B,2,FALSE),"NotFound")</f>
        <v>2041</v>
      </c>
      <c r="F456" s="6" t="str">
        <f t="shared" si="7"/>
        <v>Matching</v>
      </c>
    </row>
    <row r="457" spans="1:6" x14ac:dyDescent="0.35">
      <c r="A457" s="5" t="s">
        <v>1091</v>
      </c>
      <c r="B457" s="6">
        <v>160</v>
      </c>
      <c r="D457" s="6">
        <f>IF(COUNTIF(Sheet4!A:A,A457)&gt;0,VLOOKUP(A457,Sheet4!A:B,2,FALSE),"NotFound")</f>
        <v>160</v>
      </c>
      <c r="F457" s="6" t="str">
        <f t="shared" si="7"/>
        <v>Matching</v>
      </c>
    </row>
    <row r="458" spans="1:6" x14ac:dyDescent="0.35">
      <c r="A458" s="5" t="s">
        <v>1084</v>
      </c>
      <c r="B458" s="6">
        <v>0</v>
      </c>
      <c r="D458" s="6">
        <f>IF(COUNTIF(Sheet4!A:A,A458)&gt;0,VLOOKUP(A458,Sheet4!A:B,2,FALSE),"NotFound")</f>
        <v>0</v>
      </c>
      <c r="F458" s="6" t="str">
        <f t="shared" si="7"/>
        <v>Matching</v>
      </c>
    </row>
    <row r="459" spans="1:6" x14ac:dyDescent="0.35">
      <c r="A459" s="5" t="s">
        <v>1053</v>
      </c>
      <c r="B459" s="6">
        <v>0</v>
      </c>
      <c r="D459" s="6">
        <f>IF(COUNTIF(Sheet4!A:A,A459)&gt;0,VLOOKUP(A459,Sheet4!A:B,2,FALSE),"NotFound")</f>
        <v>0</v>
      </c>
      <c r="F459" s="6" t="str">
        <f t="shared" si="7"/>
        <v>Matching</v>
      </c>
    </row>
    <row r="460" spans="1:6" x14ac:dyDescent="0.35">
      <c r="A460" s="5" t="s">
        <v>1054</v>
      </c>
      <c r="B460" s="6">
        <v>0</v>
      </c>
      <c r="D460" s="6">
        <f>IF(COUNTIF(Sheet4!A:A,A460)&gt;0,VLOOKUP(A460,Sheet4!A:B,2,FALSE),"NotFound")</f>
        <v>0</v>
      </c>
      <c r="F460" s="6" t="str">
        <f t="shared" si="7"/>
        <v>Matching</v>
      </c>
    </row>
    <row r="461" spans="1:6" x14ac:dyDescent="0.35">
      <c r="A461" s="5" t="s">
        <v>1052</v>
      </c>
      <c r="B461" s="6">
        <v>0</v>
      </c>
      <c r="D461" s="6">
        <f>IF(COUNTIF(Sheet4!A:A,A461)&gt;0,VLOOKUP(A461,Sheet4!A:B,2,FALSE),"NotFound")</f>
        <v>0</v>
      </c>
      <c r="F461" s="6" t="str">
        <f t="shared" si="7"/>
        <v>Matching</v>
      </c>
    </row>
    <row r="462" spans="1:6" x14ac:dyDescent="0.35">
      <c r="A462" s="5" t="s">
        <v>995</v>
      </c>
      <c r="B462" s="6">
        <v>936</v>
      </c>
      <c r="D462" s="6">
        <f>IF(COUNTIF(Sheet4!A:A,A462)&gt;0,VLOOKUP(A462,Sheet4!A:B,2,FALSE),"NotFound")</f>
        <v>936</v>
      </c>
      <c r="F462" s="6" t="str">
        <f t="shared" si="7"/>
        <v>Matching</v>
      </c>
    </row>
    <row r="463" spans="1:6" x14ac:dyDescent="0.35">
      <c r="A463" s="5" t="s">
        <v>999</v>
      </c>
      <c r="B463" s="6">
        <v>5</v>
      </c>
      <c r="D463" s="6">
        <f>IF(COUNTIF(Sheet4!A:A,A463)&gt;0,VLOOKUP(A463,Sheet4!A:B,2,FALSE),"NotFound")</f>
        <v>5</v>
      </c>
      <c r="F463" s="6" t="str">
        <f t="shared" si="7"/>
        <v>Matching</v>
      </c>
    </row>
    <row r="464" spans="1:6" x14ac:dyDescent="0.35">
      <c r="A464" s="5" t="s">
        <v>985</v>
      </c>
      <c r="B464" s="6">
        <v>10125</v>
      </c>
      <c r="D464" s="6">
        <f>IF(COUNTIF(Sheet4!A:A,A464)&gt;0,VLOOKUP(A464,Sheet4!A:B,2,FALSE),"NotFound")</f>
        <v>10125</v>
      </c>
      <c r="F464" s="6" t="str">
        <f t="shared" si="7"/>
        <v>Matching</v>
      </c>
    </row>
    <row r="465" spans="1:6" x14ac:dyDescent="0.35">
      <c r="A465" s="5" t="s">
        <v>1057</v>
      </c>
      <c r="B465" s="6">
        <v>0</v>
      </c>
      <c r="D465" s="6">
        <f>IF(COUNTIF(Sheet4!A:A,A465)&gt;0,VLOOKUP(A465,Sheet4!A:B,2,FALSE),"NotFound")</f>
        <v>0</v>
      </c>
      <c r="F465" s="6" t="str">
        <f t="shared" si="7"/>
        <v>Matching</v>
      </c>
    </row>
    <row r="466" spans="1:6" x14ac:dyDescent="0.35">
      <c r="A466" s="5" t="s">
        <v>1020</v>
      </c>
      <c r="B466" s="6">
        <v>0</v>
      </c>
      <c r="D466" s="6">
        <f>IF(COUNTIF(Sheet4!A:A,A466)&gt;0,VLOOKUP(A466,Sheet4!A:B,2,FALSE),"NotFound")</f>
        <v>0</v>
      </c>
      <c r="F466" s="6" t="str">
        <f t="shared" si="7"/>
        <v>Matching</v>
      </c>
    </row>
    <row r="467" spans="1:6" x14ac:dyDescent="0.35">
      <c r="A467" s="5" t="s">
        <v>993</v>
      </c>
      <c r="B467" s="6">
        <v>9771</v>
      </c>
      <c r="D467" s="6">
        <f>IF(COUNTIF(Sheet4!A:A,A467)&gt;0,VLOOKUP(A467,Sheet4!A:B,2,FALSE),"NotFound")</f>
        <v>9771</v>
      </c>
      <c r="F467" s="6" t="str">
        <f t="shared" si="7"/>
        <v>Matching</v>
      </c>
    </row>
    <row r="468" spans="1:6" x14ac:dyDescent="0.35">
      <c r="A468" s="5" t="s">
        <v>1058</v>
      </c>
      <c r="B468" s="6">
        <v>0</v>
      </c>
      <c r="D468" s="6">
        <f>IF(COUNTIF(Sheet4!A:A,A468)&gt;0,VLOOKUP(A468,Sheet4!A:B,2,FALSE),"NotFound")</f>
        <v>0</v>
      </c>
      <c r="F468" s="6" t="str">
        <f t="shared" si="7"/>
        <v>Matching</v>
      </c>
    </row>
    <row r="469" spans="1:6" x14ac:dyDescent="0.35">
      <c r="A469" s="5" t="s">
        <v>1010</v>
      </c>
      <c r="B469" s="6">
        <v>9761</v>
      </c>
      <c r="D469" s="6">
        <f>IF(COUNTIF(Sheet4!A:A,A469)&gt;0,VLOOKUP(A469,Sheet4!A:B,2,FALSE),"NotFound")</f>
        <v>9761</v>
      </c>
      <c r="F469" s="6" t="str">
        <f t="shared" si="7"/>
        <v>Matching</v>
      </c>
    </row>
    <row r="470" spans="1:6" x14ac:dyDescent="0.35">
      <c r="A470" s="5" t="s">
        <v>1059</v>
      </c>
      <c r="B470" s="6">
        <v>0</v>
      </c>
      <c r="D470" s="6">
        <f>IF(COUNTIF(Sheet4!A:A,A470)&gt;0,VLOOKUP(A470,Sheet4!A:B,2,FALSE),"NotFound")</f>
        <v>0</v>
      </c>
      <c r="F470" s="6" t="str">
        <f t="shared" si="7"/>
        <v>Matching</v>
      </c>
    </row>
    <row r="471" spans="1:6" x14ac:dyDescent="0.35">
      <c r="A471" s="5" t="s">
        <v>1021</v>
      </c>
      <c r="B471" s="6">
        <v>0</v>
      </c>
      <c r="D471" s="6">
        <f>IF(COUNTIF(Sheet4!A:A,A471)&gt;0,VLOOKUP(A471,Sheet4!A:B,2,FALSE),"NotFound")</f>
        <v>0</v>
      </c>
      <c r="F471" s="6" t="str">
        <f t="shared" si="7"/>
        <v>Matching</v>
      </c>
    </row>
    <row r="472" spans="1:6" x14ac:dyDescent="0.35">
      <c r="A472" s="5" t="s">
        <v>1018</v>
      </c>
      <c r="B472" s="6">
        <v>0</v>
      </c>
      <c r="D472" s="6">
        <f>IF(COUNTIF(Sheet4!A:A,A472)&gt;0,VLOOKUP(A472,Sheet4!A:B,2,FALSE),"NotFound")</f>
        <v>0</v>
      </c>
      <c r="F472" s="6" t="str">
        <f t="shared" si="7"/>
        <v>Matching</v>
      </c>
    </row>
    <row r="473" spans="1:6" x14ac:dyDescent="0.35">
      <c r="A473" s="5" t="s">
        <v>1005</v>
      </c>
      <c r="B473" s="6">
        <v>0</v>
      </c>
      <c r="D473" s="6">
        <f>IF(COUNTIF(Sheet4!A:A,A473)&gt;0,VLOOKUP(A473,Sheet4!A:B,2,FALSE),"NotFound")</f>
        <v>0</v>
      </c>
      <c r="F473" s="6" t="str">
        <f t="shared" si="7"/>
        <v>Matching</v>
      </c>
    </row>
    <row r="474" spans="1:6" x14ac:dyDescent="0.35">
      <c r="A474" s="5" t="s">
        <v>1011</v>
      </c>
      <c r="B474" s="6">
        <v>0</v>
      </c>
      <c r="D474" s="6">
        <f>IF(COUNTIF(Sheet4!A:A,A474)&gt;0,VLOOKUP(A474,Sheet4!A:B,2,FALSE),"NotFound")</f>
        <v>0</v>
      </c>
      <c r="F474" s="6" t="str">
        <f t="shared" si="7"/>
        <v>Matching</v>
      </c>
    </row>
    <row r="475" spans="1:6" x14ac:dyDescent="0.35">
      <c r="A475" s="5" t="s">
        <v>1060</v>
      </c>
      <c r="B475" s="6">
        <v>0</v>
      </c>
      <c r="D475" s="6">
        <f>IF(COUNTIF(Sheet4!A:A,A475)&gt;0,VLOOKUP(A475,Sheet4!A:B,2,FALSE),"NotFound")</f>
        <v>0</v>
      </c>
      <c r="F475" s="6" t="str">
        <f t="shared" si="7"/>
        <v>Matching</v>
      </c>
    </row>
    <row r="476" spans="1:6" x14ac:dyDescent="0.35">
      <c r="A476" s="5" t="s">
        <v>1063</v>
      </c>
      <c r="B476" s="6">
        <v>97820</v>
      </c>
      <c r="D476" s="6">
        <f>IF(COUNTIF(Sheet4!A:A,A476)&gt;0,VLOOKUP(A476,Sheet4!A:B,2,FALSE),"NotFound")</f>
        <v>97820</v>
      </c>
      <c r="F476" s="6" t="str">
        <f t="shared" si="7"/>
        <v>Matching</v>
      </c>
    </row>
    <row r="477" spans="1:6" x14ac:dyDescent="0.35">
      <c r="A477" s="5" t="s">
        <v>1061</v>
      </c>
      <c r="B477" s="6">
        <v>0</v>
      </c>
      <c r="D477" s="6">
        <f>IF(COUNTIF(Sheet4!A:A,A477)&gt;0,VLOOKUP(A477,Sheet4!A:B,2,FALSE),"NotFound")</f>
        <v>0</v>
      </c>
      <c r="F477" s="6" t="str">
        <f t="shared" si="7"/>
        <v>Matching</v>
      </c>
    </row>
    <row r="478" spans="1:6" x14ac:dyDescent="0.35">
      <c r="A478" s="5" t="s">
        <v>1007</v>
      </c>
      <c r="B478" s="6">
        <v>0</v>
      </c>
      <c r="D478" s="6">
        <f>IF(COUNTIF(Sheet4!A:A,A478)&gt;0,VLOOKUP(A478,Sheet4!A:B,2,FALSE),"NotFound")</f>
        <v>0</v>
      </c>
      <c r="F478" s="6" t="str">
        <f t="shared" si="7"/>
        <v>Matching</v>
      </c>
    </row>
    <row r="479" spans="1:6" x14ac:dyDescent="0.35">
      <c r="A479" s="5" t="s">
        <v>990</v>
      </c>
      <c r="B479" s="6">
        <v>18178</v>
      </c>
      <c r="D479" s="6">
        <f>IF(COUNTIF(Sheet4!A:A,A479)&gt;0,VLOOKUP(A479,Sheet4!A:B,2,FALSE),"NotFound")</f>
        <v>18178</v>
      </c>
      <c r="F479" s="6" t="str">
        <f t="shared" si="7"/>
        <v>Matching</v>
      </c>
    </row>
    <row r="480" spans="1:6" x14ac:dyDescent="0.35">
      <c r="A480" s="5" t="s">
        <v>1062</v>
      </c>
      <c r="B480" s="6">
        <v>0</v>
      </c>
      <c r="D480" s="6">
        <f>IF(COUNTIF(Sheet4!A:A,A480)&gt;0,VLOOKUP(A480,Sheet4!A:B,2,FALSE),"NotFound")</f>
        <v>0</v>
      </c>
      <c r="F480" s="6" t="str">
        <f t="shared" si="7"/>
        <v>Matching</v>
      </c>
    </row>
    <row r="481" spans="1:6" x14ac:dyDescent="0.35">
      <c r="A481" s="5" t="s">
        <v>1003</v>
      </c>
      <c r="B481" s="6">
        <v>9035</v>
      </c>
      <c r="D481" s="6">
        <f>IF(COUNTIF(Sheet4!A:A,A481)&gt;0,VLOOKUP(A481,Sheet4!A:B,2,FALSE),"NotFound")</f>
        <v>9035</v>
      </c>
      <c r="F481" s="6" t="str">
        <f t="shared" si="7"/>
        <v>Matching</v>
      </c>
    </row>
    <row r="482" spans="1:6" x14ac:dyDescent="0.35">
      <c r="A482" s="5" t="s">
        <v>1006</v>
      </c>
      <c r="B482" s="6">
        <v>5392</v>
      </c>
      <c r="D482" s="6">
        <f>IF(COUNTIF(Sheet4!A:A,A482)&gt;0,VLOOKUP(A482,Sheet4!A:B,2,FALSE),"NotFound")</f>
        <v>5392</v>
      </c>
      <c r="F482" s="6" t="str">
        <f t="shared" si="7"/>
        <v>Matching</v>
      </c>
    </row>
    <row r="483" spans="1:6" x14ac:dyDescent="0.35">
      <c r="A483" s="5" t="s">
        <v>989</v>
      </c>
      <c r="B483" s="6">
        <v>8919</v>
      </c>
      <c r="D483" s="6">
        <f>IF(COUNTIF(Sheet4!A:A,A483)&gt;0,VLOOKUP(A483,Sheet4!A:B,2,FALSE),"NotFound")</f>
        <v>8919</v>
      </c>
      <c r="F483" s="6" t="str">
        <f t="shared" si="7"/>
        <v>Matching</v>
      </c>
    </row>
    <row r="484" spans="1:6" x14ac:dyDescent="0.35">
      <c r="A484" s="5" t="s">
        <v>1002</v>
      </c>
      <c r="B484" s="6">
        <v>9068</v>
      </c>
      <c r="D484" s="6">
        <f>IF(COUNTIF(Sheet4!A:A,A484)&gt;0,VLOOKUP(A484,Sheet4!A:B,2,FALSE),"NotFound")</f>
        <v>9068</v>
      </c>
      <c r="F484" s="6" t="str">
        <f t="shared" si="7"/>
        <v>Matching</v>
      </c>
    </row>
    <row r="485" spans="1:6" x14ac:dyDescent="0.35">
      <c r="A485" s="5" t="s">
        <v>1055</v>
      </c>
      <c r="B485" s="6">
        <v>0</v>
      </c>
      <c r="D485" s="6">
        <f>IF(COUNTIF(Sheet4!A:A,A485)&gt;0,VLOOKUP(A485,Sheet4!A:B,2,FALSE),"NotFound")</f>
        <v>0</v>
      </c>
      <c r="F485" s="6" t="str">
        <f t="shared" si="7"/>
        <v>Matching</v>
      </c>
    </row>
    <row r="486" spans="1:6" x14ac:dyDescent="0.35">
      <c r="A486" s="5" t="s">
        <v>1056</v>
      </c>
      <c r="B486" s="6">
        <v>0</v>
      </c>
      <c r="D486" s="6">
        <f>IF(COUNTIF(Sheet4!A:A,A486)&gt;0,VLOOKUP(A486,Sheet4!A:B,2,FALSE),"NotFound")</f>
        <v>0</v>
      </c>
      <c r="F486" s="6" t="str">
        <f t="shared" si="7"/>
        <v>Matching</v>
      </c>
    </row>
    <row r="487" spans="1:6" x14ac:dyDescent="0.35">
      <c r="A487" s="5" t="s">
        <v>994</v>
      </c>
      <c r="B487" s="6">
        <v>9034</v>
      </c>
      <c r="D487" s="6">
        <f>IF(COUNTIF(Sheet4!A:A,A487)&gt;0,VLOOKUP(A487,Sheet4!A:B,2,FALSE),"NotFound")</f>
        <v>9034</v>
      </c>
      <c r="F487" s="6" t="str">
        <f t="shared" si="7"/>
        <v>Matching</v>
      </c>
    </row>
    <row r="488" spans="1:6" x14ac:dyDescent="0.35">
      <c r="A488" s="5" t="s">
        <v>1017</v>
      </c>
      <c r="B488" s="6">
        <v>240</v>
      </c>
      <c r="D488" s="6">
        <f>IF(COUNTIF(Sheet4!A:A,A488)&gt;0,VLOOKUP(A488,Sheet4!A:B,2,FALSE),"NotFound")</f>
        <v>240</v>
      </c>
      <c r="F488" s="6" t="str">
        <f t="shared" si="7"/>
        <v>Matching</v>
      </c>
    </row>
    <row r="489" spans="1:6" x14ac:dyDescent="0.35">
      <c r="A489" s="5" t="s">
        <v>1012</v>
      </c>
      <c r="B489" s="6">
        <v>1</v>
      </c>
      <c r="D489" s="6">
        <f>IF(COUNTIF(Sheet4!A:A,A489)&gt;0,VLOOKUP(A489,Sheet4!A:B,2,FALSE),"NotFound")</f>
        <v>1</v>
      </c>
      <c r="F489" s="6" t="str">
        <f t="shared" si="7"/>
        <v>Matching</v>
      </c>
    </row>
    <row r="490" spans="1:6" x14ac:dyDescent="0.35">
      <c r="A490" s="5" t="s">
        <v>1123</v>
      </c>
      <c r="B490" s="6">
        <v>0</v>
      </c>
      <c r="D490" s="6">
        <f>IF(COUNTIF(Sheet4!A:A,A490)&gt;0,VLOOKUP(A490,Sheet4!A:B,2,FALSE),"NotFound")</f>
        <v>0</v>
      </c>
      <c r="F490" s="6" t="str">
        <f t="shared" si="7"/>
        <v>Matching</v>
      </c>
    </row>
    <row r="491" spans="1:6" x14ac:dyDescent="0.35">
      <c r="A491" s="5" t="s">
        <v>1125</v>
      </c>
      <c r="B491" s="6">
        <v>0</v>
      </c>
      <c r="D491" s="6">
        <f>IF(COUNTIF(Sheet4!A:A,A491)&gt;0,VLOOKUP(A491,Sheet4!A:B,2,FALSE),"NotFound")</f>
        <v>0</v>
      </c>
      <c r="F491" s="6" t="str">
        <f t="shared" si="7"/>
        <v>Matching</v>
      </c>
    </row>
    <row r="492" spans="1:6" x14ac:dyDescent="0.35">
      <c r="A492" s="5" t="s">
        <v>1120</v>
      </c>
      <c r="B492" s="6">
        <v>0</v>
      </c>
      <c r="D492" s="6">
        <f>IF(COUNTIF(Sheet4!A:A,A492)&gt;0,VLOOKUP(A492,Sheet4!A:B,2,FALSE),"NotFound")</f>
        <v>0</v>
      </c>
      <c r="F492" s="6" t="str">
        <f t="shared" si="7"/>
        <v>Matching</v>
      </c>
    </row>
    <row r="493" spans="1:6" x14ac:dyDescent="0.35">
      <c r="A493" s="5" t="s">
        <v>654</v>
      </c>
      <c r="B493" s="6">
        <v>26515</v>
      </c>
      <c r="D493" s="6">
        <f>IF(COUNTIF(Sheet4!A:A,A493)&gt;0,VLOOKUP(A493,Sheet4!A:B,2,FALSE),"NotFound")</f>
        <v>26515</v>
      </c>
      <c r="F493" s="6" t="str">
        <f t="shared" si="7"/>
        <v>Matching</v>
      </c>
    </row>
    <row r="494" spans="1:6" x14ac:dyDescent="0.35">
      <c r="A494" s="5" t="s">
        <v>1180</v>
      </c>
      <c r="B494" s="6">
        <v>0</v>
      </c>
      <c r="D494" s="6">
        <f>IF(COUNTIF(Sheet4!A:A,A494)&gt;0,VLOOKUP(A494,Sheet4!A:B,2,FALSE),"NotFound")</f>
        <v>0</v>
      </c>
      <c r="F494" s="6" t="str">
        <f t="shared" si="7"/>
        <v>Matching</v>
      </c>
    </row>
    <row r="495" spans="1:6" x14ac:dyDescent="0.35">
      <c r="A495" s="5" t="s">
        <v>1177</v>
      </c>
      <c r="B495" s="6">
        <v>0</v>
      </c>
      <c r="D495" s="6">
        <f>IF(COUNTIF(Sheet4!A:A,A495)&gt;0,VLOOKUP(A495,Sheet4!A:B,2,FALSE),"NotFound")</f>
        <v>0</v>
      </c>
      <c r="F495" s="6" t="str">
        <f t="shared" si="7"/>
        <v>Matching</v>
      </c>
    </row>
    <row r="496" spans="1:6" x14ac:dyDescent="0.35">
      <c r="A496" s="5" t="s">
        <v>1176</v>
      </c>
      <c r="B496" s="6">
        <v>0</v>
      </c>
      <c r="D496" s="6">
        <f>IF(COUNTIF(Sheet4!A:A,A496)&gt;0,VLOOKUP(A496,Sheet4!A:B,2,FALSE),"NotFound")</f>
        <v>0</v>
      </c>
      <c r="F496" s="6" t="str">
        <f t="shared" si="7"/>
        <v>Matching</v>
      </c>
    </row>
    <row r="497" spans="1:6" x14ac:dyDescent="0.35">
      <c r="A497" s="5" t="s">
        <v>1181</v>
      </c>
      <c r="B497" s="6">
        <v>0</v>
      </c>
      <c r="D497" s="6">
        <f>IF(COUNTIF(Sheet4!A:A,A497)&gt;0,VLOOKUP(A497,Sheet4!A:B,2,FALSE),"NotFound")</f>
        <v>0</v>
      </c>
      <c r="F497" s="6" t="str">
        <f t="shared" si="7"/>
        <v>Matching</v>
      </c>
    </row>
    <row r="498" spans="1:6" x14ac:dyDescent="0.35">
      <c r="A498" s="5" t="s">
        <v>1175</v>
      </c>
      <c r="B498" s="6">
        <v>0</v>
      </c>
      <c r="D498" s="6">
        <f>IF(COUNTIF(Sheet4!A:A,A498)&gt;0,VLOOKUP(A498,Sheet4!A:B,2,FALSE),"NotFound")</f>
        <v>0</v>
      </c>
      <c r="F498" s="6" t="str">
        <f t="shared" si="7"/>
        <v>Matching</v>
      </c>
    </row>
    <row r="499" spans="1:6" x14ac:dyDescent="0.35">
      <c r="A499" s="5" t="s">
        <v>1178</v>
      </c>
      <c r="B499" s="6">
        <v>0</v>
      </c>
      <c r="D499" s="6">
        <f>IF(COUNTIF(Sheet4!A:A,A499)&gt;0,VLOOKUP(A499,Sheet4!A:B,2,FALSE),"NotFound")</f>
        <v>0</v>
      </c>
      <c r="F499" s="6" t="str">
        <f t="shared" si="7"/>
        <v>Matching</v>
      </c>
    </row>
    <row r="500" spans="1:6" x14ac:dyDescent="0.35">
      <c r="A500" s="5" t="s">
        <v>1179</v>
      </c>
      <c r="B500" s="6">
        <v>0</v>
      </c>
      <c r="D500" s="6">
        <f>IF(COUNTIF(Sheet4!A:A,A500)&gt;0,VLOOKUP(A500,Sheet4!A:B,2,FALSE),"NotFound")</f>
        <v>0</v>
      </c>
      <c r="F500" s="6" t="str">
        <f t="shared" si="7"/>
        <v>Matching</v>
      </c>
    </row>
    <row r="501" spans="1:6" x14ac:dyDescent="0.35">
      <c r="A501" s="5" t="s">
        <v>681</v>
      </c>
      <c r="B501" s="6">
        <v>0</v>
      </c>
      <c r="D501" s="6">
        <f>IF(COUNTIF(Sheet4!A:A,A501)&gt;0,VLOOKUP(A501,Sheet4!A:B,2,FALSE),"NotFound")</f>
        <v>0</v>
      </c>
      <c r="F501" s="6" t="str">
        <f t="shared" si="7"/>
        <v>Matching</v>
      </c>
    </row>
    <row r="502" spans="1:6" x14ac:dyDescent="0.35">
      <c r="A502" s="5" t="s">
        <v>1182</v>
      </c>
      <c r="B502" s="6">
        <v>0</v>
      </c>
      <c r="D502" s="6">
        <f>IF(COUNTIF(Sheet4!A:A,A502)&gt;0,VLOOKUP(A502,Sheet4!A:B,2,FALSE),"NotFound")</f>
        <v>0</v>
      </c>
      <c r="F502" s="6" t="str">
        <f t="shared" si="7"/>
        <v>Matching</v>
      </c>
    </row>
    <row r="503" spans="1:6" x14ac:dyDescent="0.35">
      <c r="A503" s="5" t="s">
        <v>1135</v>
      </c>
      <c r="B503" s="6">
        <v>0</v>
      </c>
      <c r="D503" s="6">
        <f>IF(COUNTIF(Sheet4!A:A,A503)&gt;0,VLOOKUP(A503,Sheet4!A:B,2,FALSE),"NotFound")</f>
        <v>0</v>
      </c>
      <c r="F503" s="6" t="str">
        <f t="shared" si="7"/>
        <v>Matching</v>
      </c>
    </row>
    <row r="504" spans="1:6" x14ac:dyDescent="0.35">
      <c r="A504" s="5" t="s">
        <v>1137</v>
      </c>
      <c r="B504" s="6">
        <v>0</v>
      </c>
      <c r="D504" s="6">
        <f>IF(COUNTIF(Sheet4!A:A,A504)&gt;0,VLOOKUP(A504,Sheet4!A:B,2,FALSE),"NotFound")</f>
        <v>0</v>
      </c>
      <c r="F504" s="6" t="str">
        <f t="shared" si="7"/>
        <v>Matching</v>
      </c>
    </row>
    <row r="505" spans="1:6" x14ac:dyDescent="0.35">
      <c r="A505" s="5" t="s">
        <v>1131</v>
      </c>
      <c r="B505" s="6">
        <v>0</v>
      </c>
      <c r="D505" s="6">
        <f>IF(COUNTIF(Sheet4!A:A,A505)&gt;0,VLOOKUP(A505,Sheet4!A:B,2,FALSE),"NotFound")</f>
        <v>0</v>
      </c>
      <c r="F505" s="6" t="str">
        <f t="shared" si="7"/>
        <v>Matching</v>
      </c>
    </row>
    <row r="506" spans="1:6" x14ac:dyDescent="0.35">
      <c r="A506" s="5" t="s">
        <v>1134</v>
      </c>
      <c r="B506" s="6">
        <v>0</v>
      </c>
      <c r="D506" s="6">
        <f>IF(COUNTIF(Sheet4!A:A,A506)&gt;0,VLOOKUP(A506,Sheet4!A:B,2,FALSE),"NotFound")</f>
        <v>0</v>
      </c>
      <c r="F506" s="6" t="str">
        <f t="shared" si="7"/>
        <v>Matching</v>
      </c>
    </row>
    <row r="507" spans="1:6" x14ac:dyDescent="0.35">
      <c r="A507" s="5" t="s">
        <v>1132</v>
      </c>
      <c r="B507" s="6">
        <v>0</v>
      </c>
      <c r="D507" s="6">
        <f>IF(COUNTIF(Sheet4!A:A,A507)&gt;0,VLOOKUP(A507,Sheet4!A:B,2,FALSE),"NotFound")</f>
        <v>0</v>
      </c>
      <c r="F507" s="6" t="str">
        <f t="shared" si="7"/>
        <v>Matching</v>
      </c>
    </row>
    <row r="508" spans="1:6" x14ac:dyDescent="0.35">
      <c r="A508" s="5" t="s">
        <v>1136</v>
      </c>
      <c r="B508" s="6">
        <v>0</v>
      </c>
      <c r="D508" s="6">
        <f>IF(COUNTIF(Sheet4!A:A,A508)&gt;0,VLOOKUP(A508,Sheet4!A:B,2,FALSE),"NotFound")</f>
        <v>0</v>
      </c>
      <c r="F508" s="6" t="str">
        <f t="shared" si="7"/>
        <v>Matching</v>
      </c>
    </row>
    <row r="509" spans="1:6" x14ac:dyDescent="0.35">
      <c r="A509" s="5" t="s">
        <v>1133</v>
      </c>
      <c r="B509" s="6">
        <v>0</v>
      </c>
      <c r="D509" s="6">
        <f>IF(COUNTIF(Sheet4!A:A,A509)&gt;0,VLOOKUP(A509,Sheet4!A:B,2,FALSE),"NotFound")</f>
        <v>0</v>
      </c>
      <c r="F509" s="6" t="str">
        <f t="shared" si="7"/>
        <v>Matching</v>
      </c>
    </row>
    <row r="510" spans="1:6" x14ac:dyDescent="0.35">
      <c r="A510" s="5" t="s">
        <v>694</v>
      </c>
      <c r="B510" s="6">
        <v>0</v>
      </c>
      <c r="D510" s="6">
        <f>IF(COUNTIF(Sheet4!A:A,A510)&gt;0,VLOOKUP(A510,Sheet4!A:B,2,FALSE),"NotFound")</f>
        <v>0</v>
      </c>
      <c r="F510" s="6" t="str">
        <f t="shared" si="7"/>
        <v>Matching</v>
      </c>
    </row>
    <row r="511" spans="1:6" x14ac:dyDescent="0.35">
      <c r="A511" s="5" t="s">
        <v>976</v>
      </c>
      <c r="B511" s="6">
        <v>0</v>
      </c>
      <c r="D511" s="6">
        <f>IF(COUNTIF(Sheet4!A:A,A511)&gt;0,VLOOKUP(A511,Sheet4!A:B,2,FALSE),"NotFound")</f>
        <v>0</v>
      </c>
      <c r="F511" s="6" t="str">
        <f t="shared" si="7"/>
        <v>Matching</v>
      </c>
    </row>
    <row r="512" spans="1:6" x14ac:dyDescent="0.35">
      <c r="A512" s="5" t="s">
        <v>1107</v>
      </c>
      <c r="B512" s="6">
        <v>0</v>
      </c>
      <c r="D512" s="6">
        <f>IF(COUNTIF(Sheet4!A:A,A512)&gt;0,VLOOKUP(A512,Sheet4!A:B,2,FALSE),"NotFound")</f>
        <v>0</v>
      </c>
      <c r="F512" s="6" t="str">
        <f t="shared" si="7"/>
        <v>Matching</v>
      </c>
    </row>
    <row r="513" spans="1:6" x14ac:dyDescent="0.35">
      <c r="A513" s="5" t="s">
        <v>1108</v>
      </c>
      <c r="B513" s="6">
        <v>0</v>
      </c>
      <c r="D513" s="6">
        <f>IF(COUNTIF(Sheet4!A:A,A513)&gt;0,VLOOKUP(A513,Sheet4!A:B,2,FALSE),"NotFound")</f>
        <v>0</v>
      </c>
      <c r="F513" s="6" t="str">
        <f t="shared" si="7"/>
        <v>Matching</v>
      </c>
    </row>
    <row r="514" spans="1:6" x14ac:dyDescent="0.35">
      <c r="A514" s="5" t="s">
        <v>1109</v>
      </c>
      <c r="B514" s="6">
        <v>0</v>
      </c>
      <c r="D514" s="6">
        <f>IF(COUNTIF(Sheet4!A:A,A514)&gt;0,VLOOKUP(A514,Sheet4!A:B,2,FALSE),"NotFound")</f>
        <v>0</v>
      </c>
      <c r="F514" s="6" t="str">
        <f t="shared" si="7"/>
        <v>Matching</v>
      </c>
    </row>
    <row r="515" spans="1:6" x14ac:dyDescent="0.35">
      <c r="A515" s="5" t="s">
        <v>1014</v>
      </c>
      <c r="B515" s="6">
        <v>0</v>
      </c>
      <c r="D515" s="6">
        <f>IF(COUNTIF(Sheet4!A:A,A515)&gt;0,VLOOKUP(A515,Sheet4!A:B,2,FALSE),"NotFound")</f>
        <v>0</v>
      </c>
      <c r="F515" s="6" t="str">
        <f t="shared" ref="F515:F544" si="8">IF(B515=D515,"Matching","mis match")</f>
        <v>Matching</v>
      </c>
    </row>
    <row r="516" spans="1:6" x14ac:dyDescent="0.35">
      <c r="A516" s="5" t="s">
        <v>1016</v>
      </c>
      <c r="B516" s="6">
        <v>0</v>
      </c>
      <c r="D516" s="6">
        <f>IF(COUNTIF(Sheet4!A:A,A516)&gt;0,VLOOKUP(A516,Sheet4!A:B,2,FALSE),"NotFound")</f>
        <v>0</v>
      </c>
      <c r="F516" s="6" t="str">
        <f t="shared" si="8"/>
        <v>Matching</v>
      </c>
    </row>
    <row r="517" spans="1:6" x14ac:dyDescent="0.35">
      <c r="A517" s="5" t="s">
        <v>1013</v>
      </c>
      <c r="B517" s="6">
        <v>0</v>
      </c>
      <c r="D517" s="6">
        <f>IF(COUNTIF(Sheet4!A:A,A517)&gt;0,VLOOKUP(A517,Sheet4!A:B,2,FALSE),"NotFound")</f>
        <v>0</v>
      </c>
      <c r="F517" s="6" t="str">
        <f t="shared" si="8"/>
        <v>Matching</v>
      </c>
    </row>
    <row r="518" spans="1:6" x14ac:dyDescent="0.35">
      <c r="A518" s="5" t="s">
        <v>1183</v>
      </c>
      <c r="B518" s="6">
        <v>0</v>
      </c>
      <c r="D518" s="6">
        <f>IF(COUNTIF(Sheet4!A:A,A518)&gt;0,VLOOKUP(A518,Sheet4!A:B,2,FALSE),"NotFound")</f>
        <v>0</v>
      </c>
      <c r="F518" s="6" t="str">
        <f t="shared" si="8"/>
        <v>Matching</v>
      </c>
    </row>
    <row r="519" spans="1:6" x14ac:dyDescent="0.35">
      <c r="A519" s="5" t="s">
        <v>1184</v>
      </c>
      <c r="B519" s="6">
        <v>0</v>
      </c>
      <c r="D519" s="6">
        <f>IF(COUNTIF(Sheet4!A:A,A519)&gt;0,VLOOKUP(A519,Sheet4!A:B,2,FALSE),"NotFound")</f>
        <v>0</v>
      </c>
      <c r="F519" s="6" t="str">
        <f t="shared" si="8"/>
        <v>Matching</v>
      </c>
    </row>
    <row r="520" spans="1:6" x14ac:dyDescent="0.35">
      <c r="A520" s="5" t="s">
        <v>1185</v>
      </c>
      <c r="B520" s="6">
        <v>0</v>
      </c>
      <c r="D520" s="6">
        <f>IF(COUNTIF(Sheet4!A:A,A520)&gt;0,VLOOKUP(A520,Sheet4!A:B,2,FALSE),"NotFound")</f>
        <v>0</v>
      </c>
      <c r="F520" s="6" t="str">
        <f t="shared" si="8"/>
        <v>Matching</v>
      </c>
    </row>
    <row r="521" spans="1:6" x14ac:dyDescent="0.35">
      <c r="A521" s="5" t="s">
        <v>922</v>
      </c>
      <c r="B521" s="6">
        <v>0</v>
      </c>
      <c r="D521" s="6">
        <f>IF(COUNTIF(Sheet4!A:A,A521)&gt;0,VLOOKUP(A521,Sheet4!A:B,2,FALSE),"NotFound")</f>
        <v>0</v>
      </c>
      <c r="F521" s="6" t="str">
        <f t="shared" si="8"/>
        <v>Matching</v>
      </c>
    </row>
    <row r="522" spans="1:6" x14ac:dyDescent="0.35">
      <c r="A522" s="5" t="s">
        <v>909</v>
      </c>
      <c r="B522" s="6">
        <v>0</v>
      </c>
      <c r="D522" s="6">
        <f>IF(COUNTIF(Sheet4!A:A,A522)&gt;0,VLOOKUP(A522,Sheet4!A:B,2,FALSE),"NotFound")</f>
        <v>0</v>
      </c>
      <c r="F522" s="6" t="str">
        <f t="shared" si="8"/>
        <v>Matching</v>
      </c>
    </row>
    <row r="523" spans="1:6" x14ac:dyDescent="0.35">
      <c r="A523" s="5" t="s">
        <v>973</v>
      </c>
      <c r="B523" s="6">
        <v>0</v>
      </c>
      <c r="D523" s="6">
        <f>IF(COUNTIF(Sheet4!A:A,A523)&gt;0,VLOOKUP(A523,Sheet4!A:B,2,FALSE),"NotFound")</f>
        <v>0</v>
      </c>
      <c r="F523" s="6" t="str">
        <f t="shared" si="8"/>
        <v>Matching</v>
      </c>
    </row>
    <row r="524" spans="1:6" x14ac:dyDescent="0.35">
      <c r="A524" s="5" t="s">
        <v>920</v>
      </c>
      <c r="B524" s="6">
        <v>0</v>
      </c>
      <c r="D524" s="6">
        <f>IF(COUNTIF(Sheet4!A:A,A524)&gt;0,VLOOKUP(A524,Sheet4!A:B,2,FALSE),"NotFound")</f>
        <v>0</v>
      </c>
      <c r="F524" s="6" t="str">
        <f t="shared" si="8"/>
        <v>Matching</v>
      </c>
    </row>
    <row r="525" spans="1:6" x14ac:dyDescent="0.35">
      <c r="A525" s="5" t="s">
        <v>921</v>
      </c>
      <c r="B525" s="6">
        <v>0</v>
      </c>
      <c r="D525" s="6">
        <f>IF(COUNTIF(Sheet4!A:A,A525)&gt;0,VLOOKUP(A525,Sheet4!A:B,2,FALSE),"NotFound")</f>
        <v>0</v>
      </c>
      <c r="F525" s="6" t="str">
        <f t="shared" si="8"/>
        <v>Matching</v>
      </c>
    </row>
    <row r="526" spans="1:6" x14ac:dyDescent="0.35">
      <c r="A526" s="5" t="s">
        <v>686</v>
      </c>
      <c r="B526" s="6">
        <v>0</v>
      </c>
      <c r="D526" s="6">
        <f>IF(COUNTIF(Sheet4!A:A,A526)&gt;0,VLOOKUP(A526,Sheet4!A:B,2,FALSE),"NotFound")</f>
        <v>0</v>
      </c>
      <c r="F526" s="6" t="str">
        <f t="shared" si="8"/>
        <v>Matching</v>
      </c>
    </row>
    <row r="527" spans="1:6" x14ac:dyDescent="0.35">
      <c r="A527" s="5" t="s">
        <v>682</v>
      </c>
      <c r="B527" s="6">
        <v>0</v>
      </c>
      <c r="D527" s="6">
        <f>IF(COUNTIF(Sheet4!A:A,A527)&gt;0,VLOOKUP(A527,Sheet4!A:B,2,FALSE),"NotFound")</f>
        <v>0</v>
      </c>
      <c r="F527" s="6" t="str">
        <f t="shared" si="8"/>
        <v>Matching</v>
      </c>
    </row>
    <row r="528" spans="1:6" x14ac:dyDescent="0.35">
      <c r="A528" s="5" t="s">
        <v>683</v>
      </c>
      <c r="B528" s="6">
        <v>0</v>
      </c>
      <c r="D528" s="6">
        <f>IF(COUNTIF(Sheet4!A:A,A528)&gt;0,VLOOKUP(A528,Sheet4!A:B,2,FALSE),"NotFound")</f>
        <v>0</v>
      </c>
      <c r="F528" s="6" t="str">
        <f t="shared" si="8"/>
        <v>Matching</v>
      </c>
    </row>
    <row r="529" spans="1:6" x14ac:dyDescent="0.35">
      <c r="A529" s="5" t="s">
        <v>684</v>
      </c>
      <c r="B529" s="6">
        <v>0</v>
      </c>
      <c r="D529" s="6">
        <f>IF(COUNTIF(Sheet4!A:A,A529)&gt;0,VLOOKUP(A529,Sheet4!A:B,2,FALSE),"NotFound")</f>
        <v>0</v>
      </c>
      <c r="F529" s="6" t="str">
        <f t="shared" si="8"/>
        <v>Matching</v>
      </c>
    </row>
    <row r="530" spans="1:6" x14ac:dyDescent="0.35">
      <c r="A530" s="5" t="s">
        <v>685</v>
      </c>
      <c r="B530" s="6">
        <v>0</v>
      </c>
      <c r="D530" s="6">
        <f>IF(COUNTIF(Sheet4!A:A,A530)&gt;0,VLOOKUP(A530,Sheet4!A:B,2,FALSE),"NotFound")</f>
        <v>0</v>
      </c>
      <c r="F530" s="6" t="str">
        <f t="shared" si="8"/>
        <v>Matching</v>
      </c>
    </row>
    <row r="531" spans="1:6" x14ac:dyDescent="0.35">
      <c r="A531" s="5" t="s">
        <v>659</v>
      </c>
      <c r="B531" s="6">
        <v>19</v>
      </c>
      <c r="D531" s="6">
        <f>IF(COUNTIF(Sheet4!A:A,A531)&gt;0,VLOOKUP(A531,Sheet4!A:B,2,FALSE),"NotFound")</f>
        <v>19</v>
      </c>
      <c r="F531" s="6" t="str">
        <f t="shared" si="8"/>
        <v>Matching</v>
      </c>
    </row>
    <row r="532" spans="1:6" x14ac:dyDescent="0.35">
      <c r="A532" s="5" t="s">
        <v>693</v>
      </c>
      <c r="B532" s="6">
        <v>0</v>
      </c>
      <c r="D532" s="6">
        <f>IF(COUNTIF(Sheet4!A:A,A532)&gt;0,VLOOKUP(A532,Sheet4!A:B,2,FALSE),"NotFound")</f>
        <v>0</v>
      </c>
      <c r="F532" s="6" t="str">
        <f t="shared" si="8"/>
        <v>Matching</v>
      </c>
    </row>
    <row r="533" spans="1:6" x14ac:dyDescent="0.35">
      <c r="A533" s="5" t="s">
        <v>689</v>
      </c>
      <c r="B533" s="6">
        <v>957</v>
      </c>
      <c r="D533" s="6">
        <f>IF(COUNTIF(Sheet4!A:A,A533)&gt;0,VLOOKUP(A533,Sheet4!A:B,2,FALSE),"NotFound")</f>
        <v>957</v>
      </c>
      <c r="F533" s="6" t="str">
        <f t="shared" si="8"/>
        <v>Matching</v>
      </c>
    </row>
    <row r="534" spans="1:6" x14ac:dyDescent="0.35">
      <c r="A534" s="5" t="s">
        <v>691</v>
      </c>
      <c r="B534" s="6">
        <v>0</v>
      </c>
      <c r="D534" s="6">
        <f>IF(COUNTIF(Sheet4!A:A,A534)&gt;0,VLOOKUP(A534,Sheet4!A:B,2,FALSE),"NotFound")</f>
        <v>0</v>
      </c>
      <c r="F534" s="6" t="str">
        <f t="shared" si="8"/>
        <v>Matching</v>
      </c>
    </row>
    <row r="535" spans="1:6" x14ac:dyDescent="0.35">
      <c r="A535" s="5" t="s">
        <v>661</v>
      </c>
      <c r="B535" s="6">
        <v>566074</v>
      </c>
      <c r="D535" s="6">
        <f>IF(COUNTIF(Sheet4!A:A,A535)&gt;0,VLOOKUP(A535,Sheet4!A:B,2,FALSE),"NotFound")</f>
        <v>566074</v>
      </c>
      <c r="F535" s="6" t="str">
        <f t="shared" si="8"/>
        <v>Matching</v>
      </c>
    </row>
    <row r="536" spans="1:6" x14ac:dyDescent="0.35">
      <c r="A536" s="5" t="s">
        <v>665</v>
      </c>
      <c r="B536" s="6">
        <v>0</v>
      </c>
      <c r="D536" s="6">
        <f>IF(COUNTIF(Sheet4!A:A,A536)&gt;0,VLOOKUP(A536,Sheet4!A:B,2,FALSE),"NotFound")</f>
        <v>0</v>
      </c>
      <c r="F536" s="6" t="str">
        <f t="shared" si="8"/>
        <v>Matching</v>
      </c>
    </row>
    <row r="537" spans="1:6" x14ac:dyDescent="0.35">
      <c r="A537" s="5" t="s">
        <v>789</v>
      </c>
      <c r="B537" s="6">
        <v>0</v>
      </c>
      <c r="D537" s="6">
        <f>IF(COUNTIF(Sheet4!A:A,A537)&gt;0,VLOOKUP(A537,Sheet4!A:B,2,FALSE),"NotFound")</f>
        <v>0</v>
      </c>
      <c r="F537" s="6" t="str">
        <f t="shared" si="8"/>
        <v>Matching</v>
      </c>
    </row>
    <row r="538" spans="1:6" x14ac:dyDescent="0.35">
      <c r="A538" s="5" t="s">
        <v>1189</v>
      </c>
      <c r="B538" s="6">
        <v>0</v>
      </c>
      <c r="D538" s="6">
        <f>IF(COUNTIF(Sheet4!A:A,A538)&gt;0,VLOOKUP(A538,Sheet4!A:B,2,FALSE),"NotFound")</f>
        <v>0</v>
      </c>
      <c r="F538" s="6" t="str">
        <f t="shared" si="8"/>
        <v>Matching</v>
      </c>
    </row>
    <row r="539" spans="1:6" x14ac:dyDescent="0.35">
      <c r="A539" s="5" t="s">
        <v>1187</v>
      </c>
      <c r="B539" s="6">
        <v>0</v>
      </c>
      <c r="D539" s="6">
        <f>IF(COUNTIF(Sheet4!A:A,A539)&gt;0,VLOOKUP(A539,Sheet4!A:B,2,FALSE),"NotFound")</f>
        <v>0</v>
      </c>
      <c r="F539" s="6" t="str">
        <f t="shared" si="8"/>
        <v>Matching</v>
      </c>
    </row>
    <row r="540" spans="1:6" x14ac:dyDescent="0.35">
      <c r="A540" s="5" t="s">
        <v>1188</v>
      </c>
      <c r="B540" s="6">
        <v>0</v>
      </c>
      <c r="D540" s="6">
        <f>IF(COUNTIF(Sheet4!A:A,A540)&gt;0,VLOOKUP(A540,Sheet4!A:B,2,FALSE),"NotFound")</f>
        <v>0</v>
      </c>
      <c r="F540" s="6" t="str">
        <f t="shared" si="8"/>
        <v>Matching</v>
      </c>
    </row>
    <row r="541" spans="1:6" x14ac:dyDescent="0.35">
      <c r="A541" s="5" t="s">
        <v>1190</v>
      </c>
      <c r="B541" s="6">
        <v>0</v>
      </c>
      <c r="D541" s="6">
        <f>IF(COUNTIF(Sheet4!A:A,A541)&gt;0,VLOOKUP(A541,Sheet4!A:B,2,FALSE),"NotFound")</f>
        <v>0</v>
      </c>
      <c r="F541" s="6" t="str">
        <f t="shared" si="8"/>
        <v>Matching</v>
      </c>
    </row>
    <row r="542" spans="1:6" x14ac:dyDescent="0.35">
      <c r="A542" s="5" t="s">
        <v>651</v>
      </c>
      <c r="B542" s="6">
        <v>14674</v>
      </c>
      <c r="D542" s="6">
        <f>IF(COUNTIF(Sheet4!A:A,A542)&gt;0,VLOOKUP(A542,Sheet4!A:B,2,FALSE),"NotFound")</f>
        <v>14674</v>
      </c>
      <c r="F542" s="6" t="str">
        <f t="shared" si="8"/>
        <v>Matching</v>
      </c>
    </row>
    <row r="543" spans="1:6" x14ac:dyDescent="0.35">
      <c r="A543" s="5" t="s">
        <v>671</v>
      </c>
      <c r="B543" s="6">
        <v>0</v>
      </c>
      <c r="D543" s="6">
        <f>IF(COUNTIF(Sheet4!A:A,A543)&gt;0,VLOOKUP(A543,Sheet4!A:B,2,FALSE),"NotFound")</f>
        <v>0</v>
      </c>
      <c r="F543" s="6" t="str">
        <f t="shared" si="8"/>
        <v>Matching</v>
      </c>
    </row>
    <row r="544" spans="1:6" x14ac:dyDescent="0.35">
      <c r="A544" s="5" t="s">
        <v>646</v>
      </c>
      <c r="D544" s="6">
        <f>IF(COUNTIF(Sheet4!A:A,A544)&gt;0,VLOOKUP(A544,Sheet4!A:B,2,FALSE),"NotFound")</f>
        <v>0</v>
      </c>
      <c r="F544" s="6" t="str">
        <f t="shared" si="8"/>
        <v>Matching</v>
      </c>
    </row>
    <row r="545" spans="1:2" x14ac:dyDescent="0.35">
      <c r="A545" s="5" t="s">
        <v>1195</v>
      </c>
      <c r="B545" s="6">
        <v>155039757</v>
      </c>
    </row>
    <row r="546" spans="1:2" x14ac:dyDescent="0.35">
      <c r="A546"/>
      <c r="B546"/>
    </row>
  </sheetData>
  <autoFilter ref="F1:F545" xr:uid="{DE192A31-D4B9-4E6C-9B61-0055568E9A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879F-F52E-4D30-AFF8-38F979CD2CCC}">
  <dimension ref="A1:B576"/>
  <sheetViews>
    <sheetView topLeftCell="A568" workbookViewId="0">
      <selection activeCell="B578" sqref="B578"/>
    </sheetView>
  </sheetViews>
  <sheetFormatPr defaultRowHeight="14.5" x14ac:dyDescent="0.35"/>
  <cols>
    <col min="1" max="1" width="21.36328125" bestFit="1" customWidth="1"/>
  </cols>
  <sheetData>
    <row r="1" spans="1:2" s="1" customFormat="1" x14ac:dyDescent="0.35">
      <c r="A1" s="1" t="s">
        <v>1192</v>
      </c>
      <c r="B1" s="1" t="s">
        <v>1191</v>
      </c>
    </row>
    <row r="2" spans="1:2" x14ac:dyDescent="0.35">
      <c r="A2" t="s">
        <v>649</v>
      </c>
      <c r="B2">
        <v>0</v>
      </c>
    </row>
    <row r="3" spans="1:2" x14ac:dyDescent="0.35">
      <c r="A3" t="s">
        <v>650</v>
      </c>
      <c r="B3">
        <v>402580</v>
      </c>
    </row>
    <row r="4" spans="1:2" x14ac:dyDescent="0.35">
      <c r="A4" t="s">
        <v>651</v>
      </c>
      <c r="B4">
        <v>14674</v>
      </c>
    </row>
    <row r="5" spans="1:2" x14ac:dyDescent="0.35">
      <c r="A5" t="s">
        <v>652</v>
      </c>
      <c r="B5">
        <v>0</v>
      </c>
    </row>
    <row r="6" spans="1:2" x14ac:dyDescent="0.35">
      <c r="A6" t="s">
        <v>653</v>
      </c>
      <c r="B6">
        <v>402580</v>
      </c>
    </row>
    <row r="7" spans="1:2" x14ac:dyDescent="0.35">
      <c r="A7" t="s">
        <v>654</v>
      </c>
      <c r="B7">
        <v>26515</v>
      </c>
    </row>
    <row r="8" spans="1:2" x14ac:dyDescent="0.35">
      <c r="A8" t="s">
        <v>655</v>
      </c>
      <c r="B8">
        <v>403197</v>
      </c>
    </row>
    <row r="9" spans="1:2" x14ac:dyDescent="0.35">
      <c r="A9" t="s">
        <v>656</v>
      </c>
      <c r="B9">
        <v>442649</v>
      </c>
    </row>
    <row r="10" spans="1:2" x14ac:dyDescent="0.35">
      <c r="A10" t="s">
        <v>657</v>
      </c>
      <c r="B10">
        <v>892</v>
      </c>
    </row>
    <row r="11" spans="1:2" x14ac:dyDescent="0.35">
      <c r="A11" t="s">
        <v>658</v>
      </c>
      <c r="B11">
        <v>5181089</v>
      </c>
    </row>
    <row r="12" spans="1:2" x14ac:dyDescent="0.35">
      <c r="A12" t="s">
        <v>659</v>
      </c>
      <c r="B12">
        <v>19</v>
      </c>
    </row>
    <row r="13" spans="1:2" x14ac:dyDescent="0.35">
      <c r="A13" t="s">
        <v>660</v>
      </c>
      <c r="B13">
        <v>82946</v>
      </c>
    </row>
    <row r="14" spans="1:2" x14ac:dyDescent="0.35">
      <c r="A14" t="s">
        <v>661</v>
      </c>
      <c r="B14">
        <v>566074</v>
      </c>
    </row>
    <row r="15" spans="1:2" x14ac:dyDescent="0.35">
      <c r="A15" t="s">
        <v>662</v>
      </c>
      <c r="B15">
        <v>22074</v>
      </c>
    </row>
    <row r="16" spans="1:2" x14ac:dyDescent="0.35">
      <c r="A16" t="s">
        <v>663</v>
      </c>
      <c r="B16">
        <v>19568</v>
      </c>
    </row>
    <row r="17" spans="1:2" x14ac:dyDescent="0.35">
      <c r="A17" t="s">
        <v>664</v>
      </c>
      <c r="B17">
        <v>20</v>
      </c>
    </row>
    <row r="18" spans="1:2" x14ac:dyDescent="0.35">
      <c r="A18" t="s">
        <v>665</v>
      </c>
      <c r="B18">
        <v>0</v>
      </c>
    </row>
    <row r="19" spans="1:2" x14ac:dyDescent="0.35">
      <c r="A19" t="s">
        <v>666</v>
      </c>
      <c r="B19">
        <v>42</v>
      </c>
    </row>
    <row r="20" spans="1:2" x14ac:dyDescent="0.35">
      <c r="A20" t="s">
        <v>667</v>
      </c>
      <c r="B20">
        <v>0</v>
      </c>
    </row>
    <row r="21" spans="1:2" x14ac:dyDescent="0.35">
      <c r="A21" t="s">
        <v>668</v>
      </c>
      <c r="B21">
        <v>0</v>
      </c>
    </row>
    <row r="22" spans="1:2" x14ac:dyDescent="0.35">
      <c r="A22" t="s">
        <v>669</v>
      </c>
      <c r="B22">
        <v>0</v>
      </c>
    </row>
    <row r="23" spans="1:2" x14ac:dyDescent="0.35">
      <c r="A23" t="s">
        <v>670</v>
      </c>
      <c r="B23">
        <v>0</v>
      </c>
    </row>
    <row r="24" spans="1:2" x14ac:dyDescent="0.35">
      <c r="A24" t="s">
        <v>671</v>
      </c>
      <c r="B24">
        <v>0</v>
      </c>
    </row>
    <row r="25" spans="1:2" x14ac:dyDescent="0.35">
      <c r="A25" t="s">
        <v>672</v>
      </c>
      <c r="B25">
        <v>0</v>
      </c>
    </row>
    <row r="26" spans="1:2" x14ac:dyDescent="0.35">
      <c r="A26" t="s">
        <v>673</v>
      </c>
      <c r="B26">
        <v>0</v>
      </c>
    </row>
    <row r="27" spans="1:2" x14ac:dyDescent="0.35">
      <c r="A27" t="s">
        <v>674</v>
      </c>
      <c r="B27">
        <v>0</v>
      </c>
    </row>
    <row r="28" spans="1:2" x14ac:dyDescent="0.35">
      <c r="A28" t="s">
        <v>675</v>
      </c>
      <c r="B28">
        <v>0</v>
      </c>
    </row>
    <row r="29" spans="1:2" x14ac:dyDescent="0.35">
      <c r="A29" t="s">
        <v>676</v>
      </c>
      <c r="B29">
        <v>0</v>
      </c>
    </row>
    <row r="30" spans="1:2" x14ac:dyDescent="0.35">
      <c r="A30" t="s">
        <v>677</v>
      </c>
      <c r="B30">
        <v>0</v>
      </c>
    </row>
    <row r="31" spans="1:2" x14ac:dyDescent="0.35">
      <c r="A31" t="s">
        <v>678</v>
      </c>
      <c r="B31">
        <v>0</v>
      </c>
    </row>
    <row r="32" spans="1:2" x14ac:dyDescent="0.35">
      <c r="A32" t="s">
        <v>679</v>
      </c>
      <c r="B32">
        <v>0</v>
      </c>
    </row>
    <row r="33" spans="1:2" x14ac:dyDescent="0.35">
      <c r="A33" t="s">
        <v>680</v>
      </c>
      <c r="B33">
        <v>0</v>
      </c>
    </row>
    <row r="34" spans="1:2" x14ac:dyDescent="0.35">
      <c r="A34" t="s">
        <v>681</v>
      </c>
      <c r="B34">
        <v>0</v>
      </c>
    </row>
    <row r="35" spans="1:2" x14ac:dyDescent="0.35">
      <c r="A35" t="s">
        <v>682</v>
      </c>
      <c r="B35">
        <v>0</v>
      </c>
    </row>
    <row r="36" spans="1:2" x14ac:dyDescent="0.35">
      <c r="A36" t="s">
        <v>683</v>
      </c>
      <c r="B36">
        <v>0</v>
      </c>
    </row>
    <row r="37" spans="1:2" x14ac:dyDescent="0.35">
      <c r="A37" t="s">
        <v>684</v>
      </c>
      <c r="B37">
        <v>0</v>
      </c>
    </row>
    <row r="38" spans="1:2" x14ac:dyDescent="0.35">
      <c r="A38" t="s">
        <v>685</v>
      </c>
      <c r="B38">
        <v>0</v>
      </c>
    </row>
    <row r="39" spans="1:2" x14ac:dyDescent="0.35">
      <c r="A39" t="s">
        <v>686</v>
      </c>
      <c r="B39">
        <v>0</v>
      </c>
    </row>
    <row r="40" spans="1:2" x14ac:dyDescent="0.35">
      <c r="A40" t="s">
        <v>687</v>
      </c>
      <c r="B40">
        <v>29105</v>
      </c>
    </row>
    <row r="41" spans="1:2" x14ac:dyDescent="0.35">
      <c r="A41" t="s">
        <v>688</v>
      </c>
      <c r="B41">
        <v>51160</v>
      </c>
    </row>
    <row r="42" spans="1:2" x14ac:dyDescent="0.35">
      <c r="A42" t="s">
        <v>689</v>
      </c>
      <c r="B42">
        <v>957</v>
      </c>
    </row>
    <row r="43" spans="1:2" x14ac:dyDescent="0.35">
      <c r="A43" t="s">
        <v>690</v>
      </c>
      <c r="B43">
        <v>0</v>
      </c>
    </row>
    <row r="44" spans="1:2" x14ac:dyDescent="0.35">
      <c r="A44" t="s">
        <v>691</v>
      </c>
      <c r="B44">
        <v>0</v>
      </c>
    </row>
    <row r="45" spans="1:2" x14ac:dyDescent="0.35">
      <c r="A45" t="s">
        <v>692</v>
      </c>
      <c r="B45">
        <v>51333</v>
      </c>
    </row>
    <row r="46" spans="1:2" x14ac:dyDescent="0.35">
      <c r="A46" t="s">
        <v>693</v>
      </c>
      <c r="B46">
        <v>0</v>
      </c>
    </row>
    <row r="47" spans="1:2" x14ac:dyDescent="0.35">
      <c r="A47" t="s">
        <v>694</v>
      </c>
      <c r="B47">
        <v>0</v>
      </c>
    </row>
    <row r="48" spans="1:2" x14ac:dyDescent="0.35">
      <c r="A48" t="s">
        <v>695</v>
      </c>
      <c r="B48">
        <v>0</v>
      </c>
    </row>
    <row r="49" spans="1:2" x14ac:dyDescent="0.35">
      <c r="A49" t="s">
        <v>696</v>
      </c>
      <c r="B49">
        <v>579392</v>
      </c>
    </row>
    <row r="50" spans="1:2" x14ac:dyDescent="0.35">
      <c r="A50" t="s">
        <v>697</v>
      </c>
      <c r="B50">
        <v>566074</v>
      </c>
    </row>
    <row r="51" spans="1:2" x14ac:dyDescent="0.35">
      <c r="A51" t="s">
        <v>698</v>
      </c>
      <c r="B51">
        <v>654395</v>
      </c>
    </row>
    <row r="52" spans="1:2" x14ac:dyDescent="0.35">
      <c r="A52" t="s">
        <v>699</v>
      </c>
      <c r="B52">
        <v>1124091</v>
      </c>
    </row>
    <row r="53" spans="1:2" x14ac:dyDescent="0.35">
      <c r="A53" t="s">
        <v>700</v>
      </c>
      <c r="B53">
        <v>0</v>
      </c>
    </row>
    <row r="54" spans="1:2" x14ac:dyDescent="0.35">
      <c r="A54" t="s">
        <v>701</v>
      </c>
      <c r="B54">
        <v>0</v>
      </c>
    </row>
    <row r="55" spans="1:2" x14ac:dyDescent="0.35">
      <c r="A55" t="s">
        <v>656</v>
      </c>
      <c r="B55">
        <v>0</v>
      </c>
    </row>
    <row r="56" spans="1:2" x14ac:dyDescent="0.35">
      <c r="A56" t="s">
        <v>650</v>
      </c>
      <c r="B56">
        <v>0</v>
      </c>
    </row>
    <row r="57" spans="1:2" x14ac:dyDescent="0.35">
      <c r="A57" t="s">
        <v>651</v>
      </c>
      <c r="B57">
        <v>0</v>
      </c>
    </row>
    <row r="58" spans="1:2" x14ac:dyDescent="0.35">
      <c r="A58" t="s">
        <v>652</v>
      </c>
      <c r="B58">
        <v>0</v>
      </c>
    </row>
    <row r="59" spans="1:2" x14ac:dyDescent="0.35">
      <c r="A59" t="s">
        <v>653</v>
      </c>
      <c r="B59">
        <v>0</v>
      </c>
    </row>
    <row r="60" spans="1:2" x14ac:dyDescent="0.35">
      <c r="A60" t="s">
        <v>655</v>
      </c>
      <c r="B60">
        <v>0</v>
      </c>
    </row>
    <row r="61" spans="1:2" x14ac:dyDescent="0.35">
      <c r="A61" t="s">
        <v>654</v>
      </c>
      <c r="B61">
        <v>0</v>
      </c>
    </row>
    <row r="62" spans="1:2" x14ac:dyDescent="0.35">
      <c r="A62" t="s">
        <v>702</v>
      </c>
      <c r="B62">
        <v>0</v>
      </c>
    </row>
    <row r="63" spans="1:2" x14ac:dyDescent="0.35">
      <c r="A63" t="s">
        <v>703</v>
      </c>
      <c r="B63">
        <v>0</v>
      </c>
    </row>
    <row r="64" spans="1:2" x14ac:dyDescent="0.35">
      <c r="A64" t="s">
        <v>704</v>
      </c>
      <c r="B64">
        <v>0</v>
      </c>
    </row>
    <row r="65" spans="1:2" x14ac:dyDescent="0.35">
      <c r="A65" t="s">
        <v>705</v>
      </c>
      <c r="B65">
        <v>0</v>
      </c>
    </row>
    <row r="66" spans="1:2" x14ac:dyDescent="0.35">
      <c r="A66" t="s">
        <v>706</v>
      </c>
      <c r="B66">
        <v>0</v>
      </c>
    </row>
    <row r="67" spans="1:2" x14ac:dyDescent="0.35">
      <c r="A67" t="s">
        <v>707</v>
      </c>
      <c r="B67">
        <v>0</v>
      </c>
    </row>
    <row r="68" spans="1:2" x14ac:dyDescent="0.35">
      <c r="A68" t="s">
        <v>708</v>
      </c>
      <c r="B68">
        <v>0</v>
      </c>
    </row>
    <row r="69" spans="1:2" x14ac:dyDescent="0.35">
      <c r="A69" t="s">
        <v>709</v>
      </c>
      <c r="B69">
        <v>0</v>
      </c>
    </row>
    <row r="70" spans="1:2" x14ac:dyDescent="0.35">
      <c r="A70" t="s">
        <v>710</v>
      </c>
      <c r="B70">
        <v>0</v>
      </c>
    </row>
    <row r="71" spans="1:2" x14ac:dyDescent="0.35">
      <c r="A71" t="s">
        <v>711</v>
      </c>
      <c r="B71">
        <v>0</v>
      </c>
    </row>
    <row r="72" spans="1:2" x14ac:dyDescent="0.35">
      <c r="A72" t="s">
        <v>712</v>
      </c>
      <c r="B72">
        <v>11861178</v>
      </c>
    </row>
    <row r="73" spans="1:2" x14ac:dyDescent="0.35">
      <c r="A73" t="s">
        <v>713</v>
      </c>
      <c r="B73">
        <v>22396043</v>
      </c>
    </row>
    <row r="74" spans="1:2" x14ac:dyDescent="0.35">
      <c r="A74" t="s">
        <v>714</v>
      </c>
      <c r="B74">
        <v>0</v>
      </c>
    </row>
    <row r="75" spans="1:2" x14ac:dyDescent="0.35">
      <c r="A75" t="s">
        <v>715</v>
      </c>
      <c r="B75">
        <v>0</v>
      </c>
    </row>
    <row r="76" spans="1:2" x14ac:dyDescent="0.35">
      <c r="A76" t="s">
        <v>716</v>
      </c>
      <c r="B76">
        <v>0</v>
      </c>
    </row>
    <row r="77" spans="1:2" x14ac:dyDescent="0.35">
      <c r="A77" t="s">
        <v>717</v>
      </c>
      <c r="B77">
        <v>0</v>
      </c>
    </row>
    <row r="78" spans="1:2" x14ac:dyDescent="0.35">
      <c r="A78" t="s">
        <v>718</v>
      </c>
      <c r="B78">
        <v>0</v>
      </c>
    </row>
    <row r="79" spans="1:2" x14ac:dyDescent="0.35">
      <c r="A79" t="s">
        <v>719</v>
      </c>
      <c r="B79">
        <v>0</v>
      </c>
    </row>
    <row r="80" spans="1:2" x14ac:dyDescent="0.35">
      <c r="A80" t="s">
        <v>720</v>
      </c>
      <c r="B80">
        <v>0</v>
      </c>
    </row>
    <row r="81" spans="1:2" x14ac:dyDescent="0.35">
      <c r="A81" t="s">
        <v>721</v>
      </c>
      <c r="B81">
        <v>0</v>
      </c>
    </row>
    <row r="82" spans="1:2" x14ac:dyDescent="0.35">
      <c r="A82" t="s">
        <v>722</v>
      </c>
      <c r="B82">
        <v>0</v>
      </c>
    </row>
    <row r="83" spans="1:2" x14ac:dyDescent="0.35">
      <c r="A83" t="s">
        <v>723</v>
      </c>
      <c r="B83">
        <v>0</v>
      </c>
    </row>
    <row r="84" spans="1:2" x14ac:dyDescent="0.35">
      <c r="A84" t="s">
        <v>724</v>
      </c>
      <c r="B84">
        <v>0</v>
      </c>
    </row>
    <row r="85" spans="1:2" x14ac:dyDescent="0.35">
      <c r="A85" t="s">
        <v>725</v>
      </c>
      <c r="B85">
        <v>0</v>
      </c>
    </row>
    <row r="86" spans="1:2" x14ac:dyDescent="0.35">
      <c r="A86" t="s">
        <v>726</v>
      </c>
      <c r="B86">
        <v>5678877</v>
      </c>
    </row>
    <row r="87" spans="1:2" x14ac:dyDescent="0.35">
      <c r="A87" t="s">
        <v>727</v>
      </c>
      <c r="B87">
        <v>0</v>
      </c>
    </row>
    <row r="88" spans="1:2" x14ac:dyDescent="0.35">
      <c r="A88" t="s">
        <v>728</v>
      </c>
      <c r="B88">
        <v>0</v>
      </c>
    </row>
    <row r="89" spans="1:2" x14ac:dyDescent="0.35">
      <c r="A89" t="s">
        <v>729</v>
      </c>
      <c r="B89">
        <v>0</v>
      </c>
    </row>
    <row r="90" spans="1:2" x14ac:dyDescent="0.35">
      <c r="A90" t="s">
        <v>730</v>
      </c>
      <c r="B90">
        <v>20453457</v>
      </c>
    </row>
    <row r="91" spans="1:2" x14ac:dyDescent="0.35">
      <c r="A91" t="s">
        <v>731</v>
      </c>
      <c r="B91">
        <v>0</v>
      </c>
    </row>
    <row r="92" spans="1:2" x14ac:dyDescent="0.35">
      <c r="A92" t="s">
        <v>732</v>
      </c>
      <c r="B92">
        <v>0</v>
      </c>
    </row>
    <row r="93" spans="1:2" x14ac:dyDescent="0.35">
      <c r="A93" t="s">
        <v>733</v>
      </c>
      <c r="B93">
        <v>0</v>
      </c>
    </row>
    <row r="94" spans="1:2" x14ac:dyDescent="0.35">
      <c r="A94" t="s">
        <v>734</v>
      </c>
      <c r="B94">
        <v>0</v>
      </c>
    </row>
    <row r="95" spans="1:2" x14ac:dyDescent="0.35">
      <c r="A95" t="s">
        <v>735</v>
      </c>
      <c r="B95">
        <v>1500586</v>
      </c>
    </row>
    <row r="96" spans="1:2" x14ac:dyDescent="0.35">
      <c r="A96" t="s">
        <v>736</v>
      </c>
      <c r="B96">
        <v>11776783</v>
      </c>
    </row>
    <row r="97" spans="1:2" x14ac:dyDescent="0.35">
      <c r="A97" t="s">
        <v>737</v>
      </c>
      <c r="B97">
        <v>0</v>
      </c>
    </row>
    <row r="98" spans="1:2" x14ac:dyDescent="0.35">
      <c r="A98" t="s">
        <v>738</v>
      </c>
      <c r="B98">
        <v>0</v>
      </c>
    </row>
    <row r="99" spans="1:2" x14ac:dyDescent="0.35">
      <c r="A99" t="s">
        <v>739</v>
      </c>
      <c r="B99">
        <v>0</v>
      </c>
    </row>
    <row r="100" spans="1:2" x14ac:dyDescent="0.35">
      <c r="A100" t="s">
        <v>740</v>
      </c>
      <c r="B100">
        <v>0</v>
      </c>
    </row>
    <row r="101" spans="1:2" x14ac:dyDescent="0.35">
      <c r="A101" t="s">
        <v>741</v>
      </c>
      <c r="B101">
        <v>0</v>
      </c>
    </row>
    <row r="102" spans="1:2" x14ac:dyDescent="0.35">
      <c r="A102" t="s">
        <v>742</v>
      </c>
      <c r="B102">
        <v>0</v>
      </c>
    </row>
    <row r="103" spans="1:2" x14ac:dyDescent="0.35">
      <c r="A103" t="s">
        <v>743</v>
      </c>
      <c r="B103">
        <v>0</v>
      </c>
    </row>
    <row r="104" spans="1:2" x14ac:dyDescent="0.35">
      <c r="A104" t="s">
        <v>744</v>
      </c>
      <c r="B104">
        <v>0</v>
      </c>
    </row>
    <row r="105" spans="1:2" x14ac:dyDescent="0.35">
      <c r="A105" t="s">
        <v>745</v>
      </c>
      <c r="B105">
        <v>0</v>
      </c>
    </row>
    <row r="106" spans="1:2" x14ac:dyDescent="0.35">
      <c r="A106" t="s">
        <v>746</v>
      </c>
      <c r="B106">
        <v>0</v>
      </c>
    </row>
    <row r="107" spans="1:2" x14ac:dyDescent="0.35">
      <c r="A107" t="s">
        <v>747</v>
      </c>
      <c r="B107">
        <v>0</v>
      </c>
    </row>
    <row r="108" spans="1:2" x14ac:dyDescent="0.35">
      <c r="A108" t="s">
        <v>748</v>
      </c>
      <c r="B108">
        <v>0</v>
      </c>
    </row>
    <row r="109" spans="1:2" x14ac:dyDescent="0.35">
      <c r="A109" t="s">
        <v>749</v>
      </c>
      <c r="B109">
        <v>4776291</v>
      </c>
    </row>
    <row r="110" spans="1:2" x14ac:dyDescent="0.35">
      <c r="A110" t="s">
        <v>750</v>
      </c>
      <c r="B110">
        <v>458084</v>
      </c>
    </row>
    <row r="111" spans="1:2" x14ac:dyDescent="0.35">
      <c r="A111" t="s">
        <v>751</v>
      </c>
      <c r="B111">
        <v>1989</v>
      </c>
    </row>
    <row r="112" spans="1:2" x14ac:dyDescent="0.35">
      <c r="A112" t="s">
        <v>752</v>
      </c>
      <c r="B112">
        <v>0</v>
      </c>
    </row>
    <row r="113" spans="1:2" x14ac:dyDescent="0.35">
      <c r="A113" t="s">
        <v>753</v>
      </c>
      <c r="B113">
        <v>0</v>
      </c>
    </row>
    <row r="114" spans="1:2" x14ac:dyDescent="0.35">
      <c r="A114" t="s">
        <v>754</v>
      </c>
      <c r="B114">
        <v>0</v>
      </c>
    </row>
    <row r="115" spans="1:2" x14ac:dyDescent="0.35">
      <c r="A115" t="s">
        <v>755</v>
      </c>
      <c r="B115">
        <v>0</v>
      </c>
    </row>
    <row r="116" spans="1:2" x14ac:dyDescent="0.35">
      <c r="A116" t="s">
        <v>756</v>
      </c>
      <c r="B116">
        <v>0</v>
      </c>
    </row>
    <row r="117" spans="1:2" x14ac:dyDescent="0.35">
      <c r="A117" t="s">
        <v>757</v>
      </c>
      <c r="B117">
        <v>39396</v>
      </c>
    </row>
    <row r="118" spans="1:2" x14ac:dyDescent="0.35">
      <c r="A118" t="s">
        <v>758</v>
      </c>
      <c r="B118">
        <v>1335452</v>
      </c>
    </row>
    <row r="119" spans="1:2" x14ac:dyDescent="0.35">
      <c r="A119" t="s">
        <v>759</v>
      </c>
      <c r="B119">
        <v>0</v>
      </c>
    </row>
    <row r="120" spans="1:2" x14ac:dyDescent="0.35">
      <c r="A120" t="s">
        <v>760</v>
      </c>
      <c r="B120">
        <v>0</v>
      </c>
    </row>
    <row r="121" spans="1:2" x14ac:dyDescent="0.35">
      <c r="A121" t="s">
        <v>761</v>
      </c>
      <c r="B121">
        <v>0</v>
      </c>
    </row>
    <row r="122" spans="1:2" x14ac:dyDescent="0.35">
      <c r="A122" t="s">
        <v>762</v>
      </c>
      <c r="B122">
        <v>6428</v>
      </c>
    </row>
    <row r="123" spans="1:2" x14ac:dyDescent="0.35">
      <c r="A123" t="s">
        <v>763</v>
      </c>
      <c r="B123">
        <v>6460</v>
      </c>
    </row>
    <row r="124" spans="1:2" x14ac:dyDescent="0.35">
      <c r="A124" t="s">
        <v>764</v>
      </c>
      <c r="B124">
        <v>0</v>
      </c>
    </row>
    <row r="125" spans="1:2" x14ac:dyDescent="0.35">
      <c r="A125" t="s">
        <v>765</v>
      </c>
      <c r="B125">
        <v>87387</v>
      </c>
    </row>
    <row r="126" spans="1:2" x14ac:dyDescent="0.35">
      <c r="A126" t="s">
        <v>766</v>
      </c>
      <c r="B126">
        <v>4</v>
      </c>
    </row>
    <row r="127" spans="1:2" x14ac:dyDescent="0.35">
      <c r="A127" t="s">
        <v>767</v>
      </c>
      <c r="B127">
        <v>1</v>
      </c>
    </row>
    <row r="128" spans="1:2" x14ac:dyDescent="0.35">
      <c r="A128" t="s">
        <v>768</v>
      </c>
      <c r="B128">
        <v>7</v>
      </c>
    </row>
    <row r="129" spans="1:2" x14ac:dyDescent="0.35">
      <c r="A129" t="s">
        <v>769</v>
      </c>
      <c r="B129">
        <v>960</v>
      </c>
    </row>
    <row r="130" spans="1:2" x14ac:dyDescent="0.35">
      <c r="A130" t="s">
        <v>770</v>
      </c>
      <c r="B130">
        <v>0</v>
      </c>
    </row>
    <row r="131" spans="1:2" x14ac:dyDescent="0.35">
      <c r="A131" t="s">
        <v>771</v>
      </c>
      <c r="B131">
        <v>0</v>
      </c>
    </row>
    <row r="132" spans="1:2" x14ac:dyDescent="0.35">
      <c r="A132" t="s">
        <v>772</v>
      </c>
      <c r="B132">
        <v>0</v>
      </c>
    </row>
    <row r="133" spans="1:2" x14ac:dyDescent="0.35">
      <c r="A133" t="s">
        <v>773</v>
      </c>
      <c r="B133">
        <v>0</v>
      </c>
    </row>
    <row r="134" spans="1:2" x14ac:dyDescent="0.35">
      <c r="A134" t="s">
        <v>774</v>
      </c>
      <c r="B134">
        <v>0</v>
      </c>
    </row>
    <row r="135" spans="1:2" x14ac:dyDescent="0.35">
      <c r="A135" t="s">
        <v>775</v>
      </c>
      <c r="B135">
        <v>0</v>
      </c>
    </row>
    <row r="136" spans="1:2" x14ac:dyDescent="0.35">
      <c r="A136" t="s">
        <v>776</v>
      </c>
      <c r="B136">
        <v>0</v>
      </c>
    </row>
    <row r="137" spans="1:2" x14ac:dyDescent="0.35">
      <c r="A137" t="s">
        <v>777</v>
      </c>
      <c r="B137">
        <v>0</v>
      </c>
    </row>
    <row r="138" spans="1:2" x14ac:dyDescent="0.35">
      <c r="A138" t="s">
        <v>778</v>
      </c>
      <c r="B138">
        <v>0</v>
      </c>
    </row>
    <row r="139" spans="1:2" x14ac:dyDescent="0.35">
      <c r="A139" t="s">
        <v>779</v>
      </c>
      <c r="B139">
        <v>0</v>
      </c>
    </row>
    <row r="140" spans="1:2" x14ac:dyDescent="0.35">
      <c r="A140" t="s">
        <v>780</v>
      </c>
      <c r="B140">
        <v>0</v>
      </c>
    </row>
    <row r="141" spans="1:2" x14ac:dyDescent="0.35">
      <c r="A141" t="s">
        <v>781</v>
      </c>
      <c r="B141">
        <v>0</v>
      </c>
    </row>
    <row r="142" spans="1:2" x14ac:dyDescent="0.35">
      <c r="A142" t="s">
        <v>782</v>
      </c>
      <c r="B142">
        <v>0</v>
      </c>
    </row>
    <row r="143" spans="1:2" x14ac:dyDescent="0.35">
      <c r="A143" t="s">
        <v>783</v>
      </c>
      <c r="B143">
        <v>0</v>
      </c>
    </row>
    <row r="144" spans="1:2" x14ac:dyDescent="0.35">
      <c r="A144" t="s">
        <v>784</v>
      </c>
      <c r="B144">
        <v>0</v>
      </c>
    </row>
    <row r="145" spans="1:2" x14ac:dyDescent="0.35">
      <c r="A145" t="s">
        <v>785</v>
      </c>
      <c r="B145">
        <v>0</v>
      </c>
    </row>
    <row r="146" spans="1:2" x14ac:dyDescent="0.35">
      <c r="A146" t="s">
        <v>786</v>
      </c>
      <c r="B146">
        <v>0</v>
      </c>
    </row>
    <row r="147" spans="1:2" x14ac:dyDescent="0.35">
      <c r="A147" t="s">
        <v>787</v>
      </c>
      <c r="B147">
        <v>0</v>
      </c>
    </row>
    <row r="148" spans="1:2" x14ac:dyDescent="0.35">
      <c r="A148" t="s">
        <v>788</v>
      </c>
      <c r="B148">
        <v>0</v>
      </c>
    </row>
    <row r="149" spans="1:2" x14ac:dyDescent="0.35">
      <c r="A149" t="s">
        <v>789</v>
      </c>
      <c r="B149">
        <v>0</v>
      </c>
    </row>
    <row r="150" spans="1:2" x14ac:dyDescent="0.35">
      <c r="A150" t="s">
        <v>790</v>
      </c>
      <c r="B150">
        <v>0</v>
      </c>
    </row>
    <row r="151" spans="1:2" x14ac:dyDescent="0.35">
      <c r="A151" t="s">
        <v>791</v>
      </c>
      <c r="B151">
        <v>0</v>
      </c>
    </row>
    <row r="152" spans="1:2" x14ac:dyDescent="0.35">
      <c r="A152" t="s">
        <v>792</v>
      </c>
      <c r="B152">
        <v>0</v>
      </c>
    </row>
    <row r="153" spans="1:2" x14ac:dyDescent="0.35">
      <c r="A153" t="s">
        <v>793</v>
      </c>
      <c r="B153">
        <v>0</v>
      </c>
    </row>
    <row r="154" spans="1:2" x14ac:dyDescent="0.35">
      <c r="A154" t="s">
        <v>794</v>
      </c>
      <c r="B154">
        <v>0</v>
      </c>
    </row>
    <row r="155" spans="1:2" x14ac:dyDescent="0.35">
      <c r="A155" t="s">
        <v>795</v>
      </c>
      <c r="B155">
        <v>0</v>
      </c>
    </row>
    <row r="156" spans="1:2" x14ac:dyDescent="0.35">
      <c r="A156" t="s">
        <v>796</v>
      </c>
      <c r="B156">
        <v>0</v>
      </c>
    </row>
    <row r="157" spans="1:2" x14ac:dyDescent="0.35">
      <c r="A157" t="s">
        <v>797</v>
      </c>
      <c r="B157">
        <v>0</v>
      </c>
    </row>
    <row r="158" spans="1:2" x14ac:dyDescent="0.35">
      <c r="A158" t="s">
        <v>798</v>
      </c>
      <c r="B158">
        <v>0</v>
      </c>
    </row>
    <row r="159" spans="1:2" x14ac:dyDescent="0.35">
      <c r="A159" t="s">
        <v>799</v>
      </c>
      <c r="B159">
        <v>0</v>
      </c>
    </row>
    <row r="160" spans="1:2" x14ac:dyDescent="0.35">
      <c r="A160" t="s">
        <v>800</v>
      </c>
      <c r="B160">
        <v>15179486</v>
      </c>
    </row>
    <row r="161" spans="1:2" x14ac:dyDescent="0.35">
      <c r="A161" t="s">
        <v>790</v>
      </c>
      <c r="B161">
        <v>0</v>
      </c>
    </row>
    <row r="162" spans="1:2" x14ac:dyDescent="0.35">
      <c r="A162" t="s">
        <v>775</v>
      </c>
      <c r="B162">
        <v>598134</v>
      </c>
    </row>
    <row r="163" spans="1:2" x14ac:dyDescent="0.35">
      <c r="A163" t="s">
        <v>792</v>
      </c>
      <c r="B163">
        <v>0</v>
      </c>
    </row>
    <row r="164" spans="1:2" x14ac:dyDescent="0.35">
      <c r="A164" t="s">
        <v>773</v>
      </c>
      <c r="B164">
        <v>0</v>
      </c>
    </row>
    <row r="165" spans="1:2" x14ac:dyDescent="0.35">
      <c r="A165" t="s">
        <v>771</v>
      </c>
      <c r="B165">
        <v>10583254</v>
      </c>
    </row>
    <row r="166" spans="1:2" x14ac:dyDescent="0.35">
      <c r="A166" t="s">
        <v>772</v>
      </c>
      <c r="B166">
        <v>0</v>
      </c>
    </row>
    <row r="167" spans="1:2" x14ac:dyDescent="0.35">
      <c r="A167" t="s">
        <v>774</v>
      </c>
      <c r="B167">
        <v>0</v>
      </c>
    </row>
    <row r="168" spans="1:2" x14ac:dyDescent="0.35">
      <c r="A168" t="s">
        <v>777</v>
      </c>
      <c r="B168">
        <v>0</v>
      </c>
    </row>
    <row r="169" spans="1:2" x14ac:dyDescent="0.35">
      <c r="A169" t="s">
        <v>780</v>
      </c>
      <c r="B169">
        <v>0</v>
      </c>
    </row>
    <row r="170" spans="1:2" x14ac:dyDescent="0.35">
      <c r="A170" t="s">
        <v>782</v>
      </c>
      <c r="B170">
        <v>0</v>
      </c>
    </row>
    <row r="171" spans="1:2" x14ac:dyDescent="0.35">
      <c r="A171" t="s">
        <v>791</v>
      </c>
      <c r="B171">
        <v>0</v>
      </c>
    </row>
    <row r="172" spans="1:2" x14ac:dyDescent="0.35">
      <c r="A172" t="s">
        <v>778</v>
      </c>
      <c r="B172">
        <v>0</v>
      </c>
    </row>
    <row r="173" spans="1:2" x14ac:dyDescent="0.35">
      <c r="A173" t="s">
        <v>779</v>
      </c>
      <c r="B173">
        <v>0</v>
      </c>
    </row>
    <row r="174" spans="1:2" x14ac:dyDescent="0.35">
      <c r="A174" t="s">
        <v>781</v>
      </c>
      <c r="B174">
        <v>0</v>
      </c>
    </row>
    <row r="175" spans="1:2" x14ac:dyDescent="0.35">
      <c r="A175" t="s">
        <v>783</v>
      </c>
      <c r="B175">
        <v>0</v>
      </c>
    </row>
    <row r="176" spans="1:2" x14ac:dyDescent="0.35">
      <c r="A176" t="s">
        <v>784</v>
      </c>
      <c r="B176">
        <v>0</v>
      </c>
    </row>
    <row r="177" spans="1:2" x14ac:dyDescent="0.35">
      <c r="A177" t="s">
        <v>785</v>
      </c>
      <c r="B177">
        <v>0</v>
      </c>
    </row>
    <row r="178" spans="1:2" x14ac:dyDescent="0.35">
      <c r="A178" t="s">
        <v>786</v>
      </c>
      <c r="B178">
        <v>0</v>
      </c>
    </row>
    <row r="179" spans="1:2" x14ac:dyDescent="0.35">
      <c r="A179" t="s">
        <v>787</v>
      </c>
      <c r="B179">
        <v>0</v>
      </c>
    </row>
    <row r="180" spans="1:2" x14ac:dyDescent="0.35">
      <c r="A180" t="s">
        <v>788</v>
      </c>
      <c r="B180">
        <v>0</v>
      </c>
    </row>
    <row r="181" spans="1:2" x14ac:dyDescent="0.35">
      <c r="A181" t="s">
        <v>789</v>
      </c>
      <c r="B181">
        <v>0</v>
      </c>
    </row>
    <row r="182" spans="1:2" x14ac:dyDescent="0.35">
      <c r="A182" t="s">
        <v>776</v>
      </c>
      <c r="B182">
        <v>3998098</v>
      </c>
    </row>
    <row r="183" spans="1:2" x14ac:dyDescent="0.35">
      <c r="A183" t="s">
        <v>770</v>
      </c>
      <c r="B183">
        <v>3998098</v>
      </c>
    </row>
    <row r="184" spans="1:2" x14ac:dyDescent="0.35">
      <c r="A184" t="s">
        <v>793</v>
      </c>
      <c r="B184">
        <v>10583254</v>
      </c>
    </row>
    <row r="185" spans="1:2" x14ac:dyDescent="0.35">
      <c r="A185" t="s">
        <v>801</v>
      </c>
      <c r="B185">
        <v>0</v>
      </c>
    </row>
    <row r="186" spans="1:2" x14ac:dyDescent="0.35">
      <c r="A186" t="s">
        <v>802</v>
      </c>
      <c r="B186">
        <v>0</v>
      </c>
    </row>
    <row r="187" spans="1:2" x14ac:dyDescent="0.35">
      <c r="A187" t="s">
        <v>803</v>
      </c>
      <c r="B187">
        <v>2</v>
      </c>
    </row>
    <row r="188" spans="1:2" x14ac:dyDescent="0.35">
      <c r="A188" t="s">
        <v>804</v>
      </c>
      <c r="B188">
        <v>177</v>
      </c>
    </row>
    <row r="189" spans="1:2" x14ac:dyDescent="0.35">
      <c r="A189" t="s">
        <v>805</v>
      </c>
      <c r="B189">
        <v>66206</v>
      </c>
    </row>
    <row r="190" spans="1:2" x14ac:dyDescent="0.35">
      <c r="A190" t="s">
        <v>806</v>
      </c>
      <c r="B190">
        <v>94</v>
      </c>
    </row>
    <row r="191" spans="1:2" x14ac:dyDescent="0.35">
      <c r="A191" t="s">
        <v>807</v>
      </c>
      <c r="B191">
        <v>116</v>
      </c>
    </row>
    <row r="192" spans="1:2" x14ac:dyDescent="0.35">
      <c r="A192" t="s">
        <v>808</v>
      </c>
      <c r="B192">
        <v>0</v>
      </c>
    </row>
    <row r="193" spans="1:2" x14ac:dyDescent="0.35">
      <c r="A193" t="s">
        <v>809</v>
      </c>
      <c r="B193">
        <v>0</v>
      </c>
    </row>
    <row r="194" spans="1:2" x14ac:dyDescent="0.35">
      <c r="A194" t="s">
        <v>810</v>
      </c>
      <c r="B194">
        <v>4</v>
      </c>
    </row>
    <row r="195" spans="1:2" x14ac:dyDescent="0.35">
      <c r="A195" t="s">
        <v>811</v>
      </c>
      <c r="B195">
        <v>2</v>
      </c>
    </row>
    <row r="196" spans="1:2" x14ac:dyDescent="0.35">
      <c r="A196" t="s">
        <v>812</v>
      </c>
      <c r="B196">
        <v>0</v>
      </c>
    </row>
    <row r="197" spans="1:2" x14ac:dyDescent="0.35">
      <c r="A197" t="s">
        <v>813</v>
      </c>
      <c r="B197">
        <v>0</v>
      </c>
    </row>
    <row r="198" spans="1:2" x14ac:dyDescent="0.35">
      <c r="A198" t="s">
        <v>814</v>
      </c>
      <c r="B198">
        <v>141</v>
      </c>
    </row>
    <row r="199" spans="1:2" x14ac:dyDescent="0.35">
      <c r="A199" t="s">
        <v>815</v>
      </c>
      <c r="B199">
        <v>0</v>
      </c>
    </row>
    <row r="200" spans="1:2" x14ac:dyDescent="0.35">
      <c r="A200" t="s">
        <v>816</v>
      </c>
      <c r="B200">
        <v>2</v>
      </c>
    </row>
    <row r="201" spans="1:2" x14ac:dyDescent="0.35">
      <c r="A201" t="s">
        <v>817</v>
      </c>
      <c r="B201">
        <v>2</v>
      </c>
    </row>
    <row r="202" spans="1:2" x14ac:dyDescent="0.35">
      <c r="A202" t="s">
        <v>818</v>
      </c>
      <c r="B202">
        <v>0</v>
      </c>
    </row>
    <row r="203" spans="1:2" x14ac:dyDescent="0.35">
      <c r="A203" t="s">
        <v>819</v>
      </c>
      <c r="B203">
        <v>0</v>
      </c>
    </row>
    <row r="204" spans="1:2" x14ac:dyDescent="0.35">
      <c r="A204" t="s">
        <v>820</v>
      </c>
      <c r="B204">
        <v>0</v>
      </c>
    </row>
    <row r="205" spans="1:2" x14ac:dyDescent="0.35">
      <c r="A205" t="s">
        <v>821</v>
      </c>
      <c r="B205">
        <v>3</v>
      </c>
    </row>
    <row r="206" spans="1:2" x14ac:dyDescent="0.35">
      <c r="A206" t="s">
        <v>822</v>
      </c>
      <c r="B206">
        <v>2</v>
      </c>
    </row>
    <row r="207" spans="1:2" x14ac:dyDescent="0.35">
      <c r="A207" t="s">
        <v>823</v>
      </c>
      <c r="B207">
        <v>0</v>
      </c>
    </row>
    <row r="208" spans="1:2" x14ac:dyDescent="0.35">
      <c r="A208" t="s">
        <v>824</v>
      </c>
      <c r="B208">
        <v>0</v>
      </c>
    </row>
    <row r="209" spans="1:2" x14ac:dyDescent="0.35">
      <c r="A209" t="s">
        <v>825</v>
      </c>
      <c r="B209">
        <v>2</v>
      </c>
    </row>
    <row r="210" spans="1:2" x14ac:dyDescent="0.35">
      <c r="A210" t="s">
        <v>826</v>
      </c>
      <c r="B210">
        <v>1</v>
      </c>
    </row>
    <row r="211" spans="1:2" x14ac:dyDescent="0.35">
      <c r="A211" t="s">
        <v>827</v>
      </c>
      <c r="B211">
        <v>0</v>
      </c>
    </row>
    <row r="212" spans="1:2" x14ac:dyDescent="0.35">
      <c r="A212" t="s">
        <v>828</v>
      </c>
      <c r="B212">
        <v>2</v>
      </c>
    </row>
    <row r="213" spans="1:2" x14ac:dyDescent="0.35">
      <c r="A213" t="s">
        <v>829</v>
      </c>
      <c r="B213">
        <v>0</v>
      </c>
    </row>
    <row r="214" spans="1:2" x14ac:dyDescent="0.35">
      <c r="A214" t="s">
        <v>830</v>
      </c>
      <c r="B214">
        <v>2</v>
      </c>
    </row>
    <row r="215" spans="1:2" x14ac:dyDescent="0.35">
      <c r="A215" t="s">
        <v>831</v>
      </c>
      <c r="B215">
        <v>141</v>
      </c>
    </row>
    <row r="216" spans="1:2" x14ac:dyDescent="0.35">
      <c r="A216" t="s">
        <v>832</v>
      </c>
      <c r="B216">
        <v>2</v>
      </c>
    </row>
    <row r="217" spans="1:2" x14ac:dyDescent="0.35">
      <c r="A217" t="s">
        <v>833</v>
      </c>
      <c r="B217">
        <v>2</v>
      </c>
    </row>
    <row r="218" spans="1:2" x14ac:dyDescent="0.35">
      <c r="A218" t="s">
        <v>834</v>
      </c>
      <c r="B218">
        <v>2</v>
      </c>
    </row>
    <row r="219" spans="1:2" x14ac:dyDescent="0.35">
      <c r="A219" t="s">
        <v>835</v>
      </c>
      <c r="B219">
        <v>0</v>
      </c>
    </row>
    <row r="220" spans="1:2" x14ac:dyDescent="0.35">
      <c r="A220" t="s">
        <v>836</v>
      </c>
      <c r="B220">
        <v>0</v>
      </c>
    </row>
    <row r="221" spans="1:2" x14ac:dyDescent="0.35">
      <c r="A221" t="s">
        <v>837</v>
      </c>
      <c r="B221">
        <v>1</v>
      </c>
    </row>
    <row r="222" spans="1:2" x14ac:dyDescent="0.35">
      <c r="A222" t="s">
        <v>838</v>
      </c>
      <c r="B222">
        <v>0</v>
      </c>
    </row>
    <row r="223" spans="1:2" x14ac:dyDescent="0.35">
      <c r="A223" t="s">
        <v>839</v>
      </c>
      <c r="B223">
        <v>0</v>
      </c>
    </row>
    <row r="224" spans="1:2" x14ac:dyDescent="0.35">
      <c r="A224" t="s">
        <v>840</v>
      </c>
      <c r="B224">
        <v>0</v>
      </c>
    </row>
    <row r="225" spans="1:2" x14ac:dyDescent="0.35">
      <c r="A225" t="s">
        <v>841</v>
      </c>
      <c r="B225">
        <v>0</v>
      </c>
    </row>
    <row r="226" spans="1:2" x14ac:dyDescent="0.35">
      <c r="A226" t="s">
        <v>842</v>
      </c>
      <c r="B226">
        <v>0</v>
      </c>
    </row>
    <row r="227" spans="1:2" x14ac:dyDescent="0.35">
      <c r="A227" t="s">
        <v>843</v>
      </c>
      <c r="B227">
        <v>0</v>
      </c>
    </row>
    <row r="228" spans="1:2" x14ac:dyDescent="0.35">
      <c r="A228" t="s">
        <v>844</v>
      </c>
      <c r="B228">
        <v>0</v>
      </c>
    </row>
    <row r="229" spans="1:2" x14ac:dyDescent="0.35">
      <c r="A229" t="s">
        <v>845</v>
      </c>
      <c r="B229">
        <v>0</v>
      </c>
    </row>
    <row r="230" spans="1:2" x14ac:dyDescent="0.35">
      <c r="A230" t="s">
        <v>846</v>
      </c>
      <c r="B230">
        <v>0</v>
      </c>
    </row>
    <row r="231" spans="1:2" x14ac:dyDescent="0.35">
      <c r="A231" t="s">
        <v>847</v>
      </c>
      <c r="B231">
        <v>0</v>
      </c>
    </row>
    <row r="232" spans="1:2" x14ac:dyDescent="0.35">
      <c r="A232" t="s">
        <v>848</v>
      </c>
      <c r="B232">
        <v>0</v>
      </c>
    </row>
    <row r="233" spans="1:2" x14ac:dyDescent="0.35">
      <c r="A233" t="s">
        <v>849</v>
      </c>
      <c r="B233">
        <v>0</v>
      </c>
    </row>
    <row r="234" spans="1:2" x14ac:dyDescent="0.35">
      <c r="A234" t="s">
        <v>850</v>
      </c>
      <c r="B234">
        <v>0</v>
      </c>
    </row>
    <row r="235" spans="1:2" x14ac:dyDescent="0.35">
      <c r="A235" t="s">
        <v>851</v>
      </c>
      <c r="B235">
        <v>0</v>
      </c>
    </row>
    <row r="236" spans="1:2" x14ac:dyDescent="0.35">
      <c r="A236" t="s">
        <v>852</v>
      </c>
      <c r="B236">
        <v>0</v>
      </c>
    </row>
    <row r="237" spans="1:2" x14ac:dyDescent="0.35">
      <c r="A237" t="s">
        <v>853</v>
      </c>
      <c r="B237">
        <v>0</v>
      </c>
    </row>
    <row r="238" spans="1:2" x14ac:dyDescent="0.35">
      <c r="A238" t="s">
        <v>854</v>
      </c>
      <c r="B238">
        <v>0</v>
      </c>
    </row>
    <row r="239" spans="1:2" x14ac:dyDescent="0.35">
      <c r="A239" t="s">
        <v>855</v>
      </c>
      <c r="B239">
        <v>0</v>
      </c>
    </row>
    <row r="240" spans="1:2" x14ac:dyDescent="0.35">
      <c r="A240" t="s">
        <v>856</v>
      </c>
      <c r="B240">
        <v>0</v>
      </c>
    </row>
    <row r="241" spans="1:2" x14ac:dyDescent="0.35">
      <c r="A241" t="s">
        <v>857</v>
      </c>
      <c r="B241">
        <v>0</v>
      </c>
    </row>
    <row r="242" spans="1:2" x14ac:dyDescent="0.35">
      <c r="A242" t="s">
        <v>858</v>
      </c>
      <c r="B242">
        <v>0</v>
      </c>
    </row>
    <row r="243" spans="1:2" x14ac:dyDescent="0.35">
      <c r="A243" t="s">
        <v>859</v>
      </c>
      <c r="B243">
        <v>0</v>
      </c>
    </row>
    <row r="244" spans="1:2" x14ac:dyDescent="0.35">
      <c r="A244" t="s">
        <v>860</v>
      </c>
      <c r="B244">
        <v>0</v>
      </c>
    </row>
    <row r="245" spans="1:2" x14ac:dyDescent="0.35">
      <c r="A245" t="s">
        <v>861</v>
      </c>
      <c r="B245">
        <v>0</v>
      </c>
    </row>
    <row r="246" spans="1:2" x14ac:dyDescent="0.35">
      <c r="A246" t="s">
        <v>862</v>
      </c>
      <c r="B246">
        <v>0</v>
      </c>
    </row>
    <row r="247" spans="1:2" x14ac:dyDescent="0.35">
      <c r="A247" t="s">
        <v>863</v>
      </c>
      <c r="B247">
        <v>0</v>
      </c>
    </row>
    <row r="248" spans="1:2" x14ac:dyDescent="0.35">
      <c r="A248" t="s">
        <v>864</v>
      </c>
      <c r="B248">
        <v>0</v>
      </c>
    </row>
    <row r="249" spans="1:2" x14ac:dyDescent="0.35">
      <c r="A249" t="s">
        <v>865</v>
      </c>
      <c r="B249">
        <v>0</v>
      </c>
    </row>
    <row r="250" spans="1:2" x14ac:dyDescent="0.35">
      <c r="A250" t="s">
        <v>866</v>
      </c>
      <c r="B250">
        <v>0</v>
      </c>
    </row>
    <row r="251" spans="1:2" x14ac:dyDescent="0.35">
      <c r="A251" t="s">
        <v>867</v>
      </c>
      <c r="B251">
        <v>0</v>
      </c>
    </row>
    <row r="252" spans="1:2" x14ac:dyDescent="0.35">
      <c r="A252" t="s">
        <v>868</v>
      </c>
      <c r="B252">
        <v>0</v>
      </c>
    </row>
    <row r="253" spans="1:2" x14ac:dyDescent="0.35">
      <c r="A253" t="s">
        <v>869</v>
      </c>
      <c r="B253">
        <v>0</v>
      </c>
    </row>
    <row r="254" spans="1:2" x14ac:dyDescent="0.35">
      <c r="A254" t="s">
        <v>870</v>
      </c>
      <c r="B254">
        <v>0</v>
      </c>
    </row>
    <row r="255" spans="1:2" x14ac:dyDescent="0.35">
      <c r="A255" t="s">
        <v>871</v>
      </c>
      <c r="B255">
        <v>0</v>
      </c>
    </row>
    <row r="256" spans="1:2" x14ac:dyDescent="0.35">
      <c r="A256" t="s">
        <v>872</v>
      </c>
      <c r="B256">
        <v>0</v>
      </c>
    </row>
    <row r="257" spans="1:2" x14ac:dyDescent="0.35">
      <c r="A257" t="s">
        <v>873</v>
      </c>
      <c r="B257">
        <v>0</v>
      </c>
    </row>
    <row r="258" spans="1:2" x14ac:dyDescent="0.35">
      <c r="A258" t="s">
        <v>874</v>
      </c>
      <c r="B258">
        <v>0</v>
      </c>
    </row>
    <row r="259" spans="1:2" x14ac:dyDescent="0.35">
      <c r="A259" t="s">
        <v>875</v>
      </c>
      <c r="B259">
        <v>0</v>
      </c>
    </row>
    <row r="260" spans="1:2" x14ac:dyDescent="0.35">
      <c r="A260" t="s">
        <v>876</v>
      </c>
      <c r="B260">
        <v>0</v>
      </c>
    </row>
    <row r="261" spans="1:2" x14ac:dyDescent="0.35">
      <c r="A261" t="s">
        <v>877</v>
      </c>
      <c r="B261">
        <v>0</v>
      </c>
    </row>
    <row r="262" spans="1:2" x14ac:dyDescent="0.35">
      <c r="A262" t="s">
        <v>878</v>
      </c>
      <c r="B262">
        <v>0</v>
      </c>
    </row>
    <row r="263" spans="1:2" x14ac:dyDescent="0.35">
      <c r="A263" t="s">
        <v>879</v>
      </c>
      <c r="B263">
        <v>0</v>
      </c>
    </row>
    <row r="264" spans="1:2" x14ac:dyDescent="0.35">
      <c r="A264" t="s">
        <v>880</v>
      </c>
      <c r="B264">
        <v>0</v>
      </c>
    </row>
    <row r="265" spans="1:2" x14ac:dyDescent="0.35">
      <c r="A265" t="s">
        <v>881</v>
      </c>
      <c r="B265">
        <v>0</v>
      </c>
    </row>
    <row r="266" spans="1:2" x14ac:dyDescent="0.35">
      <c r="A266" t="s">
        <v>882</v>
      </c>
      <c r="B266">
        <v>0</v>
      </c>
    </row>
    <row r="267" spans="1:2" x14ac:dyDescent="0.35">
      <c r="A267" t="s">
        <v>883</v>
      </c>
      <c r="B267">
        <v>0</v>
      </c>
    </row>
    <row r="268" spans="1:2" x14ac:dyDescent="0.35">
      <c r="A268" t="s">
        <v>884</v>
      </c>
      <c r="B268">
        <v>0</v>
      </c>
    </row>
    <row r="269" spans="1:2" x14ac:dyDescent="0.35">
      <c r="A269" t="s">
        <v>885</v>
      </c>
      <c r="B269">
        <v>0</v>
      </c>
    </row>
    <row r="270" spans="1:2" x14ac:dyDescent="0.35">
      <c r="A270" t="s">
        <v>886</v>
      </c>
      <c r="B270">
        <v>0</v>
      </c>
    </row>
    <row r="271" spans="1:2" x14ac:dyDescent="0.35">
      <c r="A271" t="s">
        <v>887</v>
      </c>
      <c r="B271">
        <v>0</v>
      </c>
    </row>
    <row r="272" spans="1:2" x14ac:dyDescent="0.35">
      <c r="A272" t="s">
        <v>888</v>
      </c>
      <c r="B272">
        <v>0</v>
      </c>
    </row>
    <row r="273" spans="1:2" x14ac:dyDescent="0.35">
      <c r="A273" t="s">
        <v>889</v>
      </c>
      <c r="B273">
        <v>0</v>
      </c>
    </row>
    <row r="274" spans="1:2" x14ac:dyDescent="0.35">
      <c r="A274" t="s">
        <v>890</v>
      </c>
      <c r="B274">
        <v>0</v>
      </c>
    </row>
    <row r="275" spans="1:2" x14ac:dyDescent="0.35">
      <c r="A275" t="s">
        <v>891</v>
      </c>
      <c r="B275">
        <v>0</v>
      </c>
    </row>
    <row r="276" spans="1:2" x14ac:dyDescent="0.35">
      <c r="A276" t="s">
        <v>892</v>
      </c>
      <c r="B276">
        <v>0</v>
      </c>
    </row>
    <row r="277" spans="1:2" x14ac:dyDescent="0.35">
      <c r="A277" t="s">
        <v>893</v>
      </c>
      <c r="B277">
        <v>0</v>
      </c>
    </row>
    <row r="278" spans="1:2" x14ac:dyDescent="0.35">
      <c r="A278" t="s">
        <v>894</v>
      </c>
      <c r="B278">
        <v>0</v>
      </c>
    </row>
    <row r="279" spans="1:2" x14ac:dyDescent="0.35">
      <c r="A279" t="s">
        <v>895</v>
      </c>
      <c r="B279">
        <v>0</v>
      </c>
    </row>
    <row r="280" spans="1:2" x14ac:dyDescent="0.35">
      <c r="A280" t="s">
        <v>896</v>
      </c>
      <c r="B280">
        <v>0</v>
      </c>
    </row>
    <row r="281" spans="1:2" x14ac:dyDescent="0.35">
      <c r="A281" t="s">
        <v>897</v>
      </c>
      <c r="B281">
        <v>0</v>
      </c>
    </row>
    <row r="282" spans="1:2" x14ac:dyDescent="0.35">
      <c r="A282" t="s">
        <v>898</v>
      </c>
      <c r="B282">
        <v>0</v>
      </c>
    </row>
    <row r="283" spans="1:2" x14ac:dyDescent="0.35">
      <c r="A283" t="s">
        <v>899</v>
      </c>
      <c r="B283">
        <v>0</v>
      </c>
    </row>
    <row r="284" spans="1:2" x14ac:dyDescent="0.35">
      <c r="A284" t="s">
        <v>900</v>
      </c>
      <c r="B284">
        <v>0</v>
      </c>
    </row>
    <row r="285" spans="1:2" x14ac:dyDescent="0.35">
      <c r="A285" t="s">
        <v>901</v>
      </c>
      <c r="B285">
        <v>0</v>
      </c>
    </row>
    <row r="286" spans="1:2" x14ac:dyDescent="0.35">
      <c r="A286" t="s">
        <v>902</v>
      </c>
      <c r="B286">
        <v>0</v>
      </c>
    </row>
    <row r="287" spans="1:2" x14ac:dyDescent="0.35">
      <c r="A287" t="s">
        <v>903</v>
      </c>
      <c r="B287">
        <v>0</v>
      </c>
    </row>
    <row r="288" spans="1:2" x14ac:dyDescent="0.35">
      <c r="A288" t="s">
        <v>904</v>
      </c>
      <c r="B288">
        <v>0</v>
      </c>
    </row>
    <row r="289" spans="1:2" x14ac:dyDescent="0.35">
      <c r="A289" t="s">
        <v>905</v>
      </c>
      <c r="B289">
        <v>0</v>
      </c>
    </row>
    <row r="290" spans="1:2" x14ac:dyDescent="0.35">
      <c r="A290" t="s">
        <v>906</v>
      </c>
      <c r="B290">
        <v>0</v>
      </c>
    </row>
    <row r="291" spans="1:2" x14ac:dyDescent="0.35">
      <c r="A291" t="s">
        <v>907</v>
      </c>
      <c r="B291">
        <v>282</v>
      </c>
    </row>
    <row r="292" spans="1:2" x14ac:dyDescent="0.35">
      <c r="A292" t="s">
        <v>908</v>
      </c>
      <c r="B292">
        <v>1043431</v>
      </c>
    </row>
    <row r="293" spans="1:2" x14ac:dyDescent="0.35">
      <c r="A293" t="s">
        <v>810</v>
      </c>
      <c r="B293">
        <v>0</v>
      </c>
    </row>
    <row r="294" spans="1:2" x14ac:dyDescent="0.35">
      <c r="A294" t="s">
        <v>909</v>
      </c>
      <c r="B294">
        <v>0</v>
      </c>
    </row>
    <row r="295" spans="1:2" x14ac:dyDescent="0.35">
      <c r="A295" t="s">
        <v>910</v>
      </c>
      <c r="B295">
        <v>0</v>
      </c>
    </row>
    <row r="296" spans="1:2" x14ac:dyDescent="0.35">
      <c r="A296" t="s">
        <v>911</v>
      </c>
      <c r="B296">
        <v>14725</v>
      </c>
    </row>
    <row r="297" spans="1:2" x14ac:dyDescent="0.35">
      <c r="A297" t="s">
        <v>912</v>
      </c>
      <c r="B297">
        <v>0</v>
      </c>
    </row>
    <row r="298" spans="1:2" x14ac:dyDescent="0.35">
      <c r="A298" t="s">
        <v>913</v>
      </c>
      <c r="B298">
        <v>0</v>
      </c>
    </row>
    <row r="299" spans="1:2" x14ac:dyDescent="0.35">
      <c r="A299" t="s">
        <v>914</v>
      </c>
      <c r="B299">
        <v>0</v>
      </c>
    </row>
    <row r="300" spans="1:2" x14ac:dyDescent="0.35">
      <c r="A300" t="s">
        <v>915</v>
      </c>
      <c r="B300">
        <v>0</v>
      </c>
    </row>
    <row r="301" spans="1:2" x14ac:dyDescent="0.35">
      <c r="A301" t="s">
        <v>916</v>
      </c>
      <c r="B301">
        <v>0</v>
      </c>
    </row>
    <row r="302" spans="1:2" x14ac:dyDescent="0.35">
      <c r="A302" t="s">
        <v>917</v>
      </c>
      <c r="B302">
        <v>59</v>
      </c>
    </row>
    <row r="303" spans="1:2" x14ac:dyDescent="0.35">
      <c r="A303" t="s">
        <v>918</v>
      </c>
      <c r="B303">
        <v>0</v>
      </c>
    </row>
    <row r="304" spans="1:2" x14ac:dyDescent="0.35">
      <c r="A304" t="s">
        <v>919</v>
      </c>
      <c r="B304">
        <v>263763</v>
      </c>
    </row>
    <row r="305" spans="1:2" x14ac:dyDescent="0.35">
      <c r="A305" t="s">
        <v>920</v>
      </c>
      <c r="B305">
        <v>0</v>
      </c>
    </row>
    <row r="306" spans="1:2" x14ac:dyDescent="0.35">
      <c r="A306" t="s">
        <v>921</v>
      </c>
      <c r="B306">
        <v>0</v>
      </c>
    </row>
    <row r="307" spans="1:2" x14ac:dyDescent="0.35">
      <c r="A307" t="s">
        <v>922</v>
      </c>
      <c r="B307">
        <v>0</v>
      </c>
    </row>
    <row r="308" spans="1:2" x14ac:dyDescent="0.35">
      <c r="A308" t="s">
        <v>923</v>
      </c>
      <c r="B308">
        <v>0</v>
      </c>
    </row>
    <row r="309" spans="1:2" x14ac:dyDescent="0.35">
      <c r="A309" t="s">
        <v>924</v>
      </c>
      <c r="B309">
        <v>0</v>
      </c>
    </row>
    <row r="310" spans="1:2" x14ac:dyDescent="0.35">
      <c r="A310" t="s">
        <v>925</v>
      </c>
      <c r="B310">
        <v>0</v>
      </c>
    </row>
    <row r="311" spans="1:2" x14ac:dyDescent="0.35">
      <c r="A311" t="s">
        <v>926</v>
      </c>
      <c r="B311">
        <v>0</v>
      </c>
    </row>
    <row r="312" spans="1:2" x14ac:dyDescent="0.35">
      <c r="A312" t="s">
        <v>927</v>
      </c>
      <c r="B312">
        <v>0</v>
      </c>
    </row>
    <row r="313" spans="1:2" x14ac:dyDescent="0.35">
      <c r="A313" t="s">
        <v>928</v>
      </c>
      <c r="B313">
        <v>0</v>
      </c>
    </row>
    <row r="314" spans="1:2" x14ac:dyDescent="0.35">
      <c r="A314" t="s">
        <v>929</v>
      </c>
      <c r="B314">
        <v>0</v>
      </c>
    </row>
    <row r="315" spans="1:2" x14ac:dyDescent="0.35">
      <c r="A315" t="s">
        <v>930</v>
      </c>
      <c r="B315">
        <v>0</v>
      </c>
    </row>
    <row r="316" spans="1:2" x14ac:dyDescent="0.35">
      <c r="A316" t="s">
        <v>931</v>
      </c>
      <c r="B316">
        <v>0</v>
      </c>
    </row>
    <row r="317" spans="1:2" x14ac:dyDescent="0.35">
      <c r="A317" t="s">
        <v>932</v>
      </c>
      <c r="B317">
        <v>0</v>
      </c>
    </row>
    <row r="318" spans="1:2" x14ac:dyDescent="0.35">
      <c r="A318" t="s">
        <v>933</v>
      </c>
      <c r="B318">
        <v>0</v>
      </c>
    </row>
    <row r="319" spans="1:2" x14ac:dyDescent="0.35">
      <c r="A319" t="s">
        <v>934</v>
      </c>
      <c r="B319">
        <v>0</v>
      </c>
    </row>
    <row r="320" spans="1:2" x14ac:dyDescent="0.35">
      <c r="A320" t="s">
        <v>935</v>
      </c>
      <c r="B320">
        <v>0</v>
      </c>
    </row>
    <row r="321" spans="1:2" x14ac:dyDescent="0.35">
      <c r="A321" t="s">
        <v>936</v>
      </c>
      <c r="B321">
        <v>0</v>
      </c>
    </row>
    <row r="322" spans="1:2" x14ac:dyDescent="0.35">
      <c r="A322" t="s">
        <v>937</v>
      </c>
      <c r="B322">
        <v>0</v>
      </c>
    </row>
    <row r="323" spans="1:2" x14ac:dyDescent="0.35">
      <c r="A323" t="s">
        <v>938</v>
      </c>
      <c r="B323">
        <v>0</v>
      </c>
    </row>
    <row r="324" spans="1:2" x14ac:dyDescent="0.35">
      <c r="A324" t="s">
        <v>939</v>
      </c>
      <c r="B324">
        <v>0</v>
      </c>
    </row>
    <row r="325" spans="1:2" x14ac:dyDescent="0.35">
      <c r="A325" t="s">
        <v>940</v>
      </c>
      <c r="B325">
        <v>0</v>
      </c>
    </row>
    <row r="326" spans="1:2" x14ac:dyDescent="0.35">
      <c r="A326" t="s">
        <v>941</v>
      </c>
      <c r="B326">
        <v>0</v>
      </c>
    </row>
    <row r="327" spans="1:2" x14ac:dyDescent="0.35">
      <c r="A327" t="s">
        <v>942</v>
      </c>
      <c r="B327">
        <v>0</v>
      </c>
    </row>
    <row r="328" spans="1:2" x14ac:dyDescent="0.35">
      <c r="A328" t="s">
        <v>943</v>
      </c>
      <c r="B328">
        <v>0</v>
      </c>
    </row>
    <row r="329" spans="1:2" x14ac:dyDescent="0.35">
      <c r="A329" t="s">
        <v>944</v>
      </c>
      <c r="B329">
        <v>0</v>
      </c>
    </row>
    <row r="330" spans="1:2" x14ac:dyDescent="0.35">
      <c r="A330" t="s">
        <v>945</v>
      </c>
      <c r="B330">
        <v>0</v>
      </c>
    </row>
    <row r="331" spans="1:2" x14ac:dyDescent="0.35">
      <c r="A331" t="s">
        <v>946</v>
      </c>
      <c r="B331">
        <v>0</v>
      </c>
    </row>
    <row r="332" spans="1:2" x14ac:dyDescent="0.35">
      <c r="A332" t="s">
        <v>947</v>
      </c>
      <c r="B332">
        <v>0</v>
      </c>
    </row>
    <row r="333" spans="1:2" x14ac:dyDescent="0.35">
      <c r="A333" t="s">
        <v>948</v>
      </c>
      <c r="B333">
        <v>0</v>
      </c>
    </row>
    <row r="334" spans="1:2" x14ac:dyDescent="0.35">
      <c r="A334" t="s">
        <v>949</v>
      </c>
      <c r="B334">
        <v>0</v>
      </c>
    </row>
    <row r="335" spans="1:2" x14ac:dyDescent="0.35">
      <c r="A335" t="s">
        <v>950</v>
      </c>
      <c r="B335">
        <v>0</v>
      </c>
    </row>
    <row r="336" spans="1:2" x14ac:dyDescent="0.35">
      <c r="A336" t="s">
        <v>951</v>
      </c>
      <c r="B336">
        <v>0</v>
      </c>
    </row>
    <row r="337" spans="1:2" x14ac:dyDescent="0.35">
      <c r="A337" t="s">
        <v>952</v>
      </c>
      <c r="B337">
        <v>0</v>
      </c>
    </row>
    <row r="338" spans="1:2" x14ac:dyDescent="0.35">
      <c r="A338" t="s">
        <v>953</v>
      </c>
      <c r="B338">
        <v>0</v>
      </c>
    </row>
    <row r="339" spans="1:2" x14ac:dyDescent="0.35">
      <c r="A339" t="s">
        <v>954</v>
      </c>
      <c r="B339">
        <v>0</v>
      </c>
    </row>
    <row r="340" spans="1:2" x14ac:dyDescent="0.35">
      <c r="A340" t="s">
        <v>955</v>
      </c>
      <c r="B340">
        <v>0</v>
      </c>
    </row>
    <row r="341" spans="1:2" x14ac:dyDescent="0.35">
      <c r="A341" t="s">
        <v>956</v>
      </c>
      <c r="B341">
        <v>0</v>
      </c>
    </row>
    <row r="342" spans="1:2" x14ac:dyDescent="0.35">
      <c r="A342" t="s">
        <v>957</v>
      </c>
      <c r="B342">
        <v>0</v>
      </c>
    </row>
    <row r="343" spans="1:2" x14ac:dyDescent="0.35">
      <c r="A343" t="s">
        <v>958</v>
      </c>
      <c r="B343">
        <v>0</v>
      </c>
    </row>
    <row r="344" spans="1:2" x14ac:dyDescent="0.35">
      <c r="A344" t="s">
        <v>959</v>
      </c>
      <c r="B344">
        <v>0</v>
      </c>
    </row>
    <row r="345" spans="1:2" x14ac:dyDescent="0.35">
      <c r="A345" t="s">
        <v>960</v>
      </c>
      <c r="B345">
        <v>0</v>
      </c>
    </row>
    <row r="346" spans="1:2" x14ac:dyDescent="0.35">
      <c r="A346" t="s">
        <v>961</v>
      </c>
      <c r="B346">
        <v>0</v>
      </c>
    </row>
    <row r="347" spans="1:2" x14ac:dyDescent="0.35">
      <c r="A347" t="s">
        <v>962</v>
      </c>
      <c r="B347">
        <v>0</v>
      </c>
    </row>
    <row r="348" spans="1:2" x14ac:dyDescent="0.35">
      <c r="A348" t="s">
        <v>963</v>
      </c>
      <c r="B348">
        <v>0</v>
      </c>
    </row>
    <row r="349" spans="1:2" x14ac:dyDescent="0.35">
      <c r="A349" t="s">
        <v>964</v>
      </c>
      <c r="B349">
        <v>0</v>
      </c>
    </row>
    <row r="350" spans="1:2" x14ac:dyDescent="0.35">
      <c r="A350" t="s">
        <v>965</v>
      </c>
      <c r="B350">
        <v>0</v>
      </c>
    </row>
    <row r="351" spans="1:2" x14ac:dyDescent="0.35">
      <c r="A351" t="s">
        <v>966</v>
      </c>
      <c r="B351">
        <v>0</v>
      </c>
    </row>
    <row r="352" spans="1:2" x14ac:dyDescent="0.35">
      <c r="A352" t="s">
        <v>967</v>
      </c>
      <c r="B352">
        <v>0</v>
      </c>
    </row>
    <row r="353" spans="1:2" x14ac:dyDescent="0.35">
      <c r="A353" t="s">
        <v>968</v>
      </c>
      <c r="B353">
        <v>0</v>
      </c>
    </row>
    <row r="354" spans="1:2" x14ac:dyDescent="0.35">
      <c r="A354" t="s">
        <v>969</v>
      </c>
      <c r="B354">
        <v>0</v>
      </c>
    </row>
    <row r="355" spans="1:2" x14ac:dyDescent="0.35">
      <c r="A355" t="s">
        <v>970</v>
      </c>
      <c r="B355">
        <v>0</v>
      </c>
    </row>
    <row r="356" spans="1:2" x14ac:dyDescent="0.35">
      <c r="A356" t="s">
        <v>971</v>
      </c>
      <c r="B356">
        <v>0</v>
      </c>
    </row>
    <row r="357" spans="1:2" x14ac:dyDescent="0.35">
      <c r="A357" t="s">
        <v>972</v>
      </c>
      <c r="B357">
        <v>0</v>
      </c>
    </row>
    <row r="358" spans="1:2" x14ac:dyDescent="0.35">
      <c r="A358" t="s">
        <v>973</v>
      </c>
      <c r="B358">
        <v>0</v>
      </c>
    </row>
    <row r="359" spans="1:2" x14ac:dyDescent="0.35">
      <c r="A359" t="s">
        <v>974</v>
      </c>
      <c r="B359">
        <v>0</v>
      </c>
    </row>
    <row r="360" spans="1:2" x14ac:dyDescent="0.35">
      <c r="A360" t="s">
        <v>975</v>
      </c>
      <c r="B360">
        <v>0</v>
      </c>
    </row>
    <row r="361" spans="1:2" x14ac:dyDescent="0.35">
      <c r="A361" t="s">
        <v>976</v>
      </c>
      <c r="B361">
        <v>0</v>
      </c>
    </row>
    <row r="362" spans="1:2" x14ac:dyDescent="0.35">
      <c r="A362" t="s">
        <v>977</v>
      </c>
      <c r="B362">
        <v>13174395</v>
      </c>
    </row>
    <row r="363" spans="1:2" x14ac:dyDescent="0.35">
      <c r="A363" t="s">
        <v>978</v>
      </c>
      <c r="B363">
        <v>89288</v>
      </c>
    </row>
    <row r="364" spans="1:2" x14ac:dyDescent="0.35">
      <c r="A364" t="s">
        <v>979</v>
      </c>
      <c r="B364">
        <v>0</v>
      </c>
    </row>
    <row r="365" spans="1:2" x14ac:dyDescent="0.35">
      <c r="A365" t="s">
        <v>980</v>
      </c>
      <c r="B365">
        <v>0</v>
      </c>
    </row>
    <row r="366" spans="1:2" x14ac:dyDescent="0.35">
      <c r="A366" t="s">
        <v>981</v>
      </c>
      <c r="B366">
        <v>0</v>
      </c>
    </row>
    <row r="367" spans="1:2" x14ac:dyDescent="0.35">
      <c r="A367" t="s">
        <v>982</v>
      </c>
      <c r="B367">
        <v>87300</v>
      </c>
    </row>
    <row r="368" spans="1:2" x14ac:dyDescent="0.35">
      <c r="A368" t="s">
        <v>983</v>
      </c>
      <c r="B368">
        <v>3889350</v>
      </c>
    </row>
    <row r="369" spans="1:2" x14ac:dyDescent="0.35">
      <c r="A369" t="s">
        <v>984</v>
      </c>
      <c r="B369">
        <v>6759</v>
      </c>
    </row>
    <row r="370" spans="1:2" x14ac:dyDescent="0.35">
      <c r="A370" t="s">
        <v>985</v>
      </c>
      <c r="B370">
        <v>10125</v>
      </c>
    </row>
    <row r="371" spans="1:2" x14ac:dyDescent="0.35">
      <c r="A371" t="s">
        <v>986</v>
      </c>
      <c r="B371">
        <v>27173</v>
      </c>
    </row>
    <row r="372" spans="1:2" x14ac:dyDescent="0.35">
      <c r="A372" t="s">
        <v>987</v>
      </c>
      <c r="B372">
        <v>36262</v>
      </c>
    </row>
    <row r="373" spans="1:2" x14ac:dyDescent="0.35">
      <c r="A373" t="s">
        <v>988</v>
      </c>
      <c r="B373">
        <v>27173</v>
      </c>
    </row>
    <row r="374" spans="1:2" x14ac:dyDescent="0.35">
      <c r="A374" t="s">
        <v>989</v>
      </c>
      <c r="B374">
        <v>8919</v>
      </c>
    </row>
    <row r="375" spans="1:2" x14ac:dyDescent="0.35">
      <c r="A375" t="s">
        <v>990</v>
      </c>
      <c r="B375">
        <v>18178</v>
      </c>
    </row>
    <row r="376" spans="1:2" x14ac:dyDescent="0.35">
      <c r="A376" t="s">
        <v>991</v>
      </c>
      <c r="B376">
        <v>62433</v>
      </c>
    </row>
    <row r="377" spans="1:2" x14ac:dyDescent="0.35">
      <c r="A377" t="s">
        <v>992</v>
      </c>
      <c r="B377">
        <v>9771</v>
      </c>
    </row>
    <row r="378" spans="1:2" x14ac:dyDescent="0.35">
      <c r="A378" t="s">
        <v>993</v>
      </c>
      <c r="B378">
        <v>9771</v>
      </c>
    </row>
    <row r="379" spans="1:2" x14ac:dyDescent="0.35">
      <c r="A379" t="s">
        <v>994</v>
      </c>
      <c r="B379">
        <v>9034</v>
      </c>
    </row>
    <row r="380" spans="1:2" x14ac:dyDescent="0.35">
      <c r="A380" t="s">
        <v>995</v>
      </c>
      <c r="B380">
        <v>936</v>
      </c>
    </row>
    <row r="381" spans="1:2" x14ac:dyDescent="0.35">
      <c r="A381" t="s">
        <v>996</v>
      </c>
      <c r="B381">
        <v>240</v>
      </c>
    </row>
    <row r="382" spans="1:2" x14ac:dyDescent="0.35">
      <c r="A382" t="s">
        <v>997</v>
      </c>
      <c r="B382">
        <v>0</v>
      </c>
    </row>
    <row r="383" spans="1:2" x14ac:dyDescent="0.35">
      <c r="A383" t="s">
        <v>998</v>
      </c>
      <c r="B383">
        <v>8906</v>
      </c>
    </row>
    <row r="384" spans="1:2" x14ac:dyDescent="0.35">
      <c r="A384" t="s">
        <v>999</v>
      </c>
      <c r="B384">
        <v>5</v>
      </c>
    </row>
    <row r="385" spans="1:2" x14ac:dyDescent="0.35">
      <c r="A385" t="s">
        <v>1000</v>
      </c>
      <c r="B385">
        <v>5125</v>
      </c>
    </row>
    <row r="386" spans="1:2" x14ac:dyDescent="0.35">
      <c r="A386" t="s">
        <v>1001</v>
      </c>
      <c r="B386">
        <v>0</v>
      </c>
    </row>
    <row r="387" spans="1:2" x14ac:dyDescent="0.35">
      <c r="A387" t="s">
        <v>1002</v>
      </c>
      <c r="B387">
        <v>9068</v>
      </c>
    </row>
    <row r="388" spans="1:2" x14ac:dyDescent="0.35">
      <c r="A388" t="s">
        <v>1003</v>
      </c>
      <c r="B388">
        <v>9035</v>
      </c>
    </row>
    <row r="389" spans="1:2" x14ac:dyDescent="0.35">
      <c r="A389" t="s">
        <v>1004</v>
      </c>
      <c r="B389">
        <v>68663</v>
      </c>
    </row>
    <row r="390" spans="1:2" x14ac:dyDescent="0.35">
      <c r="A390" t="s">
        <v>1005</v>
      </c>
      <c r="B390">
        <v>0</v>
      </c>
    </row>
    <row r="391" spans="1:2" x14ac:dyDescent="0.35">
      <c r="A391" t="s">
        <v>1006</v>
      </c>
      <c r="B391">
        <v>5392</v>
      </c>
    </row>
    <row r="392" spans="1:2" x14ac:dyDescent="0.35">
      <c r="A392" t="s">
        <v>1007</v>
      </c>
      <c r="B392">
        <v>0</v>
      </c>
    </row>
    <row r="393" spans="1:2" x14ac:dyDescent="0.35">
      <c r="A393" t="s">
        <v>1008</v>
      </c>
      <c r="B393">
        <v>8919</v>
      </c>
    </row>
    <row r="394" spans="1:2" x14ac:dyDescent="0.35">
      <c r="A394" t="s">
        <v>1009</v>
      </c>
      <c r="B394">
        <v>0</v>
      </c>
    </row>
    <row r="395" spans="1:2" x14ac:dyDescent="0.35">
      <c r="A395" t="s">
        <v>1010</v>
      </c>
      <c r="B395">
        <v>9761</v>
      </c>
    </row>
    <row r="396" spans="1:2" x14ac:dyDescent="0.35">
      <c r="A396" t="s">
        <v>1011</v>
      </c>
      <c r="B396">
        <v>0</v>
      </c>
    </row>
    <row r="397" spans="1:2" x14ac:dyDescent="0.35">
      <c r="A397" t="s">
        <v>1012</v>
      </c>
      <c r="B397">
        <v>1</v>
      </c>
    </row>
    <row r="398" spans="1:2" x14ac:dyDescent="0.35">
      <c r="A398" t="s">
        <v>1013</v>
      </c>
      <c r="B398">
        <v>0</v>
      </c>
    </row>
    <row r="399" spans="1:2" x14ac:dyDescent="0.35">
      <c r="A399" t="s">
        <v>1014</v>
      </c>
      <c r="B399">
        <v>0</v>
      </c>
    </row>
    <row r="400" spans="1:2" x14ac:dyDescent="0.35">
      <c r="A400" t="s">
        <v>1015</v>
      </c>
      <c r="B400">
        <v>336</v>
      </c>
    </row>
    <row r="401" spans="1:2" x14ac:dyDescent="0.35">
      <c r="A401" t="s">
        <v>1016</v>
      </c>
      <c r="B401">
        <v>0</v>
      </c>
    </row>
    <row r="402" spans="1:2" x14ac:dyDescent="0.35">
      <c r="A402" t="s">
        <v>1017</v>
      </c>
      <c r="B402">
        <v>240</v>
      </c>
    </row>
    <row r="403" spans="1:2" x14ac:dyDescent="0.35">
      <c r="A403" t="s">
        <v>1018</v>
      </c>
      <c r="B403">
        <v>0</v>
      </c>
    </row>
    <row r="404" spans="1:2" x14ac:dyDescent="0.35">
      <c r="A404" t="s">
        <v>1019</v>
      </c>
      <c r="B404">
        <v>1</v>
      </c>
    </row>
    <row r="405" spans="1:2" x14ac:dyDescent="0.35">
      <c r="A405" t="s">
        <v>1020</v>
      </c>
      <c r="B405">
        <v>0</v>
      </c>
    </row>
    <row r="406" spans="1:2" x14ac:dyDescent="0.35">
      <c r="A406" t="s">
        <v>1021</v>
      </c>
      <c r="B406">
        <v>0</v>
      </c>
    </row>
    <row r="407" spans="1:2" x14ac:dyDescent="0.35">
      <c r="A407" t="s">
        <v>1022</v>
      </c>
      <c r="B407">
        <v>0</v>
      </c>
    </row>
    <row r="408" spans="1:2" x14ac:dyDescent="0.35">
      <c r="A408" t="s">
        <v>1023</v>
      </c>
      <c r="B408">
        <v>0</v>
      </c>
    </row>
    <row r="409" spans="1:2" x14ac:dyDescent="0.35">
      <c r="A409" t="s">
        <v>1024</v>
      </c>
      <c r="B409">
        <v>0</v>
      </c>
    </row>
    <row r="410" spans="1:2" x14ac:dyDescent="0.35">
      <c r="A410" t="s">
        <v>1025</v>
      </c>
      <c r="B410">
        <v>0</v>
      </c>
    </row>
    <row r="411" spans="1:2" x14ac:dyDescent="0.35">
      <c r="A411" t="s">
        <v>1026</v>
      </c>
      <c r="B411">
        <v>0</v>
      </c>
    </row>
    <row r="412" spans="1:2" x14ac:dyDescent="0.35">
      <c r="A412" t="s">
        <v>1027</v>
      </c>
      <c r="B412">
        <v>0</v>
      </c>
    </row>
    <row r="413" spans="1:2" x14ac:dyDescent="0.35">
      <c r="A413" t="s">
        <v>1028</v>
      </c>
      <c r="B413">
        <v>0</v>
      </c>
    </row>
    <row r="414" spans="1:2" x14ac:dyDescent="0.35">
      <c r="A414" t="s">
        <v>1029</v>
      </c>
      <c r="B414">
        <v>0</v>
      </c>
    </row>
    <row r="415" spans="1:2" x14ac:dyDescent="0.35">
      <c r="A415" t="s">
        <v>1030</v>
      </c>
      <c r="B415">
        <v>0</v>
      </c>
    </row>
    <row r="416" spans="1:2" x14ac:dyDescent="0.35">
      <c r="A416" t="s">
        <v>1031</v>
      </c>
      <c r="B416">
        <v>0</v>
      </c>
    </row>
    <row r="417" spans="1:2" x14ac:dyDescent="0.35">
      <c r="A417" t="s">
        <v>1032</v>
      </c>
      <c r="B417">
        <v>0</v>
      </c>
    </row>
    <row r="418" spans="1:2" x14ac:dyDescent="0.35">
      <c r="A418" t="s">
        <v>1033</v>
      </c>
      <c r="B418">
        <v>0</v>
      </c>
    </row>
    <row r="419" spans="1:2" x14ac:dyDescent="0.35">
      <c r="A419" t="s">
        <v>1034</v>
      </c>
      <c r="B419">
        <v>0</v>
      </c>
    </row>
    <row r="420" spans="1:2" x14ac:dyDescent="0.35">
      <c r="A420" t="s">
        <v>1035</v>
      </c>
      <c r="B420">
        <v>0</v>
      </c>
    </row>
    <row r="421" spans="1:2" x14ac:dyDescent="0.35">
      <c r="A421" t="s">
        <v>1036</v>
      </c>
      <c r="B421">
        <v>0</v>
      </c>
    </row>
    <row r="422" spans="1:2" x14ac:dyDescent="0.35">
      <c r="A422" t="s">
        <v>1037</v>
      </c>
      <c r="B422">
        <v>0</v>
      </c>
    </row>
    <row r="423" spans="1:2" x14ac:dyDescent="0.35">
      <c r="A423" t="s">
        <v>1038</v>
      </c>
      <c r="B423">
        <v>0</v>
      </c>
    </row>
    <row r="424" spans="1:2" x14ac:dyDescent="0.35">
      <c r="A424" t="s">
        <v>1039</v>
      </c>
      <c r="B424">
        <v>0</v>
      </c>
    </row>
    <row r="425" spans="1:2" x14ac:dyDescent="0.35">
      <c r="A425" t="s">
        <v>1040</v>
      </c>
      <c r="B425">
        <v>0</v>
      </c>
    </row>
    <row r="426" spans="1:2" x14ac:dyDescent="0.35">
      <c r="A426" t="s">
        <v>1041</v>
      </c>
      <c r="B426">
        <v>0</v>
      </c>
    </row>
    <row r="427" spans="1:2" x14ac:dyDescent="0.35">
      <c r="A427" t="s">
        <v>1042</v>
      </c>
      <c r="B427">
        <v>0</v>
      </c>
    </row>
    <row r="428" spans="1:2" x14ac:dyDescent="0.35">
      <c r="A428" t="s">
        <v>1043</v>
      </c>
      <c r="B428">
        <v>0</v>
      </c>
    </row>
    <row r="429" spans="1:2" x14ac:dyDescent="0.35">
      <c r="A429" t="s">
        <v>1044</v>
      </c>
      <c r="B429">
        <v>0</v>
      </c>
    </row>
    <row r="430" spans="1:2" x14ac:dyDescent="0.35">
      <c r="A430" t="s">
        <v>1045</v>
      </c>
      <c r="B430">
        <v>0</v>
      </c>
    </row>
    <row r="431" spans="1:2" x14ac:dyDescent="0.35">
      <c r="A431" t="s">
        <v>1046</v>
      </c>
      <c r="B431">
        <v>0</v>
      </c>
    </row>
    <row r="432" spans="1:2" x14ac:dyDescent="0.35">
      <c r="A432" t="s">
        <v>1047</v>
      </c>
      <c r="B432">
        <v>0</v>
      </c>
    </row>
    <row r="433" spans="1:2" x14ac:dyDescent="0.35">
      <c r="A433" t="s">
        <v>1048</v>
      </c>
      <c r="B433">
        <v>0</v>
      </c>
    </row>
    <row r="434" spans="1:2" x14ac:dyDescent="0.35">
      <c r="A434" t="s">
        <v>1049</v>
      </c>
      <c r="B434">
        <v>0</v>
      </c>
    </row>
    <row r="435" spans="1:2" x14ac:dyDescent="0.35">
      <c r="A435" t="s">
        <v>1050</v>
      </c>
      <c r="B435">
        <v>0</v>
      </c>
    </row>
    <row r="436" spans="1:2" x14ac:dyDescent="0.35">
      <c r="A436" t="s">
        <v>1051</v>
      </c>
      <c r="B436">
        <v>0</v>
      </c>
    </row>
    <row r="437" spans="1:2" x14ac:dyDescent="0.35">
      <c r="A437" t="s">
        <v>1052</v>
      </c>
      <c r="B437">
        <v>0</v>
      </c>
    </row>
    <row r="438" spans="1:2" x14ac:dyDescent="0.35">
      <c r="A438" t="s">
        <v>1053</v>
      </c>
      <c r="B438">
        <v>0</v>
      </c>
    </row>
    <row r="439" spans="1:2" x14ac:dyDescent="0.35">
      <c r="A439" t="s">
        <v>1054</v>
      </c>
      <c r="B439">
        <v>0</v>
      </c>
    </row>
    <row r="440" spans="1:2" x14ac:dyDescent="0.35">
      <c r="A440" t="s">
        <v>1055</v>
      </c>
      <c r="B440">
        <v>0</v>
      </c>
    </row>
    <row r="441" spans="1:2" x14ac:dyDescent="0.35">
      <c r="A441" t="s">
        <v>1056</v>
      </c>
      <c r="B441">
        <v>0</v>
      </c>
    </row>
    <row r="442" spans="1:2" x14ac:dyDescent="0.35">
      <c r="A442" t="s">
        <v>1057</v>
      </c>
      <c r="B442">
        <v>0</v>
      </c>
    </row>
    <row r="443" spans="1:2" x14ac:dyDescent="0.35">
      <c r="A443" t="s">
        <v>1058</v>
      </c>
      <c r="B443">
        <v>0</v>
      </c>
    </row>
    <row r="444" spans="1:2" x14ac:dyDescent="0.35">
      <c r="A444" t="s">
        <v>1059</v>
      </c>
      <c r="B444">
        <v>0</v>
      </c>
    </row>
    <row r="445" spans="1:2" x14ac:dyDescent="0.35">
      <c r="A445" t="s">
        <v>1060</v>
      </c>
      <c r="B445">
        <v>0</v>
      </c>
    </row>
    <row r="446" spans="1:2" x14ac:dyDescent="0.35">
      <c r="A446" t="s">
        <v>1061</v>
      </c>
      <c r="B446">
        <v>0</v>
      </c>
    </row>
    <row r="447" spans="1:2" x14ac:dyDescent="0.35">
      <c r="A447" t="s">
        <v>1062</v>
      </c>
      <c r="B447">
        <v>0</v>
      </c>
    </row>
    <row r="448" spans="1:2" x14ac:dyDescent="0.35">
      <c r="A448" t="s">
        <v>1063</v>
      </c>
      <c r="B448">
        <v>97820</v>
      </c>
    </row>
    <row r="449" spans="1:2" x14ac:dyDescent="0.35">
      <c r="A449" t="s">
        <v>1064</v>
      </c>
      <c r="B449">
        <v>0</v>
      </c>
    </row>
    <row r="450" spans="1:2" x14ac:dyDescent="0.35">
      <c r="A450" t="s">
        <v>1065</v>
      </c>
      <c r="B450">
        <v>0</v>
      </c>
    </row>
    <row r="451" spans="1:2" x14ac:dyDescent="0.35">
      <c r="A451" t="s">
        <v>1066</v>
      </c>
      <c r="B451">
        <v>0</v>
      </c>
    </row>
    <row r="452" spans="1:2" x14ac:dyDescent="0.35">
      <c r="A452" t="s">
        <v>1067</v>
      </c>
      <c r="B452">
        <v>0</v>
      </c>
    </row>
    <row r="453" spans="1:2" x14ac:dyDescent="0.35">
      <c r="A453" t="s">
        <v>1068</v>
      </c>
      <c r="B453">
        <v>0</v>
      </c>
    </row>
    <row r="454" spans="1:2" x14ac:dyDescent="0.35">
      <c r="A454" t="s">
        <v>1069</v>
      </c>
      <c r="B454">
        <v>0</v>
      </c>
    </row>
    <row r="455" spans="1:2" x14ac:dyDescent="0.35">
      <c r="A455" t="s">
        <v>1070</v>
      </c>
      <c r="B455">
        <v>0</v>
      </c>
    </row>
    <row r="456" spans="1:2" x14ac:dyDescent="0.35">
      <c r="A456" t="s">
        <v>1071</v>
      </c>
      <c r="B456">
        <v>0</v>
      </c>
    </row>
    <row r="457" spans="1:2" x14ac:dyDescent="0.35">
      <c r="A457" t="s">
        <v>1072</v>
      </c>
      <c r="B457">
        <v>0</v>
      </c>
    </row>
    <row r="458" spans="1:2" x14ac:dyDescent="0.35">
      <c r="A458" t="s">
        <v>1073</v>
      </c>
      <c r="B458">
        <v>100</v>
      </c>
    </row>
    <row r="459" spans="1:2" x14ac:dyDescent="0.35">
      <c r="A459" t="s">
        <v>1074</v>
      </c>
      <c r="B459">
        <v>0</v>
      </c>
    </row>
    <row r="460" spans="1:2" x14ac:dyDescent="0.35">
      <c r="A460" t="s">
        <v>1075</v>
      </c>
      <c r="B460">
        <v>0</v>
      </c>
    </row>
    <row r="461" spans="1:2" x14ac:dyDescent="0.35">
      <c r="A461" t="s">
        <v>1076</v>
      </c>
      <c r="B461">
        <v>0</v>
      </c>
    </row>
    <row r="462" spans="1:2" x14ac:dyDescent="0.35">
      <c r="A462" t="s">
        <v>1077</v>
      </c>
      <c r="B462">
        <v>0</v>
      </c>
    </row>
    <row r="463" spans="1:2" x14ac:dyDescent="0.35">
      <c r="A463" t="s">
        <v>1078</v>
      </c>
      <c r="B463">
        <v>0</v>
      </c>
    </row>
    <row r="464" spans="1:2" x14ac:dyDescent="0.35">
      <c r="A464" t="s">
        <v>1079</v>
      </c>
      <c r="B464">
        <v>0</v>
      </c>
    </row>
    <row r="465" spans="1:2" x14ac:dyDescent="0.35">
      <c r="A465" t="s">
        <v>1080</v>
      </c>
      <c r="B465">
        <v>0</v>
      </c>
    </row>
    <row r="466" spans="1:2" x14ac:dyDescent="0.35">
      <c r="A466" t="s">
        <v>1081</v>
      </c>
      <c r="B466">
        <v>0</v>
      </c>
    </row>
    <row r="467" spans="1:2" x14ac:dyDescent="0.35">
      <c r="A467" t="s">
        <v>1082</v>
      </c>
      <c r="B467">
        <v>2043</v>
      </c>
    </row>
    <row r="468" spans="1:2" x14ac:dyDescent="0.35">
      <c r="A468" t="s">
        <v>1083</v>
      </c>
      <c r="B468">
        <v>2043</v>
      </c>
    </row>
    <row r="469" spans="1:2" x14ac:dyDescent="0.35">
      <c r="A469" t="s">
        <v>1084</v>
      </c>
      <c r="B469">
        <v>0</v>
      </c>
    </row>
    <row r="470" spans="1:2" x14ac:dyDescent="0.35">
      <c r="A470" t="s">
        <v>1085</v>
      </c>
      <c r="B470">
        <v>2041</v>
      </c>
    </row>
    <row r="471" spans="1:2" x14ac:dyDescent="0.35">
      <c r="A471" t="s">
        <v>1086</v>
      </c>
      <c r="B471">
        <v>0</v>
      </c>
    </row>
    <row r="472" spans="1:2" x14ac:dyDescent="0.35">
      <c r="A472" t="s">
        <v>1087</v>
      </c>
      <c r="B472">
        <v>0</v>
      </c>
    </row>
    <row r="473" spans="1:2" x14ac:dyDescent="0.35">
      <c r="A473" t="s">
        <v>1088</v>
      </c>
      <c r="B473">
        <v>0</v>
      </c>
    </row>
    <row r="474" spans="1:2" x14ac:dyDescent="0.35">
      <c r="A474" t="s">
        <v>1089</v>
      </c>
      <c r="B474">
        <v>0</v>
      </c>
    </row>
    <row r="475" spans="1:2" x14ac:dyDescent="0.35">
      <c r="A475" t="s">
        <v>1090</v>
      </c>
      <c r="B475">
        <v>2043</v>
      </c>
    </row>
    <row r="476" spans="1:2" x14ac:dyDescent="0.35">
      <c r="A476" t="s">
        <v>1091</v>
      </c>
      <c r="B476">
        <v>160</v>
      </c>
    </row>
    <row r="477" spans="1:2" x14ac:dyDescent="0.35">
      <c r="A477" t="s">
        <v>1092</v>
      </c>
      <c r="B477">
        <v>2043</v>
      </c>
    </row>
    <row r="478" spans="1:2" x14ac:dyDescent="0.35">
      <c r="A478" t="s">
        <v>1093</v>
      </c>
      <c r="B478">
        <v>4129</v>
      </c>
    </row>
    <row r="479" spans="1:2" x14ac:dyDescent="0.35">
      <c r="A479" t="s">
        <v>1094</v>
      </c>
      <c r="B479">
        <v>0</v>
      </c>
    </row>
    <row r="480" spans="1:2" x14ac:dyDescent="0.35">
      <c r="A480" t="s">
        <v>1095</v>
      </c>
      <c r="B480">
        <v>0</v>
      </c>
    </row>
    <row r="481" spans="1:2" x14ac:dyDescent="0.35">
      <c r="A481" t="s">
        <v>1096</v>
      </c>
      <c r="B481">
        <v>0</v>
      </c>
    </row>
    <row r="482" spans="1:2" x14ac:dyDescent="0.35">
      <c r="A482" t="s">
        <v>1097</v>
      </c>
      <c r="B482">
        <v>0</v>
      </c>
    </row>
    <row r="483" spans="1:2" x14ac:dyDescent="0.35">
      <c r="A483" t="s">
        <v>1098</v>
      </c>
      <c r="B483">
        <v>0</v>
      </c>
    </row>
    <row r="484" spans="1:2" x14ac:dyDescent="0.35">
      <c r="A484" t="s">
        <v>1099</v>
      </c>
      <c r="B484">
        <v>0</v>
      </c>
    </row>
    <row r="485" spans="1:2" x14ac:dyDescent="0.35">
      <c r="A485" t="s">
        <v>1100</v>
      </c>
      <c r="B485">
        <v>0</v>
      </c>
    </row>
    <row r="486" spans="1:2" x14ac:dyDescent="0.35">
      <c r="A486" t="s">
        <v>1101</v>
      </c>
      <c r="B486">
        <v>0</v>
      </c>
    </row>
    <row r="487" spans="1:2" x14ac:dyDescent="0.35">
      <c r="A487" t="s">
        <v>1102</v>
      </c>
      <c r="B487">
        <v>0</v>
      </c>
    </row>
    <row r="488" spans="1:2" x14ac:dyDescent="0.35">
      <c r="A488" t="s">
        <v>1103</v>
      </c>
      <c r="B488">
        <v>0</v>
      </c>
    </row>
    <row r="489" spans="1:2" x14ac:dyDescent="0.35">
      <c r="A489" t="s">
        <v>1104</v>
      </c>
      <c r="B489">
        <v>0</v>
      </c>
    </row>
    <row r="490" spans="1:2" x14ac:dyDescent="0.35">
      <c r="A490" t="s">
        <v>1105</v>
      </c>
      <c r="B490">
        <v>0</v>
      </c>
    </row>
    <row r="491" spans="1:2" x14ac:dyDescent="0.35">
      <c r="A491" t="s">
        <v>1106</v>
      </c>
      <c r="B491">
        <v>0</v>
      </c>
    </row>
    <row r="492" spans="1:2" x14ac:dyDescent="0.35">
      <c r="A492" t="s">
        <v>1107</v>
      </c>
      <c r="B492">
        <v>0</v>
      </c>
    </row>
    <row r="493" spans="1:2" x14ac:dyDescent="0.35">
      <c r="A493" t="s">
        <v>1108</v>
      </c>
      <c r="B493">
        <v>0</v>
      </c>
    </row>
    <row r="494" spans="1:2" x14ac:dyDescent="0.35">
      <c r="A494" t="s">
        <v>1109</v>
      </c>
      <c r="B494">
        <v>0</v>
      </c>
    </row>
    <row r="495" spans="1:2" x14ac:dyDescent="0.35">
      <c r="A495" t="s">
        <v>1110</v>
      </c>
      <c r="B495">
        <v>0</v>
      </c>
    </row>
    <row r="496" spans="1:2" x14ac:dyDescent="0.35">
      <c r="A496" t="s">
        <v>1111</v>
      </c>
      <c r="B496">
        <v>0</v>
      </c>
    </row>
    <row r="497" spans="1:2" x14ac:dyDescent="0.35">
      <c r="A497" t="s">
        <v>1112</v>
      </c>
      <c r="B497">
        <v>0</v>
      </c>
    </row>
    <row r="498" spans="1:2" x14ac:dyDescent="0.35">
      <c r="A498" t="s">
        <v>1113</v>
      </c>
      <c r="B498">
        <v>0</v>
      </c>
    </row>
    <row r="499" spans="1:2" x14ac:dyDescent="0.35">
      <c r="A499" t="s">
        <v>1114</v>
      </c>
      <c r="B499">
        <v>0</v>
      </c>
    </row>
    <row r="500" spans="1:2" x14ac:dyDescent="0.35">
      <c r="A500" t="s">
        <v>1115</v>
      </c>
      <c r="B500">
        <v>0</v>
      </c>
    </row>
    <row r="501" spans="1:2" x14ac:dyDescent="0.35">
      <c r="A501" t="s">
        <v>1116</v>
      </c>
      <c r="B501">
        <v>0</v>
      </c>
    </row>
    <row r="502" spans="1:2" x14ac:dyDescent="0.35">
      <c r="A502" t="s">
        <v>1117</v>
      </c>
      <c r="B502">
        <v>0</v>
      </c>
    </row>
    <row r="503" spans="1:2" x14ac:dyDescent="0.35">
      <c r="A503" t="s">
        <v>1118</v>
      </c>
      <c r="B503">
        <v>0</v>
      </c>
    </row>
    <row r="504" spans="1:2" x14ac:dyDescent="0.35">
      <c r="A504" t="s">
        <v>1119</v>
      </c>
      <c r="B504">
        <v>0</v>
      </c>
    </row>
    <row r="505" spans="1:2" x14ac:dyDescent="0.35">
      <c r="A505" t="s">
        <v>1120</v>
      </c>
      <c r="B505">
        <v>0</v>
      </c>
    </row>
    <row r="506" spans="1:2" x14ac:dyDescent="0.35">
      <c r="A506" t="s">
        <v>1121</v>
      </c>
      <c r="B506">
        <v>0</v>
      </c>
    </row>
    <row r="507" spans="1:2" x14ac:dyDescent="0.35">
      <c r="A507" t="s">
        <v>1122</v>
      </c>
      <c r="B507">
        <v>0</v>
      </c>
    </row>
    <row r="508" spans="1:2" x14ac:dyDescent="0.35">
      <c r="A508" t="s">
        <v>1123</v>
      </c>
      <c r="B508">
        <v>0</v>
      </c>
    </row>
    <row r="509" spans="1:2" x14ac:dyDescent="0.35">
      <c r="A509" t="s">
        <v>1124</v>
      </c>
      <c r="B509">
        <v>0</v>
      </c>
    </row>
    <row r="510" spans="1:2" x14ac:dyDescent="0.35">
      <c r="A510" t="s">
        <v>1125</v>
      </c>
      <c r="B510">
        <v>0</v>
      </c>
    </row>
    <row r="511" spans="1:2" x14ac:dyDescent="0.35">
      <c r="A511" t="s">
        <v>1126</v>
      </c>
      <c r="B511">
        <v>0</v>
      </c>
    </row>
    <row r="512" spans="1:2" x14ac:dyDescent="0.35">
      <c r="A512" t="s">
        <v>1127</v>
      </c>
      <c r="B512">
        <v>0</v>
      </c>
    </row>
    <row r="513" spans="1:2" x14ac:dyDescent="0.35">
      <c r="A513" t="s">
        <v>1128</v>
      </c>
      <c r="B513">
        <v>0</v>
      </c>
    </row>
    <row r="514" spans="1:2" x14ac:dyDescent="0.35">
      <c r="A514" t="s">
        <v>1129</v>
      </c>
      <c r="B514">
        <v>0</v>
      </c>
    </row>
    <row r="515" spans="1:2" x14ac:dyDescent="0.35">
      <c r="A515" t="s">
        <v>1130</v>
      </c>
      <c r="B515">
        <v>0</v>
      </c>
    </row>
    <row r="516" spans="1:2" x14ac:dyDescent="0.35">
      <c r="A516" t="s">
        <v>1131</v>
      </c>
      <c r="B516">
        <v>0</v>
      </c>
    </row>
    <row r="517" spans="1:2" x14ac:dyDescent="0.35">
      <c r="A517" t="s">
        <v>1132</v>
      </c>
      <c r="B517">
        <v>0</v>
      </c>
    </row>
    <row r="518" spans="1:2" x14ac:dyDescent="0.35">
      <c r="A518" t="s">
        <v>1133</v>
      </c>
      <c r="B518">
        <v>0</v>
      </c>
    </row>
    <row r="519" spans="1:2" x14ac:dyDescent="0.35">
      <c r="A519" t="s">
        <v>1134</v>
      </c>
      <c r="B519">
        <v>0</v>
      </c>
    </row>
    <row r="520" spans="1:2" x14ac:dyDescent="0.35">
      <c r="A520" t="s">
        <v>1135</v>
      </c>
      <c r="B520">
        <v>0</v>
      </c>
    </row>
    <row r="521" spans="1:2" x14ac:dyDescent="0.35">
      <c r="A521" t="s">
        <v>1136</v>
      </c>
      <c r="B521">
        <v>0</v>
      </c>
    </row>
    <row r="522" spans="1:2" x14ac:dyDescent="0.35">
      <c r="A522" t="s">
        <v>1137</v>
      </c>
      <c r="B522">
        <v>0</v>
      </c>
    </row>
    <row r="523" spans="1:2" x14ac:dyDescent="0.35">
      <c r="A523" t="s">
        <v>1138</v>
      </c>
      <c r="B523">
        <v>0</v>
      </c>
    </row>
    <row r="524" spans="1:2" x14ac:dyDescent="0.35">
      <c r="A524" t="s">
        <v>1139</v>
      </c>
      <c r="B524">
        <v>0</v>
      </c>
    </row>
    <row r="525" spans="1:2" x14ac:dyDescent="0.35">
      <c r="A525" t="s">
        <v>1140</v>
      </c>
      <c r="B525">
        <v>0</v>
      </c>
    </row>
    <row r="526" spans="1:2" x14ac:dyDescent="0.35">
      <c r="A526" t="s">
        <v>1141</v>
      </c>
      <c r="B526">
        <v>640</v>
      </c>
    </row>
    <row r="527" spans="1:2" x14ac:dyDescent="0.35">
      <c r="A527" t="s">
        <v>1142</v>
      </c>
      <c r="B527">
        <v>0</v>
      </c>
    </row>
    <row r="528" spans="1:2" x14ac:dyDescent="0.35">
      <c r="A528" t="s">
        <v>1143</v>
      </c>
      <c r="B528">
        <v>639</v>
      </c>
    </row>
    <row r="529" spans="1:2" x14ac:dyDescent="0.35">
      <c r="A529" t="s">
        <v>1144</v>
      </c>
      <c r="B529">
        <v>639</v>
      </c>
    </row>
    <row r="530" spans="1:2" x14ac:dyDescent="0.35">
      <c r="A530" t="s">
        <v>1145</v>
      </c>
      <c r="B530">
        <v>640</v>
      </c>
    </row>
    <row r="531" spans="1:2" x14ac:dyDescent="0.35">
      <c r="A531" t="s">
        <v>1146</v>
      </c>
      <c r="B531">
        <v>639</v>
      </c>
    </row>
    <row r="532" spans="1:2" x14ac:dyDescent="0.35">
      <c r="A532" t="s">
        <v>1147</v>
      </c>
      <c r="B532">
        <v>639</v>
      </c>
    </row>
    <row r="533" spans="1:2" x14ac:dyDescent="0.35">
      <c r="A533" t="s">
        <v>1148</v>
      </c>
      <c r="B533">
        <v>640</v>
      </c>
    </row>
    <row r="534" spans="1:2" x14ac:dyDescent="0.35">
      <c r="A534" t="s">
        <v>1149</v>
      </c>
      <c r="B534">
        <v>0</v>
      </c>
    </row>
    <row r="535" spans="1:2" x14ac:dyDescent="0.35">
      <c r="A535" t="s">
        <v>1150</v>
      </c>
      <c r="B535">
        <v>1</v>
      </c>
    </row>
    <row r="536" spans="1:2" x14ac:dyDescent="0.35">
      <c r="A536" t="s">
        <v>1151</v>
      </c>
      <c r="B536">
        <v>0</v>
      </c>
    </row>
    <row r="537" spans="1:2" x14ac:dyDescent="0.35">
      <c r="A537" t="s">
        <v>1152</v>
      </c>
      <c r="B537">
        <v>0</v>
      </c>
    </row>
    <row r="538" spans="1:2" x14ac:dyDescent="0.35">
      <c r="A538" t="s">
        <v>1153</v>
      </c>
      <c r="B538">
        <v>0</v>
      </c>
    </row>
    <row r="539" spans="1:2" x14ac:dyDescent="0.35">
      <c r="A539" t="s">
        <v>1154</v>
      </c>
      <c r="B539">
        <v>0</v>
      </c>
    </row>
    <row r="540" spans="1:2" x14ac:dyDescent="0.35">
      <c r="A540" t="s">
        <v>1155</v>
      </c>
      <c r="B540">
        <v>0</v>
      </c>
    </row>
    <row r="541" spans="1:2" x14ac:dyDescent="0.35">
      <c r="A541" t="s">
        <v>1156</v>
      </c>
      <c r="B541">
        <v>0</v>
      </c>
    </row>
    <row r="542" spans="1:2" x14ac:dyDescent="0.35">
      <c r="A542" t="s">
        <v>1157</v>
      </c>
      <c r="B542">
        <v>0</v>
      </c>
    </row>
    <row r="543" spans="1:2" x14ac:dyDescent="0.35">
      <c r="A543" t="s">
        <v>1158</v>
      </c>
      <c r="B543">
        <v>0</v>
      </c>
    </row>
    <row r="544" spans="1:2" x14ac:dyDescent="0.35">
      <c r="A544" t="s">
        <v>1159</v>
      </c>
      <c r="B544">
        <v>0</v>
      </c>
    </row>
    <row r="545" spans="1:2" x14ac:dyDescent="0.35">
      <c r="A545" t="s">
        <v>1160</v>
      </c>
      <c r="B545">
        <v>0</v>
      </c>
    </row>
    <row r="546" spans="1:2" x14ac:dyDescent="0.35">
      <c r="A546" t="s">
        <v>1161</v>
      </c>
      <c r="B546">
        <v>0</v>
      </c>
    </row>
    <row r="547" spans="1:2" x14ac:dyDescent="0.35">
      <c r="A547" t="s">
        <v>1162</v>
      </c>
      <c r="B547">
        <v>0</v>
      </c>
    </row>
    <row r="548" spans="1:2" x14ac:dyDescent="0.35">
      <c r="A548" t="s">
        <v>1163</v>
      </c>
      <c r="B548">
        <v>0</v>
      </c>
    </row>
    <row r="549" spans="1:2" x14ac:dyDescent="0.35">
      <c r="A549" t="s">
        <v>1164</v>
      </c>
      <c r="B549">
        <v>0</v>
      </c>
    </row>
    <row r="550" spans="1:2" x14ac:dyDescent="0.35">
      <c r="A550" t="s">
        <v>1165</v>
      </c>
      <c r="B550">
        <v>0</v>
      </c>
    </row>
    <row r="551" spans="1:2" x14ac:dyDescent="0.35">
      <c r="A551" t="s">
        <v>1166</v>
      </c>
      <c r="B551">
        <v>0</v>
      </c>
    </row>
    <row r="552" spans="1:2" x14ac:dyDescent="0.35">
      <c r="A552" t="s">
        <v>1167</v>
      </c>
      <c r="B552">
        <v>0</v>
      </c>
    </row>
    <row r="553" spans="1:2" x14ac:dyDescent="0.35">
      <c r="A553" t="s">
        <v>1168</v>
      </c>
      <c r="B553">
        <v>0</v>
      </c>
    </row>
    <row r="554" spans="1:2" x14ac:dyDescent="0.35">
      <c r="A554" t="s">
        <v>1169</v>
      </c>
      <c r="B554">
        <v>0</v>
      </c>
    </row>
    <row r="555" spans="1:2" x14ac:dyDescent="0.35">
      <c r="A555" t="s">
        <v>1170</v>
      </c>
      <c r="B555">
        <v>0</v>
      </c>
    </row>
    <row r="556" spans="1:2" x14ac:dyDescent="0.35">
      <c r="A556" t="s">
        <v>1171</v>
      </c>
      <c r="B556">
        <v>0</v>
      </c>
    </row>
    <row r="557" spans="1:2" x14ac:dyDescent="0.35">
      <c r="A557" t="s">
        <v>1172</v>
      </c>
      <c r="B557">
        <v>0</v>
      </c>
    </row>
    <row r="558" spans="1:2" x14ac:dyDescent="0.35">
      <c r="A558" t="s">
        <v>1173</v>
      </c>
      <c r="B558">
        <v>0</v>
      </c>
    </row>
    <row r="559" spans="1:2" x14ac:dyDescent="0.35">
      <c r="A559" t="s">
        <v>1174</v>
      </c>
      <c r="B559">
        <v>0</v>
      </c>
    </row>
    <row r="560" spans="1:2" x14ac:dyDescent="0.35">
      <c r="A560" t="s">
        <v>1175</v>
      </c>
      <c r="B560">
        <v>0</v>
      </c>
    </row>
    <row r="561" spans="1:2" x14ac:dyDescent="0.35">
      <c r="A561" t="s">
        <v>1176</v>
      </c>
      <c r="B561">
        <v>0</v>
      </c>
    </row>
    <row r="562" spans="1:2" x14ac:dyDescent="0.35">
      <c r="A562" t="s">
        <v>1177</v>
      </c>
      <c r="B562">
        <v>0</v>
      </c>
    </row>
    <row r="563" spans="1:2" x14ac:dyDescent="0.35">
      <c r="A563" t="s">
        <v>1178</v>
      </c>
      <c r="B563">
        <v>0</v>
      </c>
    </row>
    <row r="564" spans="1:2" x14ac:dyDescent="0.35">
      <c r="A564" t="s">
        <v>1179</v>
      </c>
      <c r="B564">
        <v>0</v>
      </c>
    </row>
    <row r="565" spans="1:2" x14ac:dyDescent="0.35">
      <c r="A565" t="s">
        <v>1180</v>
      </c>
      <c r="B565">
        <v>0</v>
      </c>
    </row>
    <row r="566" spans="1:2" x14ac:dyDescent="0.35">
      <c r="A566" t="s">
        <v>1181</v>
      </c>
      <c r="B566">
        <v>0</v>
      </c>
    </row>
    <row r="567" spans="1:2" x14ac:dyDescent="0.35">
      <c r="A567" t="s">
        <v>1081</v>
      </c>
      <c r="B567">
        <v>0</v>
      </c>
    </row>
    <row r="568" spans="1:2" x14ac:dyDescent="0.35">
      <c r="A568" t="s">
        <v>1182</v>
      </c>
      <c r="B568">
        <v>0</v>
      </c>
    </row>
    <row r="569" spans="1:2" x14ac:dyDescent="0.35">
      <c r="A569" t="s">
        <v>1183</v>
      </c>
      <c r="B569">
        <v>0</v>
      </c>
    </row>
    <row r="570" spans="1:2" x14ac:dyDescent="0.35">
      <c r="A570" t="s">
        <v>1184</v>
      </c>
      <c r="B570">
        <v>0</v>
      </c>
    </row>
    <row r="571" spans="1:2" x14ac:dyDescent="0.35">
      <c r="A571" t="s">
        <v>1185</v>
      </c>
      <c r="B571">
        <v>0</v>
      </c>
    </row>
    <row r="572" spans="1:2" x14ac:dyDescent="0.35">
      <c r="A572" t="s">
        <v>1186</v>
      </c>
      <c r="B572">
        <v>0</v>
      </c>
    </row>
    <row r="573" spans="1:2" x14ac:dyDescent="0.35">
      <c r="A573" t="s">
        <v>1187</v>
      </c>
      <c r="B573">
        <v>0</v>
      </c>
    </row>
    <row r="574" spans="1:2" x14ac:dyDescent="0.35">
      <c r="A574" t="s">
        <v>1188</v>
      </c>
      <c r="B574">
        <v>0</v>
      </c>
    </row>
    <row r="575" spans="1:2" x14ac:dyDescent="0.35">
      <c r="A575" t="s">
        <v>1189</v>
      </c>
      <c r="B575">
        <v>0</v>
      </c>
    </row>
    <row r="576" spans="1:2" x14ac:dyDescent="0.35">
      <c r="A576" t="s">
        <v>1190</v>
      </c>
      <c r="B5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2EBA-6A0E-4C12-8C85-B379367AEC08}">
  <dimension ref="A1:B545"/>
  <sheetViews>
    <sheetView topLeftCell="A531" workbookViewId="0">
      <selection activeCell="A3" sqref="A3"/>
    </sheetView>
  </sheetViews>
  <sheetFormatPr defaultRowHeight="14.5" x14ac:dyDescent="0.35"/>
  <cols>
    <col min="1" max="1" width="21.36328125" bestFit="1" customWidth="1"/>
    <col min="2" max="2" width="13.453125" bestFit="1" customWidth="1"/>
  </cols>
  <sheetData>
    <row r="1" spans="1:2" x14ac:dyDescent="0.35">
      <c r="A1" s="2" t="s">
        <v>1194</v>
      </c>
      <c r="B1" t="s">
        <v>1193</v>
      </c>
    </row>
    <row r="2" spans="1:2" x14ac:dyDescent="0.35">
      <c r="A2" s="3" t="s">
        <v>672</v>
      </c>
      <c r="B2">
        <v>0</v>
      </c>
    </row>
    <row r="3" spans="1:2" x14ac:dyDescent="0.35">
      <c r="A3" s="3" t="s">
        <v>699</v>
      </c>
      <c r="B3">
        <v>1124091</v>
      </c>
    </row>
    <row r="4" spans="1:2" x14ac:dyDescent="0.35">
      <c r="A4" s="3" t="s">
        <v>669</v>
      </c>
      <c r="B4">
        <v>0</v>
      </c>
    </row>
    <row r="5" spans="1:2" x14ac:dyDescent="0.35">
      <c r="A5" s="3" t="s">
        <v>673</v>
      </c>
      <c r="B5">
        <v>0</v>
      </c>
    </row>
    <row r="6" spans="1:2" x14ac:dyDescent="0.35">
      <c r="A6" s="3" t="s">
        <v>664</v>
      </c>
      <c r="B6">
        <v>20</v>
      </c>
    </row>
    <row r="7" spans="1:2" x14ac:dyDescent="0.35">
      <c r="A7" s="3" t="s">
        <v>656</v>
      </c>
      <c r="B7">
        <v>442649</v>
      </c>
    </row>
    <row r="8" spans="1:2" x14ac:dyDescent="0.35">
      <c r="A8" s="3" t="s">
        <v>655</v>
      </c>
      <c r="B8">
        <v>403197</v>
      </c>
    </row>
    <row r="9" spans="1:2" x14ac:dyDescent="0.35">
      <c r="A9" s="3" t="s">
        <v>650</v>
      </c>
      <c r="B9">
        <v>402580</v>
      </c>
    </row>
    <row r="10" spans="1:2" x14ac:dyDescent="0.35">
      <c r="A10" s="3" t="s">
        <v>663</v>
      </c>
      <c r="B10">
        <v>19568</v>
      </c>
    </row>
    <row r="11" spans="1:2" x14ac:dyDescent="0.35">
      <c r="A11" s="3" t="s">
        <v>696</v>
      </c>
      <c r="B11">
        <v>579392</v>
      </c>
    </row>
    <row r="12" spans="1:2" x14ac:dyDescent="0.35">
      <c r="A12" s="3" t="s">
        <v>658</v>
      </c>
      <c r="B12">
        <v>5181089</v>
      </c>
    </row>
    <row r="13" spans="1:2" x14ac:dyDescent="0.35">
      <c r="A13" s="3" t="s">
        <v>690</v>
      </c>
      <c r="B13">
        <v>0</v>
      </c>
    </row>
    <row r="14" spans="1:2" x14ac:dyDescent="0.35">
      <c r="A14" s="3" t="s">
        <v>687</v>
      </c>
      <c r="B14">
        <v>29105</v>
      </c>
    </row>
    <row r="15" spans="1:2" x14ac:dyDescent="0.35">
      <c r="A15" s="3" t="s">
        <v>675</v>
      </c>
      <c r="B15">
        <v>0</v>
      </c>
    </row>
    <row r="16" spans="1:2" x14ac:dyDescent="0.35">
      <c r="A16" s="3" t="s">
        <v>698</v>
      </c>
      <c r="B16">
        <v>654395</v>
      </c>
    </row>
    <row r="17" spans="1:2" x14ac:dyDescent="0.35">
      <c r="A17" s="3" t="s">
        <v>668</v>
      </c>
      <c r="B17">
        <v>0</v>
      </c>
    </row>
    <row r="18" spans="1:2" x14ac:dyDescent="0.35">
      <c r="A18" s="3" t="s">
        <v>667</v>
      </c>
      <c r="B18">
        <v>0</v>
      </c>
    </row>
    <row r="19" spans="1:2" x14ac:dyDescent="0.35">
      <c r="A19" s="3" t="s">
        <v>688</v>
      </c>
      <c r="B19">
        <v>51160</v>
      </c>
    </row>
    <row r="20" spans="1:2" x14ac:dyDescent="0.35">
      <c r="A20" s="3" t="s">
        <v>676</v>
      </c>
      <c r="B20">
        <v>0</v>
      </c>
    </row>
    <row r="21" spans="1:2" x14ac:dyDescent="0.35">
      <c r="A21" s="3" t="s">
        <v>677</v>
      </c>
      <c r="B21">
        <v>0</v>
      </c>
    </row>
    <row r="22" spans="1:2" x14ac:dyDescent="0.35">
      <c r="A22" s="3" t="s">
        <v>692</v>
      </c>
      <c r="B22">
        <v>51333</v>
      </c>
    </row>
    <row r="23" spans="1:2" x14ac:dyDescent="0.35">
      <c r="A23" s="3" t="s">
        <v>678</v>
      </c>
      <c r="B23">
        <v>0</v>
      </c>
    </row>
    <row r="24" spans="1:2" x14ac:dyDescent="0.35">
      <c r="A24" s="3" t="s">
        <v>679</v>
      </c>
      <c r="B24">
        <v>0</v>
      </c>
    </row>
    <row r="25" spans="1:2" x14ac:dyDescent="0.35">
      <c r="A25" s="3" t="s">
        <v>680</v>
      </c>
      <c r="B25">
        <v>0</v>
      </c>
    </row>
    <row r="26" spans="1:2" x14ac:dyDescent="0.35">
      <c r="A26" s="3" t="s">
        <v>662</v>
      </c>
      <c r="B26">
        <v>22074</v>
      </c>
    </row>
    <row r="27" spans="1:2" x14ac:dyDescent="0.35">
      <c r="A27" s="3" t="s">
        <v>674</v>
      </c>
      <c r="B27">
        <v>0</v>
      </c>
    </row>
    <row r="28" spans="1:2" x14ac:dyDescent="0.35">
      <c r="A28" s="3" t="s">
        <v>660</v>
      </c>
      <c r="B28">
        <v>82946</v>
      </c>
    </row>
    <row r="29" spans="1:2" x14ac:dyDescent="0.35">
      <c r="A29" s="3" t="s">
        <v>697</v>
      </c>
      <c r="B29">
        <v>566074</v>
      </c>
    </row>
    <row r="30" spans="1:2" x14ac:dyDescent="0.35">
      <c r="A30" s="3" t="s">
        <v>1081</v>
      </c>
      <c r="B30">
        <v>0</v>
      </c>
    </row>
    <row r="31" spans="1:2" x14ac:dyDescent="0.35">
      <c r="A31" s="3" t="s">
        <v>652</v>
      </c>
      <c r="B31">
        <v>0</v>
      </c>
    </row>
    <row r="32" spans="1:2" x14ac:dyDescent="0.35">
      <c r="A32" s="3" t="s">
        <v>1186</v>
      </c>
      <c r="B32">
        <v>0</v>
      </c>
    </row>
    <row r="33" spans="1:2" x14ac:dyDescent="0.35">
      <c r="A33" s="3" t="s">
        <v>670</v>
      </c>
      <c r="B33">
        <v>0</v>
      </c>
    </row>
    <row r="34" spans="1:2" x14ac:dyDescent="0.35">
      <c r="A34" s="3" t="s">
        <v>700</v>
      </c>
      <c r="B34">
        <v>0</v>
      </c>
    </row>
    <row r="35" spans="1:2" x14ac:dyDescent="0.35">
      <c r="A35" s="3" t="s">
        <v>701</v>
      </c>
      <c r="B35">
        <v>0</v>
      </c>
    </row>
    <row r="36" spans="1:2" x14ac:dyDescent="0.35">
      <c r="A36" s="3" t="s">
        <v>753</v>
      </c>
      <c r="B36">
        <v>0</v>
      </c>
    </row>
    <row r="37" spans="1:2" x14ac:dyDescent="0.35">
      <c r="A37" s="3" t="s">
        <v>754</v>
      </c>
      <c r="B37">
        <v>0</v>
      </c>
    </row>
    <row r="38" spans="1:2" x14ac:dyDescent="0.35">
      <c r="A38" s="3" t="s">
        <v>702</v>
      </c>
      <c r="B38">
        <v>0</v>
      </c>
    </row>
    <row r="39" spans="1:2" x14ac:dyDescent="0.35">
      <c r="A39" s="3" t="s">
        <v>715</v>
      </c>
      <c r="B39">
        <v>0</v>
      </c>
    </row>
    <row r="40" spans="1:2" x14ac:dyDescent="0.35">
      <c r="A40" s="3" t="s">
        <v>716</v>
      </c>
      <c r="B40">
        <v>0</v>
      </c>
    </row>
    <row r="41" spans="1:2" x14ac:dyDescent="0.35">
      <c r="A41" s="3" t="s">
        <v>757</v>
      </c>
      <c r="B41">
        <v>39396</v>
      </c>
    </row>
    <row r="42" spans="1:2" x14ac:dyDescent="0.35">
      <c r="A42" s="3" t="s">
        <v>755</v>
      </c>
      <c r="B42">
        <v>0</v>
      </c>
    </row>
    <row r="43" spans="1:2" x14ac:dyDescent="0.35">
      <c r="A43" s="3" t="s">
        <v>717</v>
      </c>
      <c r="B43">
        <v>0</v>
      </c>
    </row>
    <row r="44" spans="1:2" x14ac:dyDescent="0.35">
      <c r="A44" s="3" t="s">
        <v>704</v>
      </c>
      <c r="B44">
        <v>0</v>
      </c>
    </row>
    <row r="45" spans="1:2" x14ac:dyDescent="0.35">
      <c r="A45" s="3" t="s">
        <v>705</v>
      </c>
      <c r="B45">
        <v>0</v>
      </c>
    </row>
    <row r="46" spans="1:2" x14ac:dyDescent="0.35">
      <c r="A46" s="3" t="s">
        <v>729</v>
      </c>
      <c r="B46">
        <v>0</v>
      </c>
    </row>
    <row r="47" spans="1:2" x14ac:dyDescent="0.35">
      <c r="A47" s="3" t="s">
        <v>706</v>
      </c>
      <c r="B47">
        <v>0</v>
      </c>
    </row>
    <row r="48" spans="1:2" x14ac:dyDescent="0.35">
      <c r="A48" s="3" t="s">
        <v>759</v>
      </c>
      <c r="B48">
        <v>0</v>
      </c>
    </row>
    <row r="49" spans="1:2" x14ac:dyDescent="0.35">
      <c r="A49" s="3" t="s">
        <v>766</v>
      </c>
      <c r="B49">
        <v>4</v>
      </c>
    </row>
    <row r="50" spans="1:2" x14ac:dyDescent="0.35">
      <c r="A50" s="3" t="s">
        <v>707</v>
      </c>
      <c r="B50">
        <v>0</v>
      </c>
    </row>
    <row r="51" spans="1:2" x14ac:dyDescent="0.35">
      <c r="A51" s="3" t="s">
        <v>703</v>
      </c>
      <c r="B51">
        <v>0</v>
      </c>
    </row>
    <row r="52" spans="1:2" x14ac:dyDescent="0.35">
      <c r="A52" s="3" t="s">
        <v>708</v>
      </c>
      <c r="B52">
        <v>0</v>
      </c>
    </row>
    <row r="53" spans="1:2" x14ac:dyDescent="0.35">
      <c r="A53" s="3" t="s">
        <v>709</v>
      </c>
      <c r="B53">
        <v>0</v>
      </c>
    </row>
    <row r="54" spans="1:2" x14ac:dyDescent="0.35">
      <c r="A54" s="3" t="s">
        <v>710</v>
      </c>
      <c r="B54">
        <v>0</v>
      </c>
    </row>
    <row r="55" spans="1:2" x14ac:dyDescent="0.35">
      <c r="A55" s="3" t="s">
        <v>711</v>
      </c>
      <c r="B55">
        <v>0</v>
      </c>
    </row>
    <row r="56" spans="1:2" x14ac:dyDescent="0.35">
      <c r="A56" s="3" t="s">
        <v>728</v>
      </c>
      <c r="B56">
        <v>0</v>
      </c>
    </row>
    <row r="57" spans="1:2" x14ac:dyDescent="0.35">
      <c r="A57" s="3" t="s">
        <v>727</v>
      </c>
      <c r="B57">
        <v>0</v>
      </c>
    </row>
    <row r="58" spans="1:2" x14ac:dyDescent="0.35">
      <c r="A58" s="3" t="s">
        <v>760</v>
      </c>
      <c r="B58">
        <v>0</v>
      </c>
    </row>
    <row r="59" spans="1:2" x14ac:dyDescent="0.35">
      <c r="A59" s="3" t="s">
        <v>761</v>
      </c>
      <c r="B59">
        <v>0</v>
      </c>
    </row>
    <row r="60" spans="1:2" x14ac:dyDescent="0.35">
      <c r="A60" s="3" t="s">
        <v>767</v>
      </c>
      <c r="B60">
        <v>1</v>
      </c>
    </row>
    <row r="61" spans="1:2" x14ac:dyDescent="0.35">
      <c r="A61" s="3" t="s">
        <v>768</v>
      </c>
      <c r="B61">
        <v>7</v>
      </c>
    </row>
    <row r="62" spans="1:2" x14ac:dyDescent="0.35">
      <c r="A62" s="3" t="s">
        <v>735</v>
      </c>
      <c r="B62">
        <v>1500586</v>
      </c>
    </row>
    <row r="63" spans="1:2" x14ac:dyDescent="0.35">
      <c r="A63" s="3" t="s">
        <v>718</v>
      </c>
      <c r="B63">
        <v>0</v>
      </c>
    </row>
    <row r="64" spans="1:2" x14ac:dyDescent="0.35">
      <c r="A64" s="3" t="s">
        <v>719</v>
      </c>
      <c r="B64">
        <v>0</v>
      </c>
    </row>
    <row r="65" spans="1:2" x14ac:dyDescent="0.35">
      <c r="A65" s="3" t="s">
        <v>720</v>
      </c>
      <c r="B65">
        <v>0</v>
      </c>
    </row>
    <row r="66" spans="1:2" x14ac:dyDescent="0.35">
      <c r="A66" s="3" t="s">
        <v>713</v>
      </c>
      <c r="B66">
        <v>22396043</v>
      </c>
    </row>
    <row r="67" spans="1:2" x14ac:dyDescent="0.35">
      <c r="A67" s="3" t="s">
        <v>726</v>
      </c>
      <c r="B67">
        <v>5678877</v>
      </c>
    </row>
    <row r="68" spans="1:2" x14ac:dyDescent="0.35">
      <c r="A68" s="3" t="s">
        <v>723</v>
      </c>
      <c r="B68">
        <v>0</v>
      </c>
    </row>
    <row r="69" spans="1:2" x14ac:dyDescent="0.35">
      <c r="A69" s="3" t="s">
        <v>714</v>
      </c>
      <c r="B69">
        <v>0</v>
      </c>
    </row>
    <row r="70" spans="1:2" x14ac:dyDescent="0.35">
      <c r="A70" s="3" t="s">
        <v>712</v>
      </c>
      <c r="B70">
        <v>11861178</v>
      </c>
    </row>
    <row r="71" spans="1:2" x14ac:dyDescent="0.35">
      <c r="A71" s="3" t="s">
        <v>724</v>
      </c>
      <c r="B71">
        <v>0</v>
      </c>
    </row>
    <row r="72" spans="1:2" x14ac:dyDescent="0.35">
      <c r="A72" s="3" t="s">
        <v>721</v>
      </c>
      <c r="B72">
        <v>0</v>
      </c>
    </row>
    <row r="73" spans="1:2" x14ac:dyDescent="0.35">
      <c r="A73" s="3" t="s">
        <v>722</v>
      </c>
      <c r="B73">
        <v>0</v>
      </c>
    </row>
    <row r="74" spans="1:2" x14ac:dyDescent="0.35">
      <c r="A74" s="3" t="s">
        <v>725</v>
      </c>
      <c r="B74">
        <v>0</v>
      </c>
    </row>
    <row r="75" spans="1:2" x14ac:dyDescent="0.35">
      <c r="A75" s="3" t="s">
        <v>750</v>
      </c>
      <c r="B75">
        <v>458084</v>
      </c>
    </row>
    <row r="76" spans="1:2" x14ac:dyDescent="0.35">
      <c r="A76" s="3" t="s">
        <v>749</v>
      </c>
      <c r="B76">
        <v>4776291</v>
      </c>
    </row>
    <row r="77" spans="1:2" x14ac:dyDescent="0.35">
      <c r="A77" s="3" t="s">
        <v>756</v>
      </c>
      <c r="B77">
        <v>0</v>
      </c>
    </row>
    <row r="78" spans="1:2" x14ac:dyDescent="0.35">
      <c r="A78" s="3" t="s">
        <v>752</v>
      </c>
      <c r="B78">
        <v>0</v>
      </c>
    </row>
    <row r="79" spans="1:2" x14ac:dyDescent="0.35">
      <c r="A79" s="3" t="s">
        <v>751</v>
      </c>
      <c r="B79">
        <v>1989</v>
      </c>
    </row>
    <row r="80" spans="1:2" x14ac:dyDescent="0.35">
      <c r="A80" s="3" t="s">
        <v>758</v>
      </c>
      <c r="B80">
        <v>1335452</v>
      </c>
    </row>
    <row r="81" spans="1:2" x14ac:dyDescent="0.35">
      <c r="A81" s="3" t="s">
        <v>730</v>
      </c>
      <c r="B81">
        <v>20453457</v>
      </c>
    </row>
    <row r="82" spans="1:2" x14ac:dyDescent="0.35">
      <c r="A82" s="3" t="s">
        <v>732</v>
      </c>
      <c r="B82">
        <v>0</v>
      </c>
    </row>
    <row r="83" spans="1:2" x14ac:dyDescent="0.35">
      <c r="A83" s="3" t="s">
        <v>736</v>
      </c>
      <c r="B83">
        <v>11776783</v>
      </c>
    </row>
    <row r="84" spans="1:2" x14ac:dyDescent="0.35">
      <c r="A84" s="3" t="s">
        <v>733</v>
      </c>
      <c r="B84">
        <v>0</v>
      </c>
    </row>
    <row r="85" spans="1:2" x14ac:dyDescent="0.35">
      <c r="A85" s="3" t="s">
        <v>734</v>
      </c>
      <c r="B85">
        <v>0</v>
      </c>
    </row>
    <row r="86" spans="1:2" x14ac:dyDescent="0.35">
      <c r="A86" s="3" t="s">
        <v>731</v>
      </c>
      <c r="B86">
        <v>0</v>
      </c>
    </row>
    <row r="87" spans="1:2" x14ac:dyDescent="0.35">
      <c r="A87" s="3" t="s">
        <v>737</v>
      </c>
      <c r="B87">
        <v>0</v>
      </c>
    </row>
    <row r="88" spans="1:2" x14ac:dyDescent="0.35">
      <c r="A88" s="3" t="s">
        <v>748</v>
      </c>
      <c r="B88">
        <v>0</v>
      </c>
    </row>
    <row r="89" spans="1:2" x14ac:dyDescent="0.35">
      <c r="A89" s="3" t="s">
        <v>739</v>
      </c>
      <c r="B89">
        <v>0</v>
      </c>
    </row>
    <row r="90" spans="1:2" x14ac:dyDescent="0.35">
      <c r="A90" s="3" t="s">
        <v>747</v>
      </c>
      <c r="B90">
        <v>0</v>
      </c>
    </row>
    <row r="91" spans="1:2" x14ac:dyDescent="0.35">
      <c r="A91" s="3" t="s">
        <v>746</v>
      </c>
      <c r="B91">
        <v>0</v>
      </c>
    </row>
    <row r="92" spans="1:2" x14ac:dyDescent="0.35">
      <c r="A92" s="3" t="s">
        <v>738</v>
      </c>
      <c r="B92">
        <v>0</v>
      </c>
    </row>
    <row r="93" spans="1:2" x14ac:dyDescent="0.35">
      <c r="A93" s="3" t="s">
        <v>740</v>
      </c>
      <c r="B93">
        <v>0</v>
      </c>
    </row>
    <row r="94" spans="1:2" x14ac:dyDescent="0.35">
      <c r="A94" s="3" t="s">
        <v>745</v>
      </c>
      <c r="B94">
        <v>0</v>
      </c>
    </row>
    <row r="95" spans="1:2" x14ac:dyDescent="0.35">
      <c r="A95" s="3" t="s">
        <v>742</v>
      </c>
      <c r="B95">
        <v>0</v>
      </c>
    </row>
    <row r="96" spans="1:2" x14ac:dyDescent="0.35">
      <c r="A96" s="3" t="s">
        <v>741</v>
      </c>
      <c r="B96">
        <v>0</v>
      </c>
    </row>
    <row r="97" spans="1:2" x14ac:dyDescent="0.35">
      <c r="A97" s="3" t="s">
        <v>762</v>
      </c>
      <c r="B97">
        <v>6428</v>
      </c>
    </row>
    <row r="98" spans="1:2" x14ac:dyDescent="0.35">
      <c r="A98" s="3" t="s">
        <v>764</v>
      </c>
      <c r="B98">
        <v>0</v>
      </c>
    </row>
    <row r="99" spans="1:2" x14ac:dyDescent="0.35">
      <c r="A99" s="3" t="s">
        <v>765</v>
      </c>
      <c r="B99">
        <v>87387</v>
      </c>
    </row>
    <row r="100" spans="1:2" x14ac:dyDescent="0.35">
      <c r="A100" s="3" t="s">
        <v>763</v>
      </c>
      <c r="B100">
        <v>6460</v>
      </c>
    </row>
    <row r="101" spans="1:2" x14ac:dyDescent="0.35">
      <c r="A101" s="3" t="s">
        <v>1129</v>
      </c>
      <c r="B101">
        <v>0</v>
      </c>
    </row>
    <row r="102" spans="1:2" x14ac:dyDescent="0.35">
      <c r="A102" s="3" t="s">
        <v>910</v>
      </c>
      <c r="B102">
        <v>0</v>
      </c>
    </row>
    <row r="103" spans="1:2" x14ac:dyDescent="0.35">
      <c r="A103" s="3" t="s">
        <v>915</v>
      </c>
      <c r="B103">
        <v>0</v>
      </c>
    </row>
    <row r="104" spans="1:2" x14ac:dyDescent="0.35">
      <c r="A104" s="3" t="s">
        <v>916</v>
      </c>
      <c r="B104">
        <v>0</v>
      </c>
    </row>
    <row r="105" spans="1:2" x14ac:dyDescent="0.35">
      <c r="A105" s="3" t="s">
        <v>919</v>
      </c>
      <c r="B105">
        <v>263763</v>
      </c>
    </row>
    <row r="106" spans="1:2" x14ac:dyDescent="0.35">
      <c r="A106" s="3" t="s">
        <v>1110</v>
      </c>
      <c r="B106">
        <v>0</v>
      </c>
    </row>
    <row r="107" spans="1:2" x14ac:dyDescent="0.35">
      <c r="A107" s="3" t="s">
        <v>805</v>
      </c>
      <c r="B107">
        <v>66206</v>
      </c>
    </row>
    <row r="108" spans="1:2" x14ac:dyDescent="0.35">
      <c r="A108" s="3" t="s">
        <v>908</v>
      </c>
      <c r="B108">
        <v>1043431</v>
      </c>
    </row>
    <row r="109" spans="1:2" x14ac:dyDescent="0.35">
      <c r="A109" s="3" t="s">
        <v>800</v>
      </c>
      <c r="B109">
        <v>15179486</v>
      </c>
    </row>
    <row r="110" spans="1:2" x14ac:dyDescent="0.35">
      <c r="A110" s="3" t="s">
        <v>769</v>
      </c>
      <c r="B110">
        <v>960</v>
      </c>
    </row>
    <row r="111" spans="1:2" x14ac:dyDescent="0.35">
      <c r="A111" s="3" t="s">
        <v>791</v>
      </c>
      <c r="B111">
        <v>0</v>
      </c>
    </row>
    <row r="112" spans="1:2" x14ac:dyDescent="0.35">
      <c r="A112" s="3" t="s">
        <v>794</v>
      </c>
      <c r="B112">
        <v>0</v>
      </c>
    </row>
    <row r="113" spans="1:2" x14ac:dyDescent="0.35">
      <c r="A113" s="3" t="s">
        <v>795</v>
      </c>
      <c r="B113">
        <v>0</v>
      </c>
    </row>
    <row r="114" spans="1:2" x14ac:dyDescent="0.35">
      <c r="A114" s="3" t="s">
        <v>796</v>
      </c>
      <c r="B114">
        <v>0</v>
      </c>
    </row>
    <row r="115" spans="1:2" x14ac:dyDescent="0.35">
      <c r="A115" s="3" t="s">
        <v>770</v>
      </c>
      <c r="B115">
        <v>3998098</v>
      </c>
    </row>
    <row r="116" spans="1:2" x14ac:dyDescent="0.35">
      <c r="A116" s="3" t="s">
        <v>776</v>
      </c>
      <c r="B116">
        <v>3998098</v>
      </c>
    </row>
    <row r="117" spans="1:2" x14ac:dyDescent="0.35">
      <c r="A117" s="3" t="s">
        <v>778</v>
      </c>
      <c r="B117">
        <v>0</v>
      </c>
    </row>
    <row r="118" spans="1:2" x14ac:dyDescent="0.35">
      <c r="A118" s="3" t="s">
        <v>779</v>
      </c>
      <c r="B118">
        <v>0</v>
      </c>
    </row>
    <row r="119" spans="1:2" x14ac:dyDescent="0.35">
      <c r="A119" s="3" t="s">
        <v>777</v>
      </c>
      <c r="B119">
        <v>0</v>
      </c>
    </row>
    <row r="120" spans="1:2" x14ac:dyDescent="0.35">
      <c r="A120" s="3" t="s">
        <v>784</v>
      </c>
      <c r="B120">
        <v>0</v>
      </c>
    </row>
    <row r="121" spans="1:2" x14ac:dyDescent="0.35">
      <c r="A121" s="3" t="s">
        <v>771</v>
      </c>
      <c r="B121">
        <v>10583254</v>
      </c>
    </row>
    <row r="122" spans="1:2" x14ac:dyDescent="0.35">
      <c r="A122" s="3" t="s">
        <v>785</v>
      </c>
      <c r="B122">
        <v>0</v>
      </c>
    </row>
    <row r="123" spans="1:2" x14ac:dyDescent="0.35">
      <c r="A123" s="3" t="s">
        <v>783</v>
      </c>
      <c r="B123">
        <v>0</v>
      </c>
    </row>
    <row r="124" spans="1:2" x14ac:dyDescent="0.35">
      <c r="A124" s="3" t="s">
        <v>792</v>
      </c>
      <c r="B124">
        <v>0</v>
      </c>
    </row>
    <row r="125" spans="1:2" x14ac:dyDescent="0.35">
      <c r="A125" s="3" t="s">
        <v>772</v>
      </c>
      <c r="B125">
        <v>0</v>
      </c>
    </row>
    <row r="126" spans="1:2" x14ac:dyDescent="0.35">
      <c r="A126" s="3" t="s">
        <v>790</v>
      </c>
      <c r="B126">
        <v>0</v>
      </c>
    </row>
    <row r="127" spans="1:2" x14ac:dyDescent="0.35">
      <c r="A127" s="3" t="s">
        <v>793</v>
      </c>
      <c r="B127">
        <v>10583254</v>
      </c>
    </row>
    <row r="128" spans="1:2" x14ac:dyDescent="0.35">
      <c r="A128" s="3" t="s">
        <v>786</v>
      </c>
      <c r="B128">
        <v>0</v>
      </c>
    </row>
    <row r="129" spans="1:2" x14ac:dyDescent="0.35">
      <c r="A129" s="3" t="s">
        <v>780</v>
      </c>
      <c r="B129">
        <v>0</v>
      </c>
    </row>
    <row r="130" spans="1:2" x14ac:dyDescent="0.35">
      <c r="A130" s="3" t="s">
        <v>773</v>
      </c>
      <c r="B130">
        <v>0</v>
      </c>
    </row>
    <row r="131" spans="1:2" x14ac:dyDescent="0.35">
      <c r="A131" s="3" t="s">
        <v>787</v>
      </c>
      <c r="B131">
        <v>0</v>
      </c>
    </row>
    <row r="132" spans="1:2" x14ac:dyDescent="0.35">
      <c r="A132" s="3" t="s">
        <v>788</v>
      </c>
      <c r="B132">
        <v>0</v>
      </c>
    </row>
    <row r="133" spans="1:2" x14ac:dyDescent="0.35">
      <c r="A133" s="3" t="s">
        <v>782</v>
      </c>
      <c r="B133">
        <v>0</v>
      </c>
    </row>
    <row r="134" spans="1:2" x14ac:dyDescent="0.35">
      <c r="A134" s="3" t="s">
        <v>774</v>
      </c>
      <c r="B134">
        <v>0</v>
      </c>
    </row>
    <row r="135" spans="1:2" x14ac:dyDescent="0.35">
      <c r="A135" s="3" t="s">
        <v>775</v>
      </c>
      <c r="B135">
        <v>598134</v>
      </c>
    </row>
    <row r="136" spans="1:2" x14ac:dyDescent="0.35">
      <c r="A136" s="3" t="s">
        <v>802</v>
      </c>
      <c r="B136">
        <v>0</v>
      </c>
    </row>
    <row r="137" spans="1:2" x14ac:dyDescent="0.35">
      <c r="A137" s="3" t="s">
        <v>803</v>
      </c>
      <c r="B137">
        <v>2</v>
      </c>
    </row>
    <row r="138" spans="1:2" x14ac:dyDescent="0.35">
      <c r="A138" s="3" t="s">
        <v>781</v>
      </c>
      <c r="B138">
        <v>0</v>
      </c>
    </row>
    <row r="139" spans="1:2" x14ac:dyDescent="0.35">
      <c r="A139" s="3" t="s">
        <v>911</v>
      </c>
      <c r="B139">
        <v>14725</v>
      </c>
    </row>
    <row r="140" spans="1:2" x14ac:dyDescent="0.35">
      <c r="A140" s="3" t="s">
        <v>918</v>
      </c>
      <c r="B140">
        <v>0</v>
      </c>
    </row>
    <row r="141" spans="1:2" x14ac:dyDescent="0.35">
      <c r="A141" s="3" t="s">
        <v>917</v>
      </c>
      <c r="B141">
        <v>59</v>
      </c>
    </row>
    <row r="142" spans="1:2" x14ac:dyDescent="0.35">
      <c r="A142" s="3" t="s">
        <v>963</v>
      </c>
      <c r="B142">
        <v>0</v>
      </c>
    </row>
    <row r="143" spans="1:2" x14ac:dyDescent="0.35">
      <c r="A143" s="3" t="s">
        <v>808</v>
      </c>
      <c r="B143">
        <v>0</v>
      </c>
    </row>
    <row r="144" spans="1:2" x14ac:dyDescent="0.35">
      <c r="A144" s="3" t="s">
        <v>907</v>
      </c>
      <c r="B144">
        <v>282</v>
      </c>
    </row>
    <row r="145" spans="1:2" x14ac:dyDescent="0.35">
      <c r="A145" s="3" t="s">
        <v>853</v>
      </c>
      <c r="B145">
        <v>0</v>
      </c>
    </row>
    <row r="146" spans="1:2" x14ac:dyDescent="0.35">
      <c r="A146" s="3" t="s">
        <v>825</v>
      </c>
      <c r="B146">
        <v>2</v>
      </c>
    </row>
    <row r="147" spans="1:2" x14ac:dyDescent="0.35">
      <c r="A147" s="3" t="s">
        <v>854</v>
      </c>
      <c r="B147">
        <v>0</v>
      </c>
    </row>
    <row r="148" spans="1:2" x14ac:dyDescent="0.35">
      <c r="A148" s="3" t="s">
        <v>855</v>
      </c>
      <c r="B148">
        <v>0</v>
      </c>
    </row>
    <row r="149" spans="1:2" x14ac:dyDescent="0.35">
      <c r="A149" s="3" t="s">
        <v>815</v>
      </c>
      <c r="B149">
        <v>0</v>
      </c>
    </row>
    <row r="150" spans="1:2" x14ac:dyDescent="0.35">
      <c r="A150" s="3" t="s">
        <v>836</v>
      </c>
      <c r="B150">
        <v>0</v>
      </c>
    </row>
    <row r="151" spans="1:2" x14ac:dyDescent="0.35">
      <c r="A151" s="3" t="s">
        <v>818</v>
      </c>
      <c r="B151">
        <v>0</v>
      </c>
    </row>
    <row r="152" spans="1:2" x14ac:dyDescent="0.35">
      <c r="A152" s="3" t="s">
        <v>847</v>
      </c>
      <c r="B152">
        <v>0</v>
      </c>
    </row>
    <row r="153" spans="1:2" x14ac:dyDescent="0.35">
      <c r="A153" s="3" t="s">
        <v>856</v>
      </c>
      <c r="B153">
        <v>0</v>
      </c>
    </row>
    <row r="154" spans="1:2" x14ac:dyDescent="0.35">
      <c r="A154" s="3" t="s">
        <v>857</v>
      </c>
      <c r="B154">
        <v>0</v>
      </c>
    </row>
    <row r="155" spans="1:2" x14ac:dyDescent="0.35">
      <c r="A155" s="3" t="s">
        <v>858</v>
      </c>
      <c r="B155">
        <v>0</v>
      </c>
    </row>
    <row r="156" spans="1:2" x14ac:dyDescent="0.35">
      <c r="A156" s="3" t="s">
        <v>814</v>
      </c>
      <c r="B156">
        <v>141</v>
      </c>
    </row>
    <row r="157" spans="1:2" x14ac:dyDescent="0.35">
      <c r="A157" s="3" t="s">
        <v>831</v>
      </c>
      <c r="B157">
        <v>141</v>
      </c>
    </row>
    <row r="158" spans="1:2" x14ac:dyDescent="0.35">
      <c r="A158" s="3" t="s">
        <v>809</v>
      </c>
      <c r="B158">
        <v>0</v>
      </c>
    </row>
    <row r="159" spans="1:2" x14ac:dyDescent="0.35">
      <c r="A159" s="3" t="s">
        <v>859</v>
      </c>
      <c r="B159">
        <v>0</v>
      </c>
    </row>
    <row r="160" spans="1:2" x14ac:dyDescent="0.35">
      <c r="A160" s="3" t="s">
        <v>860</v>
      </c>
      <c r="B160">
        <v>0</v>
      </c>
    </row>
    <row r="161" spans="1:2" x14ac:dyDescent="0.35">
      <c r="A161" s="3" t="s">
        <v>813</v>
      </c>
      <c r="B161">
        <v>0</v>
      </c>
    </row>
    <row r="162" spans="1:2" x14ac:dyDescent="0.35">
      <c r="A162" s="3" t="s">
        <v>850</v>
      </c>
      <c r="B162">
        <v>0</v>
      </c>
    </row>
    <row r="163" spans="1:2" x14ac:dyDescent="0.35">
      <c r="A163" s="3" t="s">
        <v>828</v>
      </c>
      <c r="B163">
        <v>2</v>
      </c>
    </row>
    <row r="164" spans="1:2" x14ac:dyDescent="0.35">
      <c r="A164" s="3" t="s">
        <v>817</v>
      </c>
      <c r="B164">
        <v>2</v>
      </c>
    </row>
    <row r="165" spans="1:2" x14ac:dyDescent="0.35">
      <c r="A165" s="3" t="s">
        <v>861</v>
      </c>
      <c r="B165">
        <v>0</v>
      </c>
    </row>
    <row r="166" spans="1:2" x14ac:dyDescent="0.35">
      <c r="A166" s="3" t="s">
        <v>862</v>
      </c>
      <c r="B166">
        <v>0</v>
      </c>
    </row>
    <row r="167" spans="1:2" x14ac:dyDescent="0.35">
      <c r="A167" s="3" t="s">
        <v>863</v>
      </c>
      <c r="B167">
        <v>0</v>
      </c>
    </row>
    <row r="168" spans="1:2" x14ac:dyDescent="0.35">
      <c r="A168" s="3" t="s">
        <v>865</v>
      </c>
      <c r="B168">
        <v>0</v>
      </c>
    </row>
    <row r="169" spans="1:2" x14ac:dyDescent="0.35">
      <c r="A169" s="3" t="s">
        <v>820</v>
      </c>
      <c r="B169">
        <v>0</v>
      </c>
    </row>
    <row r="170" spans="1:2" x14ac:dyDescent="0.35">
      <c r="A170" s="3" t="s">
        <v>848</v>
      </c>
      <c r="B170">
        <v>0</v>
      </c>
    </row>
    <row r="171" spans="1:2" x14ac:dyDescent="0.35">
      <c r="A171" s="3" t="s">
        <v>864</v>
      </c>
      <c r="B171">
        <v>0</v>
      </c>
    </row>
    <row r="172" spans="1:2" x14ac:dyDescent="0.35">
      <c r="A172" s="3" t="s">
        <v>866</v>
      </c>
      <c r="B172">
        <v>0</v>
      </c>
    </row>
    <row r="173" spans="1:2" x14ac:dyDescent="0.35">
      <c r="A173" s="3" t="s">
        <v>867</v>
      </c>
      <c r="B173">
        <v>0</v>
      </c>
    </row>
    <row r="174" spans="1:2" x14ac:dyDescent="0.35">
      <c r="A174" s="3" t="s">
        <v>829</v>
      </c>
      <c r="B174">
        <v>0</v>
      </c>
    </row>
    <row r="175" spans="1:2" x14ac:dyDescent="0.35">
      <c r="A175" s="3" t="s">
        <v>849</v>
      </c>
      <c r="B175">
        <v>0</v>
      </c>
    </row>
    <row r="176" spans="1:2" x14ac:dyDescent="0.35">
      <c r="A176" s="3" t="s">
        <v>812</v>
      </c>
      <c r="B176">
        <v>0</v>
      </c>
    </row>
    <row r="177" spans="1:2" x14ac:dyDescent="0.35">
      <c r="A177" s="3" t="s">
        <v>806</v>
      </c>
      <c r="B177">
        <v>94</v>
      </c>
    </row>
    <row r="178" spans="1:2" x14ac:dyDescent="0.35">
      <c r="A178" s="3" t="s">
        <v>827</v>
      </c>
      <c r="B178">
        <v>0</v>
      </c>
    </row>
    <row r="179" spans="1:2" x14ac:dyDescent="0.35">
      <c r="A179" s="3" t="s">
        <v>822</v>
      </c>
      <c r="B179">
        <v>2</v>
      </c>
    </row>
    <row r="180" spans="1:2" x14ac:dyDescent="0.35">
      <c r="A180" s="3" t="s">
        <v>816</v>
      </c>
      <c r="B180">
        <v>2</v>
      </c>
    </row>
    <row r="181" spans="1:2" x14ac:dyDescent="0.35">
      <c r="A181" s="3" t="s">
        <v>868</v>
      </c>
      <c r="B181">
        <v>0</v>
      </c>
    </row>
    <row r="182" spans="1:2" x14ac:dyDescent="0.35">
      <c r="A182" s="3" t="s">
        <v>869</v>
      </c>
      <c r="B182">
        <v>0</v>
      </c>
    </row>
    <row r="183" spans="1:2" x14ac:dyDescent="0.35">
      <c r="A183" s="3" t="s">
        <v>870</v>
      </c>
      <c r="B183">
        <v>0</v>
      </c>
    </row>
    <row r="184" spans="1:2" x14ac:dyDescent="0.35">
      <c r="A184" s="3" t="s">
        <v>824</v>
      </c>
      <c r="B184">
        <v>0</v>
      </c>
    </row>
    <row r="185" spans="1:2" x14ac:dyDescent="0.35">
      <c r="A185" s="3" t="s">
        <v>811</v>
      </c>
      <c r="B185">
        <v>2</v>
      </c>
    </row>
    <row r="186" spans="1:2" x14ac:dyDescent="0.35">
      <c r="A186" s="3" t="s">
        <v>871</v>
      </c>
      <c r="B186">
        <v>0</v>
      </c>
    </row>
    <row r="187" spans="1:2" x14ac:dyDescent="0.35">
      <c r="A187" s="3" t="s">
        <v>872</v>
      </c>
      <c r="B187">
        <v>0</v>
      </c>
    </row>
    <row r="188" spans="1:2" x14ac:dyDescent="0.35">
      <c r="A188" s="3" t="s">
        <v>810</v>
      </c>
      <c r="B188">
        <v>4</v>
      </c>
    </row>
    <row r="189" spans="1:2" x14ac:dyDescent="0.35">
      <c r="A189" s="3" t="s">
        <v>835</v>
      </c>
      <c r="B189">
        <v>0</v>
      </c>
    </row>
    <row r="190" spans="1:2" x14ac:dyDescent="0.35">
      <c r="A190" s="3" t="s">
        <v>821</v>
      </c>
      <c r="B190">
        <v>3</v>
      </c>
    </row>
    <row r="191" spans="1:2" x14ac:dyDescent="0.35">
      <c r="A191" s="3" t="s">
        <v>873</v>
      </c>
      <c r="B191">
        <v>0</v>
      </c>
    </row>
    <row r="192" spans="1:2" x14ac:dyDescent="0.35">
      <c r="A192" s="3" t="s">
        <v>830</v>
      </c>
      <c r="B192">
        <v>2</v>
      </c>
    </row>
    <row r="193" spans="1:2" x14ac:dyDescent="0.35">
      <c r="A193" s="3" t="s">
        <v>840</v>
      </c>
      <c r="B193">
        <v>0</v>
      </c>
    </row>
    <row r="194" spans="1:2" x14ac:dyDescent="0.35">
      <c r="A194" s="3" t="s">
        <v>874</v>
      </c>
      <c r="B194">
        <v>0</v>
      </c>
    </row>
    <row r="195" spans="1:2" x14ac:dyDescent="0.35">
      <c r="A195" s="3" t="s">
        <v>875</v>
      </c>
      <c r="B195">
        <v>0</v>
      </c>
    </row>
    <row r="196" spans="1:2" x14ac:dyDescent="0.35">
      <c r="A196" s="3" t="s">
        <v>876</v>
      </c>
      <c r="B196">
        <v>0</v>
      </c>
    </row>
    <row r="197" spans="1:2" x14ac:dyDescent="0.35">
      <c r="A197" s="3" t="s">
        <v>877</v>
      </c>
      <c r="B197">
        <v>0</v>
      </c>
    </row>
    <row r="198" spans="1:2" x14ac:dyDescent="0.35">
      <c r="A198" s="3" t="s">
        <v>878</v>
      </c>
      <c r="B198">
        <v>0</v>
      </c>
    </row>
    <row r="199" spans="1:2" x14ac:dyDescent="0.35">
      <c r="A199" s="3" t="s">
        <v>880</v>
      </c>
      <c r="B199">
        <v>0</v>
      </c>
    </row>
    <row r="200" spans="1:2" x14ac:dyDescent="0.35">
      <c r="A200" s="3" t="s">
        <v>881</v>
      </c>
      <c r="B200">
        <v>0</v>
      </c>
    </row>
    <row r="201" spans="1:2" x14ac:dyDescent="0.35">
      <c r="A201" s="3" t="s">
        <v>882</v>
      </c>
      <c r="B201">
        <v>0</v>
      </c>
    </row>
    <row r="202" spans="1:2" x14ac:dyDescent="0.35">
      <c r="A202" s="3" t="s">
        <v>833</v>
      </c>
      <c r="B202">
        <v>2</v>
      </c>
    </row>
    <row r="203" spans="1:2" x14ac:dyDescent="0.35">
      <c r="A203" s="3" t="s">
        <v>834</v>
      </c>
      <c r="B203">
        <v>2</v>
      </c>
    </row>
    <row r="204" spans="1:2" x14ac:dyDescent="0.35">
      <c r="A204" s="3" t="s">
        <v>879</v>
      </c>
      <c r="B204">
        <v>0</v>
      </c>
    </row>
    <row r="205" spans="1:2" x14ac:dyDescent="0.35">
      <c r="A205" s="3" t="s">
        <v>883</v>
      </c>
      <c r="B205">
        <v>0</v>
      </c>
    </row>
    <row r="206" spans="1:2" x14ac:dyDescent="0.35">
      <c r="A206" s="3" t="s">
        <v>807</v>
      </c>
      <c r="B206">
        <v>116</v>
      </c>
    </row>
    <row r="207" spans="1:2" x14ac:dyDescent="0.35">
      <c r="A207" s="3" t="s">
        <v>804</v>
      </c>
      <c r="B207">
        <v>177</v>
      </c>
    </row>
    <row r="208" spans="1:2" x14ac:dyDescent="0.35">
      <c r="A208" s="3" t="s">
        <v>837</v>
      </c>
      <c r="B208">
        <v>1</v>
      </c>
    </row>
    <row r="209" spans="1:2" x14ac:dyDescent="0.35">
      <c r="A209" s="3" t="s">
        <v>826</v>
      </c>
      <c r="B209">
        <v>1</v>
      </c>
    </row>
    <row r="210" spans="1:2" x14ac:dyDescent="0.35">
      <c r="A210" s="3" t="s">
        <v>884</v>
      </c>
      <c r="B210">
        <v>0</v>
      </c>
    </row>
    <row r="211" spans="1:2" x14ac:dyDescent="0.35">
      <c r="A211" s="3" t="s">
        <v>885</v>
      </c>
      <c r="B211">
        <v>0</v>
      </c>
    </row>
    <row r="212" spans="1:2" x14ac:dyDescent="0.35">
      <c r="A212" s="3" t="s">
        <v>839</v>
      </c>
      <c r="B212">
        <v>0</v>
      </c>
    </row>
    <row r="213" spans="1:2" x14ac:dyDescent="0.35">
      <c r="A213" s="3" t="s">
        <v>886</v>
      </c>
      <c r="B213">
        <v>0</v>
      </c>
    </row>
    <row r="214" spans="1:2" x14ac:dyDescent="0.35">
      <c r="A214" s="3" t="s">
        <v>838</v>
      </c>
      <c r="B214">
        <v>0</v>
      </c>
    </row>
    <row r="215" spans="1:2" x14ac:dyDescent="0.35">
      <c r="A215" s="3" t="s">
        <v>887</v>
      </c>
      <c r="B215">
        <v>0</v>
      </c>
    </row>
    <row r="216" spans="1:2" x14ac:dyDescent="0.35">
      <c r="A216" s="3" t="s">
        <v>823</v>
      </c>
      <c r="B216">
        <v>0</v>
      </c>
    </row>
    <row r="217" spans="1:2" x14ac:dyDescent="0.35">
      <c r="A217" s="3" t="s">
        <v>819</v>
      </c>
      <c r="B217">
        <v>0</v>
      </c>
    </row>
    <row r="218" spans="1:2" x14ac:dyDescent="0.35">
      <c r="A218" s="3" t="s">
        <v>888</v>
      </c>
      <c r="B218">
        <v>0</v>
      </c>
    </row>
    <row r="219" spans="1:2" x14ac:dyDescent="0.35">
      <c r="A219" s="3" t="s">
        <v>843</v>
      </c>
      <c r="B219">
        <v>0</v>
      </c>
    </row>
    <row r="220" spans="1:2" x14ac:dyDescent="0.35">
      <c r="A220" s="3" t="s">
        <v>889</v>
      </c>
      <c r="B220">
        <v>0</v>
      </c>
    </row>
    <row r="221" spans="1:2" x14ac:dyDescent="0.35">
      <c r="A221" s="3" t="s">
        <v>851</v>
      </c>
      <c r="B221">
        <v>0</v>
      </c>
    </row>
    <row r="222" spans="1:2" x14ac:dyDescent="0.35">
      <c r="A222" s="3" t="s">
        <v>852</v>
      </c>
      <c r="B222">
        <v>0</v>
      </c>
    </row>
    <row r="223" spans="1:2" x14ac:dyDescent="0.35">
      <c r="A223" s="3" t="s">
        <v>890</v>
      </c>
      <c r="B223">
        <v>0</v>
      </c>
    </row>
    <row r="224" spans="1:2" x14ac:dyDescent="0.35">
      <c r="A224" s="3" t="s">
        <v>891</v>
      </c>
      <c r="B224">
        <v>0</v>
      </c>
    </row>
    <row r="225" spans="1:2" x14ac:dyDescent="0.35">
      <c r="A225" s="3" t="s">
        <v>892</v>
      </c>
      <c r="B225">
        <v>0</v>
      </c>
    </row>
    <row r="226" spans="1:2" x14ac:dyDescent="0.35">
      <c r="A226" s="3" t="s">
        <v>893</v>
      </c>
      <c r="B226">
        <v>0</v>
      </c>
    </row>
    <row r="227" spans="1:2" x14ac:dyDescent="0.35">
      <c r="A227" s="3" t="s">
        <v>894</v>
      </c>
      <c r="B227">
        <v>0</v>
      </c>
    </row>
    <row r="228" spans="1:2" x14ac:dyDescent="0.35">
      <c r="A228" s="3" t="s">
        <v>846</v>
      </c>
      <c r="B228">
        <v>0</v>
      </c>
    </row>
    <row r="229" spans="1:2" x14ac:dyDescent="0.35">
      <c r="A229" s="3" t="s">
        <v>841</v>
      </c>
      <c r="B229">
        <v>0</v>
      </c>
    </row>
    <row r="230" spans="1:2" x14ac:dyDescent="0.35">
      <c r="A230" s="3" t="s">
        <v>895</v>
      </c>
      <c r="B230">
        <v>0</v>
      </c>
    </row>
    <row r="231" spans="1:2" x14ac:dyDescent="0.35">
      <c r="A231" s="3" t="s">
        <v>832</v>
      </c>
      <c r="B231">
        <v>2</v>
      </c>
    </row>
    <row r="232" spans="1:2" x14ac:dyDescent="0.35">
      <c r="A232" s="3" t="s">
        <v>844</v>
      </c>
      <c r="B232">
        <v>0</v>
      </c>
    </row>
    <row r="233" spans="1:2" x14ac:dyDescent="0.35">
      <c r="A233" s="3" t="s">
        <v>842</v>
      </c>
      <c r="B233">
        <v>0</v>
      </c>
    </row>
    <row r="234" spans="1:2" x14ac:dyDescent="0.35">
      <c r="A234" s="3" t="s">
        <v>896</v>
      </c>
      <c r="B234">
        <v>0</v>
      </c>
    </row>
    <row r="235" spans="1:2" x14ac:dyDescent="0.35">
      <c r="A235" s="3" t="s">
        <v>899</v>
      </c>
      <c r="B235">
        <v>0</v>
      </c>
    </row>
    <row r="236" spans="1:2" x14ac:dyDescent="0.35">
      <c r="A236" s="3" t="s">
        <v>900</v>
      </c>
      <c r="B236">
        <v>0</v>
      </c>
    </row>
    <row r="237" spans="1:2" x14ac:dyDescent="0.35">
      <c r="A237" s="3" t="s">
        <v>901</v>
      </c>
      <c r="B237">
        <v>0</v>
      </c>
    </row>
    <row r="238" spans="1:2" x14ac:dyDescent="0.35">
      <c r="A238" s="3" t="s">
        <v>902</v>
      </c>
      <c r="B238">
        <v>0</v>
      </c>
    </row>
    <row r="239" spans="1:2" x14ac:dyDescent="0.35">
      <c r="A239" s="3" t="s">
        <v>897</v>
      </c>
      <c r="B239">
        <v>0</v>
      </c>
    </row>
    <row r="240" spans="1:2" x14ac:dyDescent="0.35">
      <c r="A240" s="3" t="s">
        <v>898</v>
      </c>
      <c r="B240">
        <v>0</v>
      </c>
    </row>
    <row r="241" spans="1:2" x14ac:dyDescent="0.35">
      <c r="A241" s="3" t="s">
        <v>903</v>
      </c>
      <c r="B241">
        <v>0</v>
      </c>
    </row>
    <row r="242" spans="1:2" x14ac:dyDescent="0.35">
      <c r="A242" s="3" t="s">
        <v>905</v>
      </c>
      <c r="B242">
        <v>0</v>
      </c>
    </row>
    <row r="243" spans="1:2" x14ac:dyDescent="0.35">
      <c r="A243" s="3" t="s">
        <v>904</v>
      </c>
      <c r="B243">
        <v>0</v>
      </c>
    </row>
    <row r="244" spans="1:2" x14ac:dyDescent="0.35">
      <c r="A244" s="3" t="s">
        <v>845</v>
      </c>
      <c r="B244">
        <v>0</v>
      </c>
    </row>
    <row r="245" spans="1:2" x14ac:dyDescent="0.35">
      <c r="A245" s="3" t="s">
        <v>906</v>
      </c>
      <c r="B245">
        <v>0</v>
      </c>
    </row>
    <row r="246" spans="1:2" x14ac:dyDescent="0.35">
      <c r="A246" s="3" t="s">
        <v>914</v>
      </c>
      <c r="B246">
        <v>0</v>
      </c>
    </row>
    <row r="247" spans="1:2" x14ac:dyDescent="0.35">
      <c r="A247" s="3" t="s">
        <v>1088</v>
      </c>
      <c r="B247">
        <v>0</v>
      </c>
    </row>
    <row r="248" spans="1:2" x14ac:dyDescent="0.35">
      <c r="A248" s="3" t="s">
        <v>1093</v>
      </c>
      <c r="B248">
        <v>4129</v>
      </c>
    </row>
    <row r="249" spans="1:2" x14ac:dyDescent="0.35">
      <c r="A249" s="3" t="s">
        <v>1086</v>
      </c>
      <c r="B249">
        <v>0</v>
      </c>
    </row>
    <row r="250" spans="1:2" x14ac:dyDescent="0.35">
      <c r="A250" s="3" t="s">
        <v>1121</v>
      </c>
      <c r="B250">
        <v>0</v>
      </c>
    </row>
    <row r="251" spans="1:2" x14ac:dyDescent="0.35">
      <c r="A251" s="3" t="s">
        <v>1146</v>
      </c>
      <c r="B251">
        <v>639</v>
      </c>
    </row>
    <row r="252" spans="1:2" x14ac:dyDescent="0.35">
      <c r="A252" s="3" t="s">
        <v>1142</v>
      </c>
      <c r="B252">
        <v>0</v>
      </c>
    </row>
    <row r="253" spans="1:2" x14ac:dyDescent="0.35">
      <c r="A253" s="3" t="s">
        <v>1148</v>
      </c>
      <c r="B253">
        <v>640</v>
      </c>
    </row>
    <row r="254" spans="1:2" x14ac:dyDescent="0.35">
      <c r="A254" s="3" t="s">
        <v>1152</v>
      </c>
      <c r="B254">
        <v>0</v>
      </c>
    </row>
    <row r="255" spans="1:2" x14ac:dyDescent="0.35">
      <c r="A255" s="3" t="s">
        <v>1147</v>
      </c>
      <c r="B255">
        <v>639</v>
      </c>
    </row>
    <row r="256" spans="1:2" x14ac:dyDescent="0.35">
      <c r="A256" s="3" t="s">
        <v>1140</v>
      </c>
      <c r="B256">
        <v>0</v>
      </c>
    </row>
    <row r="257" spans="1:2" x14ac:dyDescent="0.35">
      <c r="A257" s="3" t="s">
        <v>1138</v>
      </c>
      <c r="B257">
        <v>0</v>
      </c>
    </row>
    <row r="258" spans="1:2" x14ac:dyDescent="0.35">
      <c r="A258" s="3" t="s">
        <v>1139</v>
      </c>
      <c r="B258">
        <v>0</v>
      </c>
    </row>
    <row r="259" spans="1:2" x14ac:dyDescent="0.35">
      <c r="A259" s="3" t="s">
        <v>1149</v>
      </c>
      <c r="B259">
        <v>0</v>
      </c>
    </row>
    <row r="260" spans="1:2" x14ac:dyDescent="0.35">
      <c r="A260" s="3" t="s">
        <v>1145</v>
      </c>
      <c r="B260">
        <v>640</v>
      </c>
    </row>
    <row r="261" spans="1:2" x14ac:dyDescent="0.35">
      <c r="A261" s="3" t="s">
        <v>1150</v>
      </c>
      <c r="B261">
        <v>1</v>
      </c>
    </row>
    <row r="262" spans="1:2" x14ac:dyDescent="0.35">
      <c r="A262" s="3" t="s">
        <v>1144</v>
      </c>
      <c r="B262">
        <v>639</v>
      </c>
    </row>
    <row r="263" spans="1:2" x14ac:dyDescent="0.35">
      <c r="A263" s="3" t="s">
        <v>1141</v>
      </c>
      <c r="B263">
        <v>640</v>
      </c>
    </row>
    <row r="264" spans="1:2" x14ac:dyDescent="0.35">
      <c r="A264" s="3" t="s">
        <v>1143</v>
      </c>
      <c r="B264">
        <v>639</v>
      </c>
    </row>
    <row r="265" spans="1:2" x14ac:dyDescent="0.35">
      <c r="A265" s="3" t="s">
        <v>1151</v>
      </c>
      <c r="B265">
        <v>0</v>
      </c>
    </row>
    <row r="266" spans="1:2" x14ac:dyDescent="0.35">
      <c r="A266" s="3" t="s">
        <v>1122</v>
      </c>
      <c r="B266">
        <v>0</v>
      </c>
    </row>
    <row r="267" spans="1:2" x14ac:dyDescent="0.35">
      <c r="A267" s="3" t="s">
        <v>1111</v>
      </c>
      <c r="B267">
        <v>0</v>
      </c>
    </row>
    <row r="268" spans="1:2" x14ac:dyDescent="0.35">
      <c r="A268" s="3" t="s">
        <v>912</v>
      </c>
      <c r="B268">
        <v>0</v>
      </c>
    </row>
    <row r="269" spans="1:2" x14ac:dyDescent="0.35">
      <c r="A269" s="3" t="s">
        <v>913</v>
      </c>
      <c r="B269">
        <v>0</v>
      </c>
    </row>
    <row r="270" spans="1:2" x14ac:dyDescent="0.35">
      <c r="A270" s="3" t="s">
        <v>649</v>
      </c>
      <c r="B270">
        <v>0</v>
      </c>
    </row>
    <row r="271" spans="1:2" x14ac:dyDescent="0.35">
      <c r="A271" s="3" t="s">
        <v>666</v>
      </c>
      <c r="B271">
        <v>42</v>
      </c>
    </row>
    <row r="272" spans="1:2" x14ac:dyDescent="0.35">
      <c r="A272" s="3" t="s">
        <v>943</v>
      </c>
      <c r="B272">
        <v>0</v>
      </c>
    </row>
    <row r="273" spans="1:2" x14ac:dyDescent="0.35">
      <c r="A273" s="3" t="s">
        <v>797</v>
      </c>
      <c r="B273">
        <v>0</v>
      </c>
    </row>
    <row r="274" spans="1:2" x14ac:dyDescent="0.35">
      <c r="A274" s="3" t="s">
        <v>1112</v>
      </c>
      <c r="B274">
        <v>0</v>
      </c>
    </row>
    <row r="275" spans="1:2" x14ac:dyDescent="0.35">
      <c r="A275" s="3" t="s">
        <v>1113</v>
      </c>
      <c r="B275">
        <v>0</v>
      </c>
    </row>
    <row r="276" spans="1:2" x14ac:dyDescent="0.35">
      <c r="A276" s="3" t="s">
        <v>950</v>
      </c>
      <c r="B276">
        <v>0</v>
      </c>
    </row>
    <row r="277" spans="1:2" x14ac:dyDescent="0.35">
      <c r="A277" s="3" t="s">
        <v>951</v>
      </c>
      <c r="B277">
        <v>0</v>
      </c>
    </row>
    <row r="278" spans="1:2" x14ac:dyDescent="0.35">
      <c r="A278" s="3" t="s">
        <v>949</v>
      </c>
      <c r="B278">
        <v>0</v>
      </c>
    </row>
    <row r="279" spans="1:2" x14ac:dyDescent="0.35">
      <c r="A279" s="3" t="s">
        <v>952</v>
      </c>
      <c r="B279">
        <v>0</v>
      </c>
    </row>
    <row r="280" spans="1:2" x14ac:dyDescent="0.35">
      <c r="A280" s="3" t="s">
        <v>953</v>
      </c>
      <c r="B280">
        <v>0</v>
      </c>
    </row>
    <row r="281" spans="1:2" x14ac:dyDescent="0.35">
      <c r="A281" s="3" t="s">
        <v>954</v>
      </c>
      <c r="B281">
        <v>0</v>
      </c>
    </row>
    <row r="282" spans="1:2" x14ac:dyDescent="0.35">
      <c r="A282" s="3" t="s">
        <v>956</v>
      </c>
      <c r="B282">
        <v>0</v>
      </c>
    </row>
    <row r="283" spans="1:2" x14ac:dyDescent="0.35">
      <c r="A283" s="3" t="s">
        <v>957</v>
      </c>
      <c r="B283">
        <v>0</v>
      </c>
    </row>
    <row r="284" spans="1:2" x14ac:dyDescent="0.35">
      <c r="A284" s="3" t="s">
        <v>955</v>
      </c>
      <c r="B284">
        <v>0</v>
      </c>
    </row>
    <row r="285" spans="1:2" x14ac:dyDescent="0.35">
      <c r="A285" s="3" t="s">
        <v>939</v>
      </c>
      <c r="B285">
        <v>0</v>
      </c>
    </row>
    <row r="286" spans="1:2" x14ac:dyDescent="0.35">
      <c r="A286" s="3" t="s">
        <v>923</v>
      </c>
      <c r="B286">
        <v>0</v>
      </c>
    </row>
    <row r="287" spans="1:2" x14ac:dyDescent="0.35">
      <c r="A287" s="3" t="s">
        <v>924</v>
      </c>
      <c r="B287">
        <v>0</v>
      </c>
    </row>
    <row r="288" spans="1:2" x14ac:dyDescent="0.35">
      <c r="A288" s="3" t="s">
        <v>925</v>
      </c>
      <c r="B288">
        <v>0</v>
      </c>
    </row>
    <row r="289" spans="1:2" x14ac:dyDescent="0.35">
      <c r="A289" s="3" t="s">
        <v>926</v>
      </c>
      <c r="B289">
        <v>0</v>
      </c>
    </row>
    <row r="290" spans="1:2" x14ac:dyDescent="0.35">
      <c r="A290" s="3" t="s">
        <v>927</v>
      </c>
      <c r="B290">
        <v>0</v>
      </c>
    </row>
    <row r="291" spans="1:2" x14ac:dyDescent="0.35">
      <c r="A291" s="3" t="s">
        <v>928</v>
      </c>
      <c r="B291">
        <v>0</v>
      </c>
    </row>
    <row r="292" spans="1:2" x14ac:dyDescent="0.35">
      <c r="A292" s="3" t="s">
        <v>940</v>
      </c>
      <c r="B292">
        <v>0</v>
      </c>
    </row>
    <row r="293" spans="1:2" x14ac:dyDescent="0.35">
      <c r="A293" s="3" t="s">
        <v>944</v>
      </c>
      <c r="B293">
        <v>0</v>
      </c>
    </row>
    <row r="294" spans="1:2" x14ac:dyDescent="0.35">
      <c r="A294" s="3" t="s">
        <v>945</v>
      </c>
      <c r="B294">
        <v>0</v>
      </c>
    </row>
    <row r="295" spans="1:2" x14ac:dyDescent="0.35">
      <c r="A295" s="3" t="s">
        <v>946</v>
      </c>
      <c r="B295">
        <v>0</v>
      </c>
    </row>
    <row r="296" spans="1:2" x14ac:dyDescent="0.35">
      <c r="A296" s="3" t="s">
        <v>947</v>
      </c>
      <c r="B296">
        <v>0</v>
      </c>
    </row>
    <row r="297" spans="1:2" x14ac:dyDescent="0.35">
      <c r="A297" s="3" t="s">
        <v>941</v>
      </c>
      <c r="B297">
        <v>0</v>
      </c>
    </row>
    <row r="298" spans="1:2" x14ac:dyDescent="0.35">
      <c r="A298" s="3" t="s">
        <v>929</v>
      </c>
      <c r="B298">
        <v>0</v>
      </c>
    </row>
    <row r="299" spans="1:2" x14ac:dyDescent="0.35">
      <c r="A299" s="3" t="s">
        <v>930</v>
      </c>
      <c r="B299">
        <v>0</v>
      </c>
    </row>
    <row r="300" spans="1:2" x14ac:dyDescent="0.35">
      <c r="A300" s="3" t="s">
        <v>942</v>
      </c>
      <c r="B300">
        <v>0</v>
      </c>
    </row>
    <row r="301" spans="1:2" x14ac:dyDescent="0.35">
      <c r="A301" s="3" t="s">
        <v>931</v>
      </c>
      <c r="B301">
        <v>0</v>
      </c>
    </row>
    <row r="302" spans="1:2" x14ac:dyDescent="0.35">
      <c r="A302" s="3" t="s">
        <v>932</v>
      </c>
      <c r="B302">
        <v>0</v>
      </c>
    </row>
    <row r="303" spans="1:2" x14ac:dyDescent="0.35">
      <c r="A303" s="3" t="s">
        <v>933</v>
      </c>
      <c r="B303">
        <v>0</v>
      </c>
    </row>
    <row r="304" spans="1:2" x14ac:dyDescent="0.35">
      <c r="A304" s="3" t="s">
        <v>934</v>
      </c>
      <c r="B304">
        <v>0</v>
      </c>
    </row>
    <row r="305" spans="1:2" x14ac:dyDescent="0.35">
      <c r="A305" s="3" t="s">
        <v>935</v>
      </c>
      <c r="B305">
        <v>0</v>
      </c>
    </row>
    <row r="306" spans="1:2" x14ac:dyDescent="0.35">
      <c r="A306" s="3" t="s">
        <v>936</v>
      </c>
      <c r="B306">
        <v>0</v>
      </c>
    </row>
    <row r="307" spans="1:2" x14ac:dyDescent="0.35">
      <c r="A307" s="3" t="s">
        <v>937</v>
      </c>
      <c r="B307">
        <v>0</v>
      </c>
    </row>
    <row r="308" spans="1:2" x14ac:dyDescent="0.35">
      <c r="A308" s="3" t="s">
        <v>938</v>
      </c>
      <c r="B308">
        <v>0</v>
      </c>
    </row>
    <row r="309" spans="1:2" x14ac:dyDescent="0.35">
      <c r="A309" s="3" t="s">
        <v>948</v>
      </c>
      <c r="B309">
        <v>0</v>
      </c>
    </row>
    <row r="310" spans="1:2" x14ac:dyDescent="0.35">
      <c r="A310" s="3" t="s">
        <v>981</v>
      </c>
      <c r="B310">
        <v>0</v>
      </c>
    </row>
    <row r="311" spans="1:2" x14ac:dyDescent="0.35">
      <c r="A311" s="3" t="s">
        <v>1099</v>
      </c>
      <c r="B311">
        <v>0</v>
      </c>
    </row>
    <row r="312" spans="1:2" x14ac:dyDescent="0.35">
      <c r="A312" s="3" t="s">
        <v>1097</v>
      </c>
      <c r="B312">
        <v>0</v>
      </c>
    </row>
    <row r="313" spans="1:2" x14ac:dyDescent="0.35">
      <c r="A313" s="3" t="s">
        <v>1100</v>
      </c>
      <c r="B313">
        <v>0</v>
      </c>
    </row>
    <row r="314" spans="1:2" x14ac:dyDescent="0.35">
      <c r="A314" s="3" t="s">
        <v>1104</v>
      </c>
      <c r="B314">
        <v>0</v>
      </c>
    </row>
    <row r="315" spans="1:2" x14ac:dyDescent="0.35">
      <c r="A315" s="3" t="s">
        <v>1102</v>
      </c>
      <c r="B315">
        <v>0</v>
      </c>
    </row>
    <row r="316" spans="1:2" x14ac:dyDescent="0.35">
      <c r="A316" s="3" t="s">
        <v>1095</v>
      </c>
      <c r="B316">
        <v>0</v>
      </c>
    </row>
    <row r="317" spans="1:2" x14ac:dyDescent="0.35">
      <c r="A317" s="3" t="s">
        <v>1103</v>
      </c>
      <c r="B317">
        <v>0</v>
      </c>
    </row>
    <row r="318" spans="1:2" x14ac:dyDescent="0.35">
      <c r="A318" s="3" t="s">
        <v>1098</v>
      </c>
      <c r="B318">
        <v>0</v>
      </c>
    </row>
    <row r="319" spans="1:2" x14ac:dyDescent="0.35">
      <c r="A319" s="3" t="s">
        <v>1096</v>
      </c>
      <c r="B319">
        <v>0</v>
      </c>
    </row>
    <row r="320" spans="1:2" x14ac:dyDescent="0.35">
      <c r="A320" s="3" t="s">
        <v>1105</v>
      </c>
      <c r="B320">
        <v>0</v>
      </c>
    </row>
    <row r="321" spans="1:2" x14ac:dyDescent="0.35">
      <c r="A321" s="3" t="s">
        <v>1106</v>
      </c>
      <c r="B321">
        <v>0</v>
      </c>
    </row>
    <row r="322" spans="1:2" x14ac:dyDescent="0.35">
      <c r="A322" s="3" t="s">
        <v>1094</v>
      </c>
      <c r="B322">
        <v>0</v>
      </c>
    </row>
    <row r="323" spans="1:2" x14ac:dyDescent="0.35">
      <c r="A323" s="3" t="s">
        <v>1101</v>
      </c>
      <c r="B323">
        <v>0</v>
      </c>
    </row>
    <row r="324" spans="1:2" x14ac:dyDescent="0.35">
      <c r="A324" s="3" t="s">
        <v>1064</v>
      </c>
      <c r="B324">
        <v>0</v>
      </c>
    </row>
    <row r="325" spans="1:2" x14ac:dyDescent="0.35">
      <c r="A325" s="3" t="s">
        <v>1022</v>
      </c>
      <c r="B325">
        <v>0</v>
      </c>
    </row>
    <row r="326" spans="1:2" x14ac:dyDescent="0.35">
      <c r="A326" s="3" t="s">
        <v>801</v>
      </c>
      <c r="B326">
        <v>0</v>
      </c>
    </row>
    <row r="327" spans="1:2" x14ac:dyDescent="0.35">
      <c r="A327" s="3" t="s">
        <v>799</v>
      </c>
      <c r="B327">
        <v>0</v>
      </c>
    </row>
    <row r="328" spans="1:2" x14ac:dyDescent="0.35">
      <c r="A328" s="3" t="s">
        <v>798</v>
      </c>
      <c r="B328">
        <v>0</v>
      </c>
    </row>
    <row r="329" spans="1:2" x14ac:dyDescent="0.35">
      <c r="A329" s="3" t="s">
        <v>1126</v>
      </c>
      <c r="B329">
        <v>0</v>
      </c>
    </row>
    <row r="330" spans="1:2" x14ac:dyDescent="0.35">
      <c r="A330" s="3" t="s">
        <v>1127</v>
      </c>
      <c r="B330">
        <v>0</v>
      </c>
    </row>
    <row r="331" spans="1:2" x14ac:dyDescent="0.35">
      <c r="A331" s="3" t="s">
        <v>1128</v>
      </c>
      <c r="B331">
        <v>0</v>
      </c>
    </row>
    <row r="332" spans="1:2" x14ac:dyDescent="0.35">
      <c r="A332" s="3" t="s">
        <v>1130</v>
      </c>
      <c r="B332">
        <v>0</v>
      </c>
    </row>
    <row r="333" spans="1:2" x14ac:dyDescent="0.35">
      <c r="A333" s="3" t="s">
        <v>1114</v>
      </c>
      <c r="B333">
        <v>0</v>
      </c>
    </row>
    <row r="334" spans="1:2" x14ac:dyDescent="0.35">
      <c r="A334" s="3" t="s">
        <v>1115</v>
      </c>
      <c r="B334">
        <v>0</v>
      </c>
    </row>
    <row r="335" spans="1:2" x14ac:dyDescent="0.35">
      <c r="A335" s="3" t="s">
        <v>982</v>
      </c>
      <c r="B335">
        <v>87300</v>
      </c>
    </row>
    <row r="336" spans="1:2" x14ac:dyDescent="0.35">
      <c r="A336" s="3" t="s">
        <v>978</v>
      </c>
      <c r="B336">
        <v>89288</v>
      </c>
    </row>
    <row r="337" spans="1:2" x14ac:dyDescent="0.35">
      <c r="A337" s="3" t="s">
        <v>980</v>
      </c>
      <c r="B337">
        <v>0</v>
      </c>
    </row>
    <row r="338" spans="1:2" x14ac:dyDescent="0.35">
      <c r="A338" s="3" t="s">
        <v>977</v>
      </c>
      <c r="B338">
        <v>13174395</v>
      </c>
    </row>
    <row r="339" spans="1:2" x14ac:dyDescent="0.35">
      <c r="A339" s="3" t="s">
        <v>979</v>
      </c>
      <c r="B339">
        <v>0</v>
      </c>
    </row>
    <row r="340" spans="1:2" x14ac:dyDescent="0.35">
      <c r="A340" s="3" t="s">
        <v>983</v>
      </c>
      <c r="B340">
        <v>3889350</v>
      </c>
    </row>
    <row r="341" spans="1:2" x14ac:dyDescent="0.35">
      <c r="A341" s="3" t="s">
        <v>695</v>
      </c>
      <c r="B341">
        <v>0</v>
      </c>
    </row>
    <row r="342" spans="1:2" x14ac:dyDescent="0.35">
      <c r="A342" s="3" t="s">
        <v>1124</v>
      </c>
      <c r="B342">
        <v>0</v>
      </c>
    </row>
    <row r="343" spans="1:2" x14ac:dyDescent="0.35">
      <c r="A343" s="3" t="s">
        <v>657</v>
      </c>
      <c r="B343">
        <v>892</v>
      </c>
    </row>
    <row r="344" spans="1:2" x14ac:dyDescent="0.35">
      <c r="A344" s="3" t="s">
        <v>653</v>
      </c>
      <c r="B344">
        <v>402580</v>
      </c>
    </row>
    <row r="345" spans="1:2" x14ac:dyDescent="0.35">
      <c r="A345" s="3" t="s">
        <v>986</v>
      </c>
      <c r="B345">
        <v>27173</v>
      </c>
    </row>
    <row r="346" spans="1:2" x14ac:dyDescent="0.35">
      <c r="A346" s="3" t="s">
        <v>988</v>
      </c>
      <c r="B346">
        <v>27173</v>
      </c>
    </row>
    <row r="347" spans="1:2" x14ac:dyDescent="0.35">
      <c r="A347" s="3" t="s">
        <v>992</v>
      </c>
      <c r="B347">
        <v>9771</v>
      </c>
    </row>
    <row r="348" spans="1:2" x14ac:dyDescent="0.35">
      <c r="A348" s="3" t="s">
        <v>1008</v>
      </c>
      <c r="B348">
        <v>8919</v>
      </c>
    </row>
    <row r="349" spans="1:2" x14ac:dyDescent="0.35">
      <c r="A349" s="3" t="s">
        <v>1073</v>
      </c>
      <c r="B349">
        <v>100</v>
      </c>
    </row>
    <row r="350" spans="1:2" x14ac:dyDescent="0.35">
      <c r="A350" s="3" t="s">
        <v>1023</v>
      </c>
      <c r="B350">
        <v>0</v>
      </c>
    </row>
    <row r="351" spans="1:2" x14ac:dyDescent="0.35">
      <c r="A351" s="3" t="s">
        <v>1024</v>
      </c>
      <c r="B351">
        <v>0</v>
      </c>
    </row>
    <row r="352" spans="1:2" x14ac:dyDescent="0.35">
      <c r="A352" s="3" t="s">
        <v>1025</v>
      </c>
      <c r="B352">
        <v>0</v>
      </c>
    </row>
    <row r="353" spans="1:2" x14ac:dyDescent="0.35">
      <c r="A353" s="3" t="s">
        <v>1026</v>
      </c>
      <c r="B353">
        <v>0</v>
      </c>
    </row>
    <row r="354" spans="1:2" x14ac:dyDescent="0.35">
      <c r="A354" s="3" t="s">
        <v>1027</v>
      </c>
      <c r="B354">
        <v>0</v>
      </c>
    </row>
    <row r="355" spans="1:2" x14ac:dyDescent="0.35">
      <c r="A355" s="3" t="s">
        <v>1028</v>
      </c>
      <c r="B355">
        <v>0</v>
      </c>
    </row>
    <row r="356" spans="1:2" x14ac:dyDescent="0.35">
      <c r="A356" s="3" t="s">
        <v>1030</v>
      </c>
      <c r="B356">
        <v>0</v>
      </c>
    </row>
    <row r="357" spans="1:2" x14ac:dyDescent="0.35">
      <c r="A357" s="3" t="s">
        <v>1029</v>
      </c>
      <c r="B357">
        <v>0</v>
      </c>
    </row>
    <row r="358" spans="1:2" x14ac:dyDescent="0.35">
      <c r="A358" s="3" t="s">
        <v>1031</v>
      </c>
      <c r="B358">
        <v>0</v>
      </c>
    </row>
    <row r="359" spans="1:2" x14ac:dyDescent="0.35">
      <c r="A359" s="3" t="s">
        <v>1032</v>
      </c>
      <c r="B359">
        <v>0</v>
      </c>
    </row>
    <row r="360" spans="1:2" x14ac:dyDescent="0.35">
      <c r="A360" s="3" t="s">
        <v>1033</v>
      </c>
      <c r="B360">
        <v>0</v>
      </c>
    </row>
    <row r="361" spans="1:2" x14ac:dyDescent="0.35">
      <c r="A361" s="3" t="s">
        <v>1035</v>
      </c>
      <c r="B361">
        <v>0</v>
      </c>
    </row>
    <row r="362" spans="1:2" x14ac:dyDescent="0.35">
      <c r="A362" s="3" t="s">
        <v>1034</v>
      </c>
      <c r="B362">
        <v>0</v>
      </c>
    </row>
    <row r="363" spans="1:2" x14ac:dyDescent="0.35">
      <c r="A363" s="3" t="s">
        <v>1009</v>
      </c>
      <c r="B363">
        <v>0</v>
      </c>
    </row>
    <row r="364" spans="1:2" x14ac:dyDescent="0.35">
      <c r="A364" s="3" t="s">
        <v>1036</v>
      </c>
      <c r="B364">
        <v>0</v>
      </c>
    </row>
    <row r="365" spans="1:2" x14ac:dyDescent="0.35">
      <c r="A365" s="3" t="s">
        <v>1065</v>
      </c>
      <c r="B365">
        <v>0</v>
      </c>
    </row>
    <row r="366" spans="1:2" x14ac:dyDescent="0.35">
      <c r="A366" s="3" t="s">
        <v>1037</v>
      </c>
      <c r="B366">
        <v>0</v>
      </c>
    </row>
    <row r="367" spans="1:2" x14ac:dyDescent="0.35">
      <c r="A367" s="3" t="s">
        <v>1038</v>
      </c>
      <c r="B367">
        <v>0</v>
      </c>
    </row>
    <row r="368" spans="1:2" x14ac:dyDescent="0.35">
      <c r="A368" s="3" t="s">
        <v>996</v>
      </c>
      <c r="B368">
        <v>240</v>
      </c>
    </row>
    <row r="369" spans="1:2" x14ac:dyDescent="0.35">
      <c r="A369" s="3" t="s">
        <v>1015</v>
      </c>
      <c r="B369">
        <v>336</v>
      </c>
    </row>
    <row r="370" spans="1:2" x14ac:dyDescent="0.35">
      <c r="A370" s="3" t="s">
        <v>1039</v>
      </c>
      <c r="B370">
        <v>0</v>
      </c>
    </row>
    <row r="371" spans="1:2" x14ac:dyDescent="0.35">
      <c r="A371" s="3" t="s">
        <v>1004</v>
      </c>
      <c r="B371">
        <v>68663</v>
      </c>
    </row>
    <row r="372" spans="1:2" x14ac:dyDescent="0.35">
      <c r="A372" s="3" t="s">
        <v>987</v>
      </c>
      <c r="B372">
        <v>36262</v>
      </c>
    </row>
    <row r="373" spans="1:2" x14ac:dyDescent="0.35">
      <c r="A373" s="3" t="s">
        <v>1074</v>
      </c>
      <c r="B373">
        <v>0</v>
      </c>
    </row>
    <row r="374" spans="1:2" x14ac:dyDescent="0.35">
      <c r="A374" s="3" t="s">
        <v>1072</v>
      </c>
      <c r="B374">
        <v>0</v>
      </c>
    </row>
    <row r="375" spans="1:2" x14ac:dyDescent="0.35">
      <c r="A375" s="3" t="s">
        <v>1067</v>
      </c>
      <c r="B375">
        <v>0</v>
      </c>
    </row>
    <row r="376" spans="1:2" x14ac:dyDescent="0.35">
      <c r="A376" s="3" t="s">
        <v>1019</v>
      </c>
      <c r="B376">
        <v>1</v>
      </c>
    </row>
    <row r="377" spans="1:2" x14ac:dyDescent="0.35">
      <c r="A377" s="3" t="s">
        <v>1040</v>
      </c>
      <c r="B377">
        <v>0</v>
      </c>
    </row>
    <row r="378" spans="1:2" x14ac:dyDescent="0.35">
      <c r="A378" s="3" t="s">
        <v>1041</v>
      </c>
      <c r="B378">
        <v>0</v>
      </c>
    </row>
    <row r="379" spans="1:2" x14ac:dyDescent="0.35">
      <c r="A379" s="3" t="s">
        <v>997</v>
      </c>
      <c r="B379">
        <v>0</v>
      </c>
    </row>
    <row r="380" spans="1:2" x14ac:dyDescent="0.35">
      <c r="A380" s="3" t="s">
        <v>1001</v>
      </c>
      <c r="B380">
        <v>0</v>
      </c>
    </row>
    <row r="381" spans="1:2" x14ac:dyDescent="0.35">
      <c r="A381" s="3" t="s">
        <v>1000</v>
      </c>
      <c r="B381">
        <v>5125</v>
      </c>
    </row>
    <row r="382" spans="1:2" x14ac:dyDescent="0.35">
      <c r="A382" s="3" t="s">
        <v>984</v>
      </c>
      <c r="B382">
        <v>6759</v>
      </c>
    </row>
    <row r="383" spans="1:2" x14ac:dyDescent="0.35">
      <c r="A383" s="3" t="s">
        <v>998</v>
      </c>
      <c r="B383">
        <v>8906</v>
      </c>
    </row>
    <row r="384" spans="1:2" x14ac:dyDescent="0.35">
      <c r="A384" s="3" t="s">
        <v>991</v>
      </c>
      <c r="B384">
        <v>62433</v>
      </c>
    </row>
    <row r="385" spans="1:2" x14ac:dyDescent="0.35">
      <c r="A385" s="3" t="s">
        <v>1042</v>
      </c>
      <c r="B385">
        <v>0</v>
      </c>
    </row>
    <row r="386" spans="1:2" x14ac:dyDescent="0.35">
      <c r="A386" s="3" t="s">
        <v>1070</v>
      </c>
      <c r="B386">
        <v>0</v>
      </c>
    </row>
    <row r="387" spans="1:2" x14ac:dyDescent="0.35">
      <c r="A387" s="3" t="s">
        <v>1071</v>
      </c>
      <c r="B387">
        <v>0</v>
      </c>
    </row>
    <row r="388" spans="1:2" x14ac:dyDescent="0.35">
      <c r="A388" s="3" t="s">
        <v>1068</v>
      </c>
      <c r="B388">
        <v>0</v>
      </c>
    </row>
    <row r="389" spans="1:2" x14ac:dyDescent="0.35">
      <c r="A389" s="3" t="s">
        <v>1043</v>
      </c>
      <c r="B389">
        <v>0</v>
      </c>
    </row>
    <row r="390" spans="1:2" x14ac:dyDescent="0.35">
      <c r="A390" s="3" t="s">
        <v>1069</v>
      </c>
      <c r="B390">
        <v>0</v>
      </c>
    </row>
    <row r="391" spans="1:2" x14ac:dyDescent="0.35">
      <c r="A391" s="3" t="s">
        <v>1066</v>
      </c>
      <c r="B391">
        <v>0</v>
      </c>
    </row>
    <row r="392" spans="1:2" x14ac:dyDescent="0.35">
      <c r="A392" s="3" t="s">
        <v>1119</v>
      </c>
      <c r="B392">
        <v>0</v>
      </c>
    </row>
    <row r="393" spans="1:2" x14ac:dyDescent="0.35">
      <c r="A393" s="3" t="s">
        <v>1116</v>
      </c>
      <c r="B393">
        <v>0</v>
      </c>
    </row>
    <row r="394" spans="1:2" x14ac:dyDescent="0.35">
      <c r="A394" s="3" t="s">
        <v>1117</v>
      </c>
      <c r="B394">
        <v>0</v>
      </c>
    </row>
    <row r="395" spans="1:2" x14ac:dyDescent="0.35">
      <c r="A395" s="3" t="s">
        <v>1118</v>
      </c>
      <c r="B395">
        <v>0</v>
      </c>
    </row>
    <row r="396" spans="1:2" x14ac:dyDescent="0.35">
      <c r="A396" s="3" t="s">
        <v>1075</v>
      </c>
      <c r="B396">
        <v>0</v>
      </c>
    </row>
    <row r="397" spans="1:2" x14ac:dyDescent="0.35">
      <c r="A397" s="3" t="s">
        <v>1076</v>
      </c>
      <c r="B397">
        <v>0</v>
      </c>
    </row>
    <row r="398" spans="1:2" x14ac:dyDescent="0.35">
      <c r="A398" s="3" t="s">
        <v>1077</v>
      </c>
      <c r="B398">
        <v>0</v>
      </c>
    </row>
    <row r="399" spans="1:2" x14ac:dyDescent="0.35">
      <c r="A399" s="3" t="s">
        <v>1078</v>
      </c>
      <c r="B399">
        <v>0</v>
      </c>
    </row>
    <row r="400" spans="1:2" x14ac:dyDescent="0.35">
      <c r="A400" s="3" t="s">
        <v>1079</v>
      </c>
      <c r="B400">
        <v>0</v>
      </c>
    </row>
    <row r="401" spans="1:2" x14ac:dyDescent="0.35">
      <c r="A401" s="3" t="s">
        <v>1080</v>
      </c>
      <c r="B401">
        <v>0</v>
      </c>
    </row>
    <row r="402" spans="1:2" x14ac:dyDescent="0.35">
      <c r="A402" s="3" t="s">
        <v>1044</v>
      </c>
      <c r="B402">
        <v>0</v>
      </c>
    </row>
    <row r="403" spans="1:2" x14ac:dyDescent="0.35">
      <c r="A403" s="3" t="s">
        <v>1045</v>
      </c>
      <c r="B403">
        <v>0</v>
      </c>
    </row>
    <row r="404" spans="1:2" x14ac:dyDescent="0.35">
      <c r="A404" s="3" t="s">
        <v>1051</v>
      </c>
      <c r="B404">
        <v>0</v>
      </c>
    </row>
    <row r="405" spans="1:2" x14ac:dyDescent="0.35">
      <c r="A405" s="3" t="s">
        <v>1046</v>
      </c>
      <c r="B405">
        <v>0</v>
      </c>
    </row>
    <row r="406" spans="1:2" x14ac:dyDescent="0.35">
      <c r="A406" s="3" t="s">
        <v>1047</v>
      </c>
      <c r="B406">
        <v>0</v>
      </c>
    </row>
    <row r="407" spans="1:2" x14ac:dyDescent="0.35">
      <c r="A407" s="3" t="s">
        <v>1048</v>
      </c>
      <c r="B407">
        <v>0</v>
      </c>
    </row>
    <row r="408" spans="1:2" x14ac:dyDescent="0.35">
      <c r="A408" s="3" t="s">
        <v>1049</v>
      </c>
      <c r="B408">
        <v>0</v>
      </c>
    </row>
    <row r="409" spans="1:2" x14ac:dyDescent="0.35">
      <c r="A409" s="3" t="s">
        <v>1050</v>
      </c>
      <c r="B409">
        <v>0</v>
      </c>
    </row>
    <row r="410" spans="1:2" x14ac:dyDescent="0.35">
      <c r="A410" s="3" t="s">
        <v>958</v>
      </c>
      <c r="B410">
        <v>0</v>
      </c>
    </row>
    <row r="411" spans="1:2" x14ac:dyDescent="0.35">
      <c r="A411" s="3" t="s">
        <v>960</v>
      </c>
      <c r="B411">
        <v>0</v>
      </c>
    </row>
    <row r="412" spans="1:2" x14ac:dyDescent="0.35">
      <c r="A412" s="3" t="s">
        <v>959</v>
      </c>
      <c r="B412">
        <v>0</v>
      </c>
    </row>
    <row r="413" spans="1:2" x14ac:dyDescent="0.35">
      <c r="A413" s="3" t="s">
        <v>964</v>
      </c>
      <c r="B413">
        <v>0</v>
      </c>
    </row>
    <row r="414" spans="1:2" x14ac:dyDescent="0.35">
      <c r="A414" s="3" t="s">
        <v>965</v>
      </c>
      <c r="B414">
        <v>0</v>
      </c>
    </row>
    <row r="415" spans="1:2" x14ac:dyDescent="0.35">
      <c r="A415" s="3" t="s">
        <v>961</v>
      </c>
      <c r="B415">
        <v>0</v>
      </c>
    </row>
    <row r="416" spans="1:2" x14ac:dyDescent="0.35">
      <c r="A416" s="3" t="s">
        <v>974</v>
      </c>
      <c r="B416">
        <v>0</v>
      </c>
    </row>
    <row r="417" spans="1:2" x14ac:dyDescent="0.35">
      <c r="A417" s="3" t="s">
        <v>962</v>
      </c>
      <c r="B417">
        <v>0</v>
      </c>
    </row>
    <row r="418" spans="1:2" x14ac:dyDescent="0.35">
      <c r="A418" s="3" t="s">
        <v>975</v>
      </c>
      <c r="B418">
        <v>0</v>
      </c>
    </row>
    <row r="419" spans="1:2" x14ac:dyDescent="0.35">
      <c r="A419" s="3" t="s">
        <v>966</v>
      </c>
      <c r="B419">
        <v>0</v>
      </c>
    </row>
    <row r="420" spans="1:2" x14ac:dyDescent="0.35">
      <c r="A420" s="3" t="s">
        <v>967</v>
      </c>
      <c r="B420">
        <v>0</v>
      </c>
    </row>
    <row r="421" spans="1:2" x14ac:dyDescent="0.35">
      <c r="A421" s="3" t="s">
        <v>968</v>
      </c>
      <c r="B421">
        <v>0</v>
      </c>
    </row>
    <row r="422" spans="1:2" x14ac:dyDescent="0.35">
      <c r="A422" s="3" t="s">
        <v>969</v>
      </c>
      <c r="B422">
        <v>0</v>
      </c>
    </row>
    <row r="423" spans="1:2" x14ac:dyDescent="0.35">
      <c r="A423" s="3" t="s">
        <v>970</v>
      </c>
      <c r="B423">
        <v>0</v>
      </c>
    </row>
    <row r="424" spans="1:2" x14ac:dyDescent="0.35">
      <c r="A424" s="3" t="s">
        <v>971</v>
      </c>
      <c r="B424">
        <v>0</v>
      </c>
    </row>
    <row r="425" spans="1:2" x14ac:dyDescent="0.35">
      <c r="A425" s="3" t="s">
        <v>972</v>
      </c>
      <c r="B425">
        <v>0</v>
      </c>
    </row>
    <row r="426" spans="1:2" x14ac:dyDescent="0.35">
      <c r="A426" s="3" t="s">
        <v>1171</v>
      </c>
      <c r="B426">
        <v>0</v>
      </c>
    </row>
    <row r="427" spans="1:2" x14ac:dyDescent="0.35">
      <c r="A427" s="3" t="s">
        <v>1172</v>
      </c>
      <c r="B427">
        <v>0</v>
      </c>
    </row>
    <row r="428" spans="1:2" x14ac:dyDescent="0.35">
      <c r="A428" s="3" t="s">
        <v>1162</v>
      </c>
      <c r="B428">
        <v>0</v>
      </c>
    </row>
    <row r="429" spans="1:2" x14ac:dyDescent="0.35">
      <c r="A429" s="3" t="s">
        <v>1167</v>
      </c>
      <c r="B429">
        <v>0</v>
      </c>
    </row>
    <row r="430" spans="1:2" x14ac:dyDescent="0.35">
      <c r="A430" s="3" t="s">
        <v>1164</v>
      </c>
      <c r="B430">
        <v>0</v>
      </c>
    </row>
    <row r="431" spans="1:2" x14ac:dyDescent="0.35">
      <c r="A431" s="3" t="s">
        <v>1163</v>
      </c>
      <c r="B431">
        <v>0</v>
      </c>
    </row>
    <row r="432" spans="1:2" x14ac:dyDescent="0.35">
      <c r="A432" s="3" t="s">
        <v>1169</v>
      </c>
      <c r="B432">
        <v>0</v>
      </c>
    </row>
    <row r="433" spans="1:2" x14ac:dyDescent="0.35">
      <c r="A433" s="3" t="s">
        <v>1157</v>
      </c>
      <c r="B433">
        <v>0</v>
      </c>
    </row>
    <row r="434" spans="1:2" x14ac:dyDescent="0.35">
      <c r="A434" s="3" t="s">
        <v>1156</v>
      </c>
      <c r="B434">
        <v>0</v>
      </c>
    </row>
    <row r="435" spans="1:2" x14ac:dyDescent="0.35">
      <c r="A435" s="3" t="s">
        <v>1158</v>
      </c>
      <c r="B435">
        <v>0</v>
      </c>
    </row>
    <row r="436" spans="1:2" x14ac:dyDescent="0.35">
      <c r="A436" s="3" t="s">
        <v>1174</v>
      </c>
      <c r="B436">
        <v>0</v>
      </c>
    </row>
    <row r="437" spans="1:2" x14ac:dyDescent="0.35">
      <c r="A437" s="3" t="s">
        <v>1168</v>
      </c>
      <c r="B437">
        <v>0</v>
      </c>
    </row>
    <row r="438" spans="1:2" x14ac:dyDescent="0.35">
      <c r="A438" s="3" t="s">
        <v>744</v>
      </c>
      <c r="B438">
        <v>0</v>
      </c>
    </row>
    <row r="439" spans="1:2" x14ac:dyDescent="0.35">
      <c r="A439" s="3" t="s">
        <v>1173</v>
      </c>
      <c r="B439">
        <v>0</v>
      </c>
    </row>
    <row r="440" spans="1:2" x14ac:dyDescent="0.35">
      <c r="A440" s="3" t="s">
        <v>1161</v>
      </c>
      <c r="B440">
        <v>0</v>
      </c>
    </row>
    <row r="441" spans="1:2" x14ac:dyDescent="0.35">
      <c r="A441" s="3" t="s">
        <v>1165</v>
      </c>
      <c r="B441">
        <v>0</v>
      </c>
    </row>
    <row r="442" spans="1:2" x14ac:dyDescent="0.35">
      <c r="A442" s="3" t="s">
        <v>1166</v>
      </c>
      <c r="B442">
        <v>0</v>
      </c>
    </row>
    <row r="443" spans="1:2" x14ac:dyDescent="0.35">
      <c r="A443" s="3" t="s">
        <v>743</v>
      </c>
      <c r="B443">
        <v>0</v>
      </c>
    </row>
    <row r="444" spans="1:2" x14ac:dyDescent="0.35">
      <c r="A444" s="3" t="s">
        <v>1155</v>
      </c>
      <c r="B444">
        <v>0</v>
      </c>
    </row>
    <row r="445" spans="1:2" x14ac:dyDescent="0.35">
      <c r="A445" s="3" t="s">
        <v>1153</v>
      </c>
      <c r="B445">
        <v>0</v>
      </c>
    </row>
    <row r="446" spans="1:2" x14ac:dyDescent="0.35">
      <c r="A446" s="3" t="s">
        <v>1154</v>
      </c>
      <c r="B446">
        <v>0</v>
      </c>
    </row>
    <row r="447" spans="1:2" x14ac:dyDescent="0.35">
      <c r="A447" s="3" t="s">
        <v>1159</v>
      </c>
      <c r="B447">
        <v>0</v>
      </c>
    </row>
    <row r="448" spans="1:2" x14ac:dyDescent="0.35">
      <c r="A448" s="3" t="s">
        <v>1160</v>
      </c>
      <c r="B448">
        <v>0</v>
      </c>
    </row>
    <row r="449" spans="1:2" x14ac:dyDescent="0.35">
      <c r="A449" s="3" t="s">
        <v>1170</v>
      </c>
      <c r="B449">
        <v>0</v>
      </c>
    </row>
    <row r="450" spans="1:2" x14ac:dyDescent="0.35">
      <c r="A450" s="3" t="s">
        <v>1090</v>
      </c>
      <c r="B450">
        <v>2043</v>
      </c>
    </row>
    <row r="451" spans="1:2" x14ac:dyDescent="0.35">
      <c r="A451" s="3" t="s">
        <v>1089</v>
      </c>
      <c r="B451">
        <v>0</v>
      </c>
    </row>
    <row r="452" spans="1:2" x14ac:dyDescent="0.35">
      <c r="A452" s="3" t="s">
        <v>1082</v>
      </c>
      <c r="B452">
        <v>2043</v>
      </c>
    </row>
    <row r="453" spans="1:2" x14ac:dyDescent="0.35">
      <c r="A453" s="3" t="s">
        <v>1092</v>
      </c>
      <c r="B453">
        <v>2043</v>
      </c>
    </row>
    <row r="454" spans="1:2" x14ac:dyDescent="0.35">
      <c r="A454" s="3" t="s">
        <v>1087</v>
      </c>
      <c r="B454">
        <v>0</v>
      </c>
    </row>
    <row r="455" spans="1:2" x14ac:dyDescent="0.35">
      <c r="A455" s="3" t="s">
        <v>1083</v>
      </c>
      <c r="B455">
        <v>2043</v>
      </c>
    </row>
    <row r="456" spans="1:2" x14ac:dyDescent="0.35">
      <c r="A456" s="3" t="s">
        <v>1085</v>
      </c>
      <c r="B456">
        <v>2041</v>
      </c>
    </row>
    <row r="457" spans="1:2" x14ac:dyDescent="0.35">
      <c r="A457" s="3" t="s">
        <v>1091</v>
      </c>
      <c r="B457">
        <v>160</v>
      </c>
    </row>
    <row r="458" spans="1:2" x14ac:dyDescent="0.35">
      <c r="A458" s="3" t="s">
        <v>1084</v>
      </c>
      <c r="B458">
        <v>0</v>
      </c>
    </row>
    <row r="459" spans="1:2" x14ac:dyDescent="0.35">
      <c r="A459" s="3" t="s">
        <v>1053</v>
      </c>
      <c r="B459">
        <v>0</v>
      </c>
    </row>
    <row r="460" spans="1:2" x14ac:dyDescent="0.35">
      <c r="A460" s="3" t="s">
        <v>1054</v>
      </c>
      <c r="B460">
        <v>0</v>
      </c>
    </row>
    <row r="461" spans="1:2" x14ac:dyDescent="0.35">
      <c r="A461" s="3" t="s">
        <v>1052</v>
      </c>
      <c r="B461">
        <v>0</v>
      </c>
    </row>
    <row r="462" spans="1:2" x14ac:dyDescent="0.35">
      <c r="A462" s="3" t="s">
        <v>995</v>
      </c>
      <c r="B462">
        <v>936</v>
      </c>
    </row>
    <row r="463" spans="1:2" x14ac:dyDescent="0.35">
      <c r="A463" s="3" t="s">
        <v>999</v>
      </c>
      <c r="B463">
        <v>5</v>
      </c>
    </row>
    <row r="464" spans="1:2" x14ac:dyDescent="0.35">
      <c r="A464" s="3" t="s">
        <v>985</v>
      </c>
      <c r="B464">
        <v>10125</v>
      </c>
    </row>
    <row r="465" spans="1:2" x14ac:dyDescent="0.35">
      <c r="A465" s="3" t="s">
        <v>1057</v>
      </c>
      <c r="B465">
        <v>0</v>
      </c>
    </row>
    <row r="466" spans="1:2" x14ac:dyDescent="0.35">
      <c r="A466" s="3" t="s">
        <v>1020</v>
      </c>
      <c r="B466">
        <v>0</v>
      </c>
    </row>
    <row r="467" spans="1:2" x14ac:dyDescent="0.35">
      <c r="A467" s="3" t="s">
        <v>993</v>
      </c>
      <c r="B467">
        <v>9771</v>
      </c>
    </row>
    <row r="468" spans="1:2" x14ac:dyDescent="0.35">
      <c r="A468" s="3" t="s">
        <v>1058</v>
      </c>
      <c r="B468">
        <v>0</v>
      </c>
    </row>
    <row r="469" spans="1:2" x14ac:dyDescent="0.35">
      <c r="A469" s="3" t="s">
        <v>1010</v>
      </c>
      <c r="B469">
        <v>9761</v>
      </c>
    </row>
    <row r="470" spans="1:2" x14ac:dyDescent="0.35">
      <c r="A470" s="3" t="s">
        <v>1059</v>
      </c>
      <c r="B470">
        <v>0</v>
      </c>
    </row>
    <row r="471" spans="1:2" x14ac:dyDescent="0.35">
      <c r="A471" s="3" t="s">
        <v>1021</v>
      </c>
      <c r="B471">
        <v>0</v>
      </c>
    </row>
    <row r="472" spans="1:2" x14ac:dyDescent="0.35">
      <c r="A472" s="3" t="s">
        <v>1018</v>
      </c>
      <c r="B472">
        <v>0</v>
      </c>
    </row>
    <row r="473" spans="1:2" x14ac:dyDescent="0.35">
      <c r="A473" s="3" t="s">
        <v>1005</v>
      </c>
      <c r="B473">
        <v>0</v>
      </c>
    </row>
    <row r="474" spans="1:2" x14ac:dyDescent="0.35">
      <c r="A474" s="3" t="s">
        <v>1011</v>
      </c>
      <c r="B474">
        <v>0</v>
      </c>
    </row>
    <row r="475" spans="1:2" x14ac:dyDescent="0.35">
      <c r="A475" s="3" t="s">
        <v>1060</v>
      </c>
      <c r="B475">
        <v>0</v>
      </c>
    </row>
    <row r="476" spans="1:2" x14ac:dyDescent="0.35">
      <c r="A476" s="3" t="s">
        <v>1063</v>
      </c>
      <c r="B476">
        <v>97820</v>
      </c>
    </row>
    <row r="477" spans="1:2" x14ac:dyDescent="0.35">
      <c r="A477" s="3" t="s">
        <v>1061</v>
      </c>
      <c r="B477">
        <v>0</v>
      </c>
    </row>
    <row r="478" spans="1:2" x14ac:dyDescent="0.35">
      <c r="A478" s="3" t="s">
        <v>1007</v>
      </c>
      <c r="B478">
        <v>0</v>
      </c>
    </row>
    <row r="479" spans="1:2" x14ac:dyDescent="0.35">
      <c r="A479" s="3" t="s">
        <v>990</v>
      </c>
      <c r="B479">
        <v>18178</v>
      </c>
    </row>
    <row r="480" spans="1:2" x14ac:dyDescent="0.35">
      <c r="A480" s="3" t="s">
        <v>1062</v>
      </c>
      <c r="B480">
        <v>0</v>
      </c>
    </row>
    <row r="481" spans="1:2" x14ac:dyDescent="0.35">
      <c r="A481" s="3" t="s">
        <v>1003</v>
      </c>
      <c r="B481">
        <v>9035</v>
      </c>
    </row>
    <row r="482" spans="1:2" x14ac:dyDescent="0.35">
      <c r="A482" s="3" t="s">
        <v>1006</v>
      </c>
      <c r="B482">
        <v>5392</v>
      </c>
    </row>
    <row r="483" spans="1:2" x14ac:dyDescent="0.35">
      <c r="A483" s="3" t="s">
        <v>989</v>
      </c>
      <c r="B483">
        <v>8919</v>
      </c>
    </row>
    <row r="484" spans="1:2" x14ac:dyDescent="0.35">
      <c r="A484" s="3" t="s">
        <v>1002</v>
      </c>
      <c r="B484">
        <v>9068</v>
      </c>
    </row>
    <row r="485" spans="1:2" x14ac:dyDescent="0.35">
      <c r="A485" s="3" t="s">
        <v>1055</v>
      </c>
      <c r="B485">
        <v>0</v>
      </c>
    </row>
    <row r="486" spans="1:2" x14ac:dyDescent="0.35">
      <c r="A486" s="3" t="s">
        <v>1056</v>
      </c>
      <c r="B486">
        <v>0</v>
      </c>
    </row>
    <row r="487" spans="1:2" x14ac:dyDescent="0.35">
      <c r="A487" s="3" t="s">
        <v>994</v>
      </c>
      <c r="B487">
        <v>9034</v>
      </c>
    </row>
    <row r="488" spans="1:2" x14ac:dyDescent="0.35">
      <c r="A488" s="3" t="s">
        <v>1017</v>
      </c>
      <c r="B488">
        <v>240</v>
      </c>
    </row>
    <row r="489" spans="1:2" x14ac:dyDescent="0.35">
      <c r="A489" s="3" t="s">
        <v>1012</v>
      </c>
      <c r="B489">
        <v>1</v>
      </c>
    </row>
    <row r="490" spans="1:2" x14ac:dyDescent="0.35">
      <c r="A490" s="3" t="s">
        <v>1123</v>
      </c>
      <c r="B490">
        <v>0</v>
      </c>
    </row>
    <row r="491" spans="1:2" x14ac:dyDescent="0.35">
      <c r="A491" s="3" t="s">
        <v>1125</v>
      </c>
      <c r="B491">
        <v>0</v>
      </c>
    </row>
    <row r="492" spans="1:2" x14ac:dyDescent="0.35">
      <c r="A492" s="3" t="s">
        <v>1120</v>
      </c>
      <c r="B492">
        <v>0</v>
      </c>
    </row>
    <row r="493" spans="1:2" x14ac:dyDescent="0.35">
      <c r="A493" s="3" t="s">
        <v>654</v>
      </c>
      <c r="B493">
        <v>26515</v>
      </c>
    </row>
    <row r="494" spans="1:2" x14ac:dyDescent="0.35">
      <c r="A494" s="3" t="s">
        <v>1180</v>
      </c>
      <c r="B494">
        <v>0</v>
      </c>
    </row>
    <row r="495" spans="1:2" x14ac:dyDescent="0.35">
      <c r="A495" s="3" t="s">
        <v>1177</v>
      </c>
      <c r="B495">
        <v>0</v>
      </c>
    </row>
    <row r="496" spans="1:2" x14ac:dyDescent="0.35">
      <c r="A496" s="3" t="s">
        <v>1176</v>
      </c>
      <c r="B496">
        <v>0</v>
      </c>
    </row>
    <row r="497" spans="1:2" x14ac:dyDescent="0.35">
      <c r="A497" s="3" t="s">
        <v>1181</v>
      </c>
      <c r="B497">
        <v>0</v>
      </c>
    </row>
    <row r="498" spans="1:2" x14ac:dyDescent="0.35">
      <c r="A498" s="3" t="s">
        <v>1175</v>
      </c>
      <c r="B498">
        <v>0</v>
      </c>
    </row>
    <row r="499" spans="1:2" x14ac:dyDescent="0.35">
      <c r="A499" s="3" t="s">
        <v>1178</v>
      </c>
      <c r="B499">
        <v>0</v>
      </c>
    </row>
    <row r="500" spans="1:2" x14ac:dyDescent="0.35">
      <c r="A500" s="3" t="s">
        <v>1179</v>
      </c>
      <c r="B500">
        <v>0</v>
      </c>
    </row>
    <row r="501" spans="1:2" x14ac:dyDescent="0.35">
      <c r="A501" s="3" t="s">
        <v>681</v>
      </c>
      <c r="B501">
        <v>0</v>
      </c>
    </row>
    <row r="502" spans="1:2" x14ac:dyDescent="0.35">
      <c r="A502" s="3" t="s">
        <v>1182</v>
      </c>
      <c r="B502">
        <v>0</v>
      </c>
    </row>
    <row r="503" spans="1:2" x14ac:dyDescent="0.35">
      <c r="A503" s="3" t="s">
        <v>1135</v>
      </c>
      <c r="B503">
        <v>0</v>
      </c>
    </row>
    <row r="504" spans="1:2" x14ac:dyDescent="0.35">
      <c r="A504" s="3" t="s">
        <v>1137</v>
      </c>
      <c r="B504">
        <v>0</v>
      </c>
    </row>
    <row r="505" spans="1:2" x14ac:dyDescent="0.35">
      <c r="A505" s="3" t="s">
        <v>1131</v>
      </c>
      <c r="B505">
        <v>0</v>
      </c>
    </row>
    <row r="506" spans="1:2" x14ac:dyDescent="0.35">
      <c r="A506" s="3" t="s">
        <v>1134</v>
      </c>
      <c r="B506">
        <v>0</v>
      </c>
    </row>
    <row r="507" spans="1:2" x14ac:dyDescent="0.35">
      <c r="A507" s="3" t="s">
        <v>1132</v>
      </c>
      <c r="B507">
        <v>0</v>
      </c>
    </row>
    <row r="508" spans="1:2" x14ac:dyDescent="0.35">
      <c r="A508" s="3" t="s">
        <v>1136</v>
      </c>
      <c r="B508">
        <v>0</v>
      </c>
    </row>
    <row r="509" spans="1:2" x14ac:dyDescent="0.35">
      <c r="A509" s="3" t="s">
        <v>1133</v>
      </c>
      <c r="B509">
        <v>0</v>
      </c>
    </row>
    <row r="510" spans="1:2" x14ac:dyDescent="0.35">
      <c r="A510" s="3" t="s">
        <v>694</v>
      </c>
      <c r="B510">
        <v>0</v>
      </c>
    </row>
    <row r="511" spans="1:2" x14ac:dyDescent="0.35">
      <c r="A511" s="3" t="s">
        <v>976</v>
      </c>
      <c r="B511">
        <v>0</v>
      </c>
    </row>
    <row r="512" spans="1:2" x14ac:dyDescent="0.35">
      <c r="A512" s="3" t="s">
        <v>1107</v>
      </c>
      <c r="B512">
        <v>0</v>
      </c>
    </row>
    <row r="513" spans="1:2" x14ac:dyDescent="0.35">
      <c r="A513" s="3" t="s">
        <v>1108</v>
      </c>
      <c r="B513">
        <v>0</v>
      </c>
    </row>
    <row r="514" spans="1:2" x14ac:dyDescent="0.35">
      <c r="A514" s="3" t="s">
        <v>1109</v>
      </c>
      <c r="B514">
        <v>0</v>
      </c>
    </row>
    <row r="515" spans="1:2" x14ac:dyDescent="0.35">
      <c r="A515" s="3" t="s">
        <v>1014</v>
      </c>
      <c r="B515">
        <v>0</v>
      </c>
    </row>
    <row r="516" spans="1:2" x14ac:dyDescent="0.35">
      <c r="A516" s="3" t="s">
        <v>1016</v>
      </c>
      <c r="B516">
        <v>0</v>
      </c>
    </row>
    <row r="517" spans="1:2" x14ac:dyDescent="0.35">
      <c r="A517" s="3" t="s">
        <v>1013</v>
      </c>
      <c r="B517">
        <v>0</v>
      </c>
    </row>
    <row r="518" spans="1:2" x14ac:dyDescent="0.35">
      <c r="A518" s="3" t="s">
        <v>1183</v>
      </c>
      <c r="B518">
        <v>0</v>
      </c>
    </row>
    <row r="519" spans="1:2" x14ac:dyDescent="0.35">
      <c r="A519" s="3" t="s">
        <v>1184</v>
      </c>
      <c r="B519">
        <v>0</v>
      </c>
    </row>
    <row r="520" spans="1:2" x14ac:dyDescent="0.35">
      <c r="A520" s="3" t="s">
        <v>1185</v>
      </c>
      <c r="B520">
        <v>0</v>
      </c>
    </row>
    <row r="521" spans="1:2" x14ac:dyDescent="0.35">
      <c r="A521" s="3" t="s">
        <v>922</v>
      </c>
      <c r="B521">
        <v>0</v>
      </c>
    </row>
    <row r="522" spans="1:2" x14ac:dyDescent="0.35">
      <c r="A522" s="3" t="s">
        <v>909</v>
      </c>
      <c r="B522">
        <v>0</v>
      </c>
    </row>
    <row r="523" spans="1:2" x14ac:dyDescent="0.35">
      <c r="A523" s="3" t="s">
        <v>973</v>
      </c>
      <c r="B523">
        <v>0</v>
      </c>
    </row>
    <row r="524" spans="1:2" x14ac:dyDescent="0.35">
      <c r="A524" s="3" t="s">
        <v>920</v>
      </c>
      <c r="B524">
        <v>0</v>
      </c>
    </row>
    <row r="525" spans="1:2" x14ac:dyDescent="0.35">
      <c r="A525" s="3" t="s">
        <v>921</v>
      </c>
      <c r="B525">
        <v>0</v>
      </c>
    </row>
    <row r="526" spans="1:2" x14ac:dyDescent="0.35">
      <c r="A526" s="3" t="s">
        <v>686</v>
      </c>
      <c r="B526">
        <v>0</v>
      </c>
    </row>
    <row r="527" spans="1:2" x14ac:dyDescent="0.35">
      <c r="A527" s="3" t="s">
        <v>682</v>
      </c>
      <c r="B527">
        <v>0</v>
      </c>
    </row>
    <row r="528" spans="1:2" x14ac:dyDescent="0.35">
      <c r="A528" s="3" t="s">
        <v>683</v>
      </c>
      <c r="B528">
        <v>0</v>
      </c>
    </row>
    <row r="529" spans="1:2" x14ac:dyDescent="0.35">
      <c r="A529" s="3" t="s">
        <v>684</v>
      </c>
      <c r="B529">
        <v>0</v>
      </c>
    </row>
    <row r="530" spans="1:2" x14ac:dyDescent="0.35">
      <c r="A530" s="3" t="s">
        <v>685</v>
      </c>
      <c r="B530">
        <v>0</v>
      </c>
    </row>
    <row r="531" spans="1:2" x14ac:dyDescent="0.35">
      <c r="A531" s="3" t="s">
        <v>659</v>
      </c>
      <c r="B531">
        <v>19</v>
      </c>
    </row>
    <row r="532" spans="1:2" x14ac:dyDescent="0.35">
      <c r="A532" s="3" t="s">
        <v>693</v>
      </c>
      <c r="B532">
        <v>0</v>
      </c>
    </row>
    <row r="533" spans="1:2" x14ac:dyDescent="0.35">
      <c r="A533" s="3" t="s">
        <v>689</v>
      </c>
      <c r="B533">
        <v>957</v>
      </c>
    </row>
    <row r="534" spans="1:2" x14ac:dyDescent="0.35">
      <c r="A534" s="3" t="s">
        <v>691</v>
      </c>
      <c r="B534">
        <v>0</v>
      </c>
    </row>
    <row r="535" spans="1:2" x14ac:dyDescent="0.35">
      <c r="A535" s="3" t="s">
        <v>661</v>
      </c>
      <c r="B535">
        <v>566074</v>
      </c>
    </row>
    <row r="536" spans="1:2" x14ac:dyDescent="0.35">
      <c r="A536" s="3" t="s">
        <v>665</v>
      </c>
      <c r="B536">
        <v>0</v>
      </c>
    </row>
    <row r="537" spans="1:2" x14ac:dyDescent="0.35">
      <c r="A537" s="3" t="s">
        <v>789</v>
      </c>
      <c r="B537">
        <v>0</v>
      </c>
    </row>
    <row r="538" spans="1:2" x14ac:dyDescent="0.35">
      <c r="A538" s="3" t="s">
        <v>1189</v>
      </c>
      <c r="B538">
        <v>0</v>
      </c>
    </row>
    <row r="539" spans="1:2" x14ac:dyDescent="0.35">
      <c r="A539" s="3" t="s">
        <v>1187</v>
      </c>
      <c r="B539">
        <v>0</v>
      </c>
    </row>
    <row r="540" spans="1:2" x14ac:dyDescent="0.35">
      <c r="A540" s="3" t="s">
        <v>1188</v>
      </c>
      <c r="B540">
        <v>0</v>
      </c>
    </row>
    <row r="541" spans="1:2" x14ac:dyDescent="0.35">
      <c r="A541" s="3" t="s">
        <v>1190</v>
      </c>
      <c r="B541">
        <v>0</v>
      </c>
    </row>
    <row r="542" spans="1:2" x14ac:dyDescent="0.35">
      <c r="A542" s="3" t="s">
        <v>651</v>
      </c>
      <c r="B542">
        <v>14674</v>
      </c>
    </row>
    <row r="543" spans="1:2" x14ac:dyDescent="0.35">
      <c r="A543" s="3" t="s">
        <v>671</v>
      </c>
      <c r="B543">
        <v>0</v>
      </c>
    </row>
    <row r="544" spans="1:2" x14ac:dyDescent="0.35">
      <c r="A544" s="3" t="s">
        <v>646</v>
      </c>
    </row>
    <row r="545" spans="1:2" x14ac:dyDescent="0.35">
      <c r="A545" s="3" t="s">
        <v>647</v>
      </c>
      <c r="B545">
        <v>155039757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E9BE-63F3-46D3-91A4-CD33FA591E9D}">
  <dimension ref="A1:K617"/>
  <sheetViews>
    <sheetView tabSelected="1" topLeftCell="A527" workbookViewId="0">
      <selection activeCell="K2" sqref="K2:K544"/>
    </sheetView>
  </sheetViews>
  <sheetFormatPr defaultRowHeight="14.5" x14ac:dyDescent="0.35"/>
  <cols>
    <col min="1" max="1" width="21.36328125" bestFit="1" customWidth="1"/>
    <col min="2" max="2" width="12.453125" customWidth="1"/>
    <col min="3" max="3" width="10.90625" hidden="1" customWidth="1"/>
    <col min="4" max="4" width="3.81640625" hidden="1" customWidth="1"/>
    <col min="5" max="5" width="2" bestFit="1" customWidth="1"/>
    <col min="7" max="7" width="21.36328125" hidden="1" customWidth="1"/>
    <col min="8" max="8" width="8.81640625" hidden="1" customWidth="1"/>
    <col min="10" max="11" width="13.08984375" bestFit="1" customWidth="1"/>
  </cols>
  <sheetData>
    <row r="1" spans="1:11" x14ac:dyDescent="0.35">
      <c r="A1" s="2" t="s">
        <v>642</v>
      </c>
      <c r="B1" t="s">
        <v>1298</v>
      </c>
      <c r="G1" t="s">
        <v>642</v>
      </c>
      <c r="H1" t="s">
        <v>643</v>
      </c>
      <c r="J1" t="s">
        <v>1196</v>
      </c>
      <c r="K1" t="s">
        <v>1299</v>
      </c>
    </row>
    <row r="2" spans="1:11" x14ac:dyDescent="0.35">
      <c r="A2" s="3" t="s">
        <v>672</v>
      </c>
      <c r="B2" s="7">
        <v>0</v>
      </c>
      <c r="D2">
        <v>100</v>
      </c>
      <c r="G2" t="s">
        <v>673</v>
      </c>
      <c r="H2">
        <v>0</v>
      </c>
      <c r="J2">
        <f>IF(COUNTIF(Sheet4!A:A,A2)&gt;0,VLOOKUP(A2,Sheet4!A:B,2,FALSE),"NotFound")</f>
        <v>0</v>
      </c>
      <c r="K2" t="str">
        <f>IF(B2=J2,"Match","Mis Match")</f>
        <v>Match</v>
      </c>
    </row>
    <row r="3" spans="1:11" x14ac:dyDescent="0.35">
      <c r="A3" s="3" t="s">
        <v>699</v>
      </c>
      <c r="B3" s="7">
        <v>1124091</v>
      </c>
      <c r="D3">
        <v>100</v>
      </c>
      <c r="G3" t="s">
        <v>660</v>
      </c>
      <c r="H3">
        <v>82946</v>
      </c>
      <c r="J3">
        <f>IF(COUNTIF(Sheet4!A:A,A3)&gt;0,VLOOKUP(A3,Sheet4!A:B,2,FALSE),"NotFound")</f>
        <v>1124091</v>
      </c>
      <c r="K3" t="str">
        <f t="shared" ref="K3:K66" si="0">IF(B3=J3,"Match","Mis Match")</f>
        <v>Match</v>
      </c>
    </row>
    <row r="4" spans="1:11" x14ac:dyDescent="0.35">
      <c r="A4" s="3" t="s">
        <v>669</v>
      </c>
      <c r="B4" s="7">
        <v>0</v>
      </c>
      <c r="D4">
        <v>100</v>
      </c>
      <c r="G4" t="s">
        <v>674</v>
      </c>
      <c r="H4">
        <v>0</v>
      </c>
      <c r="J4">
        <f>IF(COUNTIF(Sheet4!A:A,A4)&gt;0,VLOOKUP(A4,Sheet4!A:B,2,FALSE),"NotFound")</f>
        <v>0</v>
      </c>
      <c r="K4" t="str">
        <f t="shared" si="0"/>
        <v>Match</v>
      </c>
    </row>
    <row r="5" spans="1:11" x14ac:dyDescent="0.35">
      <c r="A5" s="3" t="s">
        <v>673</v>
      </c>
      <c r="B5" s="7">
        <v>0</v>
      </c>
      <c r="D5">
        <v>100</v>
      </c>
      <c r="G5" t="s">
        <v>688</v>
      </c>
      <c r="H5">
        <v>51160</v>
      </c>
      <c r="J5">
        <f>IF(COUNTIF(Sheet4!A:A,A5)&gt;0,VLOOKUP(A5,Sheet4!A:B,2,FALSE),"NotFound")</f>
        <v>0</v>
      </c>
      <c r="K5" t="str">
        <f t="shared" si="0"/>
        <v>Match</v>
      </c>
    </row>
    <row r="6" spans="1:11" x14ac:dyDescent="0.35">
      <c r="A6" s="3" t="s">
        <v>664</v>
      </c>
      <c r="B6" s="7">
        <v>20</v>
      </c>
      <c r="D6">
        <v>100</v>
      </c>
      <c r="G6" t="s">
        <v>692</v>
      </c>
      <c r="H6">
        <v>51333</v>
      </c>
      <c r="J6">
        <f>IF(COUNTIF(Sheet4!A:A,A6)&gt;0,VLOOKUP(A6,Sheet4!A:B,2,FALSE),"NotFound")</f>
        <v>20</v>
      </c>
      <c r="K6" t="str">
        <f t="shared" si="0"/>
        <v>Match</v>
      </c>
    </row>
    <row r="7" spans="1:11" x14ac:dyDescent="0.35">
      <c r="A7" s="3" t="s">
        <v>656</v>
      </c>
      <c r="B7" s="7">
        <v>442649</v>
      </c>
      <c r="D7">
        <v>100</v>
      </c>
      <c r="G7" t="s">
        <v>698</v>
      </c>
      <c r="H7">
        <v>654395</v>
      </c>
      <c r="J7">
        <f>IF(COUNTIF(Sheet4!A:A,A7)&gt;0,VLOOKUP(A7,Sheet4!A:B,2,FALSE),"NotFound")</f>
        <v>442649</v>
      </c>
      <c r="K7" t="str">
        <f t="shared" si="0"/>
        <v>Match</v>
      </c>
    </row>
    <row r="8" spans="1:11" x14ac:dyDescent="0.35">
      <c r="A8" s="3" t="s">
        <v>655</v>
      </c>
      <c r="B8" s="7">
        <v>403197</v>
      </c>
      <c r="D8">
        <v>100</v>
      </c>
      <c r="G8" t="s">
        <v>695</v>
      </c>
      <c r="H8">
        <v>0</v>
      </c>
      <c r="J8">
        <f>IF(COUNTIF(Sheet4!A:A,A8)&gt;0,VLOOKUP(A8,Sheet4!A:B,2,FALSE),"NotFound")</f>
        <v>403197</v>
      </c>
      <c r="K8" t="str">
        <f t="shared" si="0"/>
        <v>Match</v>
      </c>
    </row>
    <row r="9" spans="1:11" x14ac:dyDescent="0.35">
      <c r="A9" s="3" t="s">
        <v>650</v>
      </c>
      <c r="B9" s="7">
        <v>402580</v>
      </c>
      <c r="D9">
        <v>100</v>
      </c>
      <c r="G9" t="s">
        <v>665</v>
      </c>
      <c r="H9">
        <v>0</v>
      </c>
      <c r="J9">
        <f>IF(COUNTIF(Sheet4!A:A,A9)&gt;0,VLOOKUP(A9,Sheet4!A:B,2,FALSE),"NotFound")</f>
        <v>402580</v>
      </c>
      <c r="K9" t="str">
        <f t="shared" si="0"/>
        <v>Match</v>
      </c>
    </row>
    <row r="10" spans="1:11" x14ac:dyDescent="0.35">
      <c r="A10" s="3" t="s">
        <v>663</v>
      </c>
      <c r="B10" s="7">
        <v>19568</v>
      </c>
      <c r="D10">
        <v>94</v>
      </c>
      <c r="G10" t="s">
        <v>657</v>
      </c>
      <c r="H10">
        <v>892</v>
      </c>
      <c r="J10">
        <f>IF(COUNTIF(Sheet4!A:A,A10)&gt;0,VLOOKUP(A10,Sheet4!A:B,2,FALSE),"NotFound")</f>
        <v>19568</v>
      </c>
      <c r="K10" t="str">
        <f t="shared" si="0"/>
        <v>Match</v>
      </c>
    </row>
    <row r="11" spans="1:11" x14ac:dyDescent="0.35">
      <c r="A11" s="3" t="s">
        <v>696</v>
      </c>
      <c r="B11" s="7">
        <v>579392</v>
      </c>
      <c r="D11">
        <v>97</v>
      </c>
      <c r="G11" t="s">
        <v>709</v>
      </c>
      <c r="H11">
        <v>0</v>
      </c>
      <c r="J11">
        <f>IF(COUNTIF(Sheet4!A:A,A11)&gt;0,VLOOKUP(A11,Sheet4!A:B,2,FALSE),"NotFound")</f>
        <v>579392</v>
      </c>
      <c r="K11" t="str">
        <f t="shared" si="0"/>
        <v>Match</v>
      </c>
    </row>
    <row r="12" spans="1:11" x14ac:dyDescent="0.35">
      <c r="A12" s="3" t="s">
        <v>658</v>
      </c>
      <c r="B12" s="7">
        <v>5181089</v>
      </c>
      <c r="D12">
        <v>97</v>
      </c>
      <c r="G12" t="s">
        <v>707</v>
      </c>
      <c r="H12">
        <v>0</v>
      </c>
      <c r="J12">
        <f>IF(COUNTIF(Sheet4!A:A,A12)&gt;0,VLOOKUP(A12,Sheet4!A:B,2,FALSE),"NotFound")</f>
        <v>5181089</v>
      </c>
      <c r="K12" t="str">
        <f t="shared" si="0"/>
        <v>Match</v>
      </c>
    </row>
    <row r="13" spans="1:11" x14ac:dyDescent="0.35">
      <c r="A13" s="3" t="s">
        <v>690</v>
      </c>
      <c r="B13" s="7">
        <v>0</v>
      </c>
      <c r="D13">
        <v>97</v>
      </c>
      <c r="G13" t="s">
        <v>706</v>
      </c>
      <c r="H13">
        <v>0</v>
      </c>
      <c r="J13">
        <f>IF(COUNTIF(Sheet4!A:A,A13)&gt;0,VLOOKUP(A13,Sheet4!A:B,2,FALSE),"NotFound")</f>
        <v>0</v>
      </c>
      <c r="K13" t="str">
        <f t="shared" si="0"/>
        <v>Match</v>
      </c>
    </row>
    <row r="14" spans="1:11" x14ac:dyDescent="0.35">
      <c r="A14" s="3" t="s">
        <v>687</v>
      </c>
      <c r="B14" s="7">
        <v>29105</v>
      </c>
      <c r="D14">
        <v>98</v>
      </c>
      <c r="G14" t="s">
        <v>715</v>
      </c>
      <c r="H14">
        <v>0</v>
      </c>
      <c r="J14">
        <f>IF(COUNTIF(Sheet4!A:A,A14)&gt;0,VLOOKUP(A14,Sheet4!A:B,2,FALSE),"NotFound")</f>
        <v>29105</v>
      </c>
      <c r="K14" t="str">
        <f t="shared" si="0"/>
        <v>Match</v>
      </c>
    </row>
    <row r="15" spans="1:11" x14ac:dyDescent="0.35">
      <c r="A15" s="3" t="s">
        <v>675</v>
      </c>
      <c r="B15" s="7">
        <v>0</v>
      </c>
      <c r="D15">
        <v>98</v>
      </c>
      <c r="G15" t="s">
        <v>724</v>
      </c>
      <c r="H15">
        <v>0</v>
      </c>
      <c r="J15">
        <f>IF(COUNTIF(Sheet4!A:A,A15)&gt;0,VLOOKUP(A15,Sheet4!A:B,2,FALSE),"NotFound")</f>
        <v>0</v>
      </c>
      <c r="K15" t="str">
        <f t="shared" si="0"/>
        <v>Match</v>
      </c>
    </row>
    <row r="16" spans="1:11" x14ac:dyDescent="0.35">
      <c r="A16" s="3" t="s">
        <v>698</v>
      </c>
      <c r="B16" s="7">
        <v>654395</v>
      </c>
      <c r="D16">
        <v>104</v>
      </c>
      <c r="G16" t="s">
        <v>729</v>
      </c>
      <c r="H16">
        <v>0</v>
      </c>
      <c r="J16">
        <f>IF(COUNTIF(Sheet4!A:A,A16)&gt;0,VLOOKUP(A16,Sheet4!A:B,2,FALSE),"NotFound")</f>
        <v>654395</v>
      </c>
      <c r="K16" t="str">
        <f t="shared" si="0"/>
        <v>Match</v>
      </c>
    </row>
    <row r="17" spans="1:11" x14ac:dyDescent="0.35">
      <c r="A17" s="3" t="s">
        <v>668</v>
      </c>
      <c r="B17" s="7">
        <v>0</v>
      </c>
      <c r="D17">
        <v>96</v>
      </c>
      <c r="G17" t="s">
        <v>730</v>
      </c>
      <c r="H17">
        <v>20453457</v>
      </c>
      <c r="J17">
        <f>IF(COUNTIF(Sheet4!A:A,A17)&gt;0,VLOOKUP(A17,Sheet4!A:B,2,FALSE),"NotFound")</f>
        <v>0</v>
      </c>
      <c r="K17" t="str">
        <f t="shared" si="0"/>
        <v>Match</v>
      </c>
    </row>
    <row r="18" spans="1:11" x14ac:dyDescent="0.35">
      <c r="A18" s="3" t="s">
        <v>667</v>
      </c>
      <c r="B18" s="7">
        <v>0</v>
      </c>
      <c r="D18">
        <v>96</v>
      </c>
      <c r="G18" t="s">
        <v>732</v>
      </c>
      <c r="H18">
        <v>0</v>
      </c>
      <c r="J18">
        <f>IF(COUNTIF(Sheet4!A:A,A18)&gt;0,VLOOKUP(A18,Sheet4!A:B,2,FALSE),"NotFound")</f>
        <v>0</v>
      </c>
      <c r="K18" t="str">
        <f t="shared" si="0"/>
        <v>Match</v>
      </c>
    </row>
    <row r="19" spans="1:11" x14ac:dyDescent="0.35">
      <c r="A19" s="3" t="s">
        <v>688</v>
      </c>
      <c r="B19" s="7">
        <v>51160</v>
      </c>
      <c r="C19" t="s">
        <v>1203</v>
      </c>
      <c r="D19">
        <v>96</v>
      </c>
      <c r="G19" t="s">
        <v>731</v>
      </c>
      <c r="H19">
        <v>0</v>
      </c>
      <c r="J19">
        <f>IF(COUNTIF(Sheet4!A:A,A19)&gt;0,VLOOKUP(A19,Sheet4!A:B,2,FALSE),"NotFound")</f>
        <v>51160</v>
      </c>
      <c r="K19" t="str">
        <f t="shared" si="0"/>
        <v>Match</v>
      </c>
    </row>
    <row r="20" spans="1:11" x14ac:dyDescent="0.35">
      <c r="A20" s="3" t="s">
        <v>676</v>
      </c>
      <c r="B20" s="7">
        <v>0</v>
      </c>
      <c r="C20" t="s">
        <v>1204</v>
      </c>
      <c r="D20">
        <v>72</v>
      </c>
      <c r="G20" t="s">
        <v>739</v>
      </c>
      <c r="H20">
        <v>0</v>
      </c>
      <c r="J20">
        <f>IF(COUNTIF(Sheet4!A:A,A20)&gt;0,VLOOKUP(A20,Sheet4!A:B,2,FALSE),"NotFound")</f>
        <v>0</v>
      </c>
      <c r="K20" t="str">
        <f t="shared" si="0"/>
        <v>Match</v>
      </c>
    </row>
    <row r="21" spans="1:11" x14ac:dyDescent="0.35">
      <c r="A21" s="3" t="s">
        <v>677</v>
      </c>
      <c r="B21" s="7">
        <v>0</v>
      </c>
      <c r="C21" t="s">
        <v>1205</v>
      </c>
      <c r="D21">
        <v>105</v>
      </c>
      <c r="G21" t="s">
        <v>761</v>
      </c>
      <c r="H21">
        <v>0</v>
      </c>
      <c r="J21">
        <f>IF(COUNTIF(Sheet4!A:A,A21)&gt;0,VLOOKUP(A21,Sheet4!A:B,2,FALSE),"NotFound")</f>
        <v>0</v>
      </c>
      <c r="K21" t="str">
        <f t="shared" si="0"/>
        <v>Match</v>
      </c>
    </row>
    <row r="22" spans="1:11" x14ac:dyDescent="0.35">
      <c r="A22" s="3" t="s">
        <v>692</v>
      </c>
      <c r="B22" s="7">
        <v>51333</v>
      </c>
      <c r="C22" t="s">
        <v>1206</v>
      </c>
      <c r="D22">
        <v>3</v>
      </c>
      <c r="G22" t="s">
        <v>763</v>
      </c>
      <c r="H22">
        <v>6460</v>
      </c>
      <c r="J22">
        <f>IF(COUNTIF(Sheet4!A:A,A22)&gt;0,VLOOKUP(A22,Sheet4!A:B,2,FALSE),"NotFound")</f>
        <v>51333</v>
      </c>
      <c r="K22" t="str">
        <f t="shared" si="0"/>
        <v>Match</v>
      </c>
    </row>
    <row r="23" spans="1:11" x14ac:dyDescent="0.35">
      <c r="A23" s="3" t="s">
        <v>678</v>
      </c>
      <c r="B23" s="7">
        <v>0</v>
      </c>
      <c r="C23" t="s">
        <v>1207</v>
      </c>
      <c r="D23">
        <v>106</v>
      </c>
      <c r="G23" t="s">
        <v>766</v>
      </c>
      <c r="H23">
        <v>4</v>
      </c>
      <c r="J23">
        <f>IF(COUNTIF(Sheet4!A:A,A23)&gt;0,VLOOKUP(A23,Sheet4!A:B,2,FALSE),"NotFound")</f>
        <v>0</v>
      </c>
      <c r="K23" t="str">
        <f t="shared" si="0"/>
        <v>Match</v>
      </c>
    </row>
    <row r="24" spans="1:11" x14ac:dyDescent="0.35">
      <c r="A24" s="3" t="s">
        <v>679</v>
      </c>
      <c r="B24" s="7">
        <v>0</v>
      </c>
      <c r="C24" t="s">
        <v>1208</v>
      </c>
      <c r="D24">
        <v>5</v>
      </c>
      <c r="G24" t="s">
        <v>795</v>
      </c>
      <c r="H24">
        <v>0</v>
      </c>
      <c r="J24">
        <f>IF(COUNTIF(Sheet4!A:A,A24)&gt;0,VLOOKUP(A24,Sheet4!A:B,2,FALSE),"NotFound")</f>
        <v>0</v>
      </c>
      <c r="K24" t="str">
        <f t="shared" si="0"/>
        <v>Match</v>
      </c>
    </row>
    <row r="25" spans="1:11" x14ac:dyDescent="0.35">
      <c r="A25" s="3" t="s">
        <v>680</v>
      </c>
      <c r="B25" s="7">
        <v>0</v>
      </c>
      <c r="C25" t="s">
        <v>1209</v>
      </c>
      <c r="D25">
        <v>91</v>
      </c>
      <c r="G25" t="s">
        <v>800</v>
      </c>
      <c r="H25">
        <v>14432815</v>
      </c>
      <c r="J25">
        <f>IF(COUNTIF(Sheet4!A:A,A25)&gt;0,VLOOKUP(A25,Sheet4!A:B,2,FALSE),"NotFound")</f>
        <v>0</v>
      </c>
      <c r="K25" t="str">
        <f t="shared" si="0"/>
        <v>Match</v>
      </c>
    </row>
    <row r="26" spans="1:11" x14ac:dyDescent="0.35">
      <c r="A26" s="3" t="s">
        <v>662</v>
      </c>
      <c r="B26" s="7">
        <v>22074</v>
      </c>
      <c r="C26" t="s">
        <v>1209</v>
      </c>
      <c r="D26">
        <v>91</v>
      </c>
      <c r="G26" t="s">
        <v>776</v>
      </c>
      <c r="H26">
        <v>3808639</v>
      </c>
      <c r="J26">
        <f>IF(COUNTIF(Sheet4!A:A,A26)&gt;0,VLOOKUP(A26,Sheet4!A:B,2,FALSE),"NotFound")</f>
        <v>22074</v>
      </c>
      <c r="K26" t="str">
        <f t="shared" si="0"/>
        <v>Match</v>
      </c>
    </row>
    <row r="27" spans="1:11" x14ac:dyDescent="0.35">
      <c r="A27" s="3" t="s">
        <v>674</v>
      </c>
      <c r="B27" s="7">
        <v>0</v>
      </c>
      <c r="C27" t="s">
        <v>1209</v>
      </c>
      <c r="D27">
        <v>91</v>
      </c>
      <c r="G27" t="s">
        <v>778</v>
      </c>
      <c r="H27">
        <v>0</v>
      </c>
      <c r="J27">
        <f>IF(COUNTIF(Sheet4!A:A,A27)&gt;0,VLOOKUP(A27,Sheet4!A:B,2,FALSE),"NotFound")</f>
        <v>0</v>
      </c>
      <c r="K27" t="str">
        <f t="shared" si="0"/>
        <v>Match</v>
      </c>
    </row>
    <row r="28" spans="1:11" x14ac:dyDescent="0.35">
      <c r="A28" s="3" t="s">
        <v>660</v>
      </c>
      <c r="B28" s="7">
        <v>82946</v>
      </c>
      <c r="C28" t="s">
        <v>1209</v>
      </c>
      <c r="D28">
        <v>91</v>
      </c>
      <c r="G28" t="s">
        <v>786</v>
      </c>
      <c r="H28">
        <v>0</v>
      </c>
      <c r="J28">
        <f>IF(COUNTIF(Sheet4!A:A,A28)&gt;0,VLOOKUP(A28,Sheet4!A:B,2,FALSE),"NotFound")</f>
        <v>82946</v>
      </c>
      <c r="K28" t="str">
        <f t="shared" si="0"/>
        <v>Match</v>
      </c>
    </row>
    <row r="29" spans="1:11" x14ac:dyDescent="0.35">
      <c r="A29" s="3" t="s">
        <v>697</v>
      </c>
      <c r="B29" s="7">
        <v>566074</v>
      </c>
      <c r="C29" t="s">
        <v>1209</v>
      </c>
      <c r="D29">
        <v>2</v>
      </c>
      <c r="G29" t="s">
        <v>800</v>
      </c>
      <c r="H29">
        <v>746671</v>
      </c>
      <c r="J29">
        <f>IF(COUNTIF(Sheet4!A:A,A29)&gt;0,VLOOKUP(A29,Sheet4!A:B,2,FALSE),"NotFound")</f>
        <v>566074</v>
      </c>
      <c r="K29" t="str">
        <f t="shared" si="0"/>
        <v>Match</v>
      </c>
    </row>
    <row r="30" spans="1:11" x14ac:dyDescent="0.35">
      <c r="A30" s="3" t="s">
        <v>1081</v>
      </c>
      <c r="B30" s="7">
        <v>0</v>
      </c>
      <c r="C30" t="s">
        <v>1209</v>
      </c>
      <c r="D30">
        <v>2</v>
      </c>
      <c r="G30" t="s">
        <v>791</v>
      </c>
      <c r="H30">
        <v>0</v>
      </c>
      <c r="J30">
        <f>IF(COUNTIF(Sheet4!A:A,A30)&gt;0,VLOOKUP(A30,Sheet4!A:B,2,FALSE),"NotFound")</f>
        <v>0</v>
      </c>
      <c r="K30" t="str">
        <f t="shared" si="0"/>
        <v>Match</v>
      </c>
    </row>
    <row r="31" spans="1:11" x14ac:dyDescent="0.35">
      <c r="A31" s="3" t="s">
        <v>652</v>
      </c>
      <c r="B31" s="7">
        <v>0</v>
      </c>
      <c r="C31" t="s">
        <v>1209</v>
      </c>
      <c r="D31">
        <v>2</v>
      </c>
      <c r="G31" t="s">
        <v>776</v>
      </c>
      <c r="H31">
        <v>189459</v>
      </c>
      <c r="J31">
        <f>IF(COUNTIF(Sheet4!A:A,A31)&gt;0,VLOOKUP(A31,Sheet4!A:B,2,FALSE),"NotFound")</f>
        <v>0</v>
      </c>
      <c r="K31" t="str">
        <f t="shared" si="0"/>
        <v>Match</v>
      </c>
    </row>
    <row r="32" spans="1:11" x14ac:dyDescent="0.35">
      <c r="A32" s="3" t="s">
        <v>1186</v>
      </c>
      <c r="B32" s="7">
        <v>0</v>
      </c>
      <c r="C32" t="s">
        <v>1209</v>
      </c>
      <c r="D32">
        <v>2</v>
      </c>
      <c r="G32" t="s">
        <v>793</v>
      </c>
      <c r="H32">
        <v>536243</v>
      </c>
      <c r="J32">
        <f>IF(COUNTIF(Sheet4!A:A,A32)&gt;0,VLOOKUP(A32,Sheet4!A:B,2,FALSE),"NotFound")</f>
        <v>0</v>
      </c>
      <c r="K32" t="str">
        <f t="shared" si="0"/>
        <v>Match</v>
      </c>
    </row>
    <row r="33" spans="1:11" x14ac:dyDescent="0.35">
      <c r="A33" s="3" t="s">
        <v>670</v>
      </c>
      <c r="B33" s="7">
        <v>0</v>
      </c>
      <c r="C33" t="s">
        <v>1209</v>
      </c>
      <c r="D33">
        <v>91</v>
      </c>
      <c r="G33" t="s">
        <v>789</v>
      </c>
      <c r="H33">
        <v>0</v>
      </c>
      <c r="J33">
        <f>IF(COUNTIF(Sheet4!A:A,A33)&gt;0,VLOOKUP(A33,Sheet4!A:B,2,FALSE),"NotFound")</f>
        <v>0</v>
      </c>
      <c r="K33" t="str">
        <f t="shared" si="0"/>
        <v>Match</v>
      </c>
    </row>
    <row r="34" spans="1:11" x14ac:dyDescent="0.35">
      <c r="A34" s="3" t="s">
        <v>700</v>
      </c>
      <c r="B34" s="7">
        <v>0</v>
      </c>
      <c r="C34" t="s">
        <v>1210</v>
      </c>
      <c r="D34">
        <v>74</v>
      </c>
      <c r="G34" t="s">
        <v>802</v>
      </c>
      <c r="H34">
        <v>0</v>
      </c>
      <c r="J34">
        <f>IF(COUNTIF(Sheet4!A:A,A34)&gt;0,VLOOKUP(A34,Sheet4!A:B,2,FALSE),"NotFound")</f>
        <v>0</v>
      </c>
      <c r="K34" t="str">
        <f t="shared" si="0"/>
        <v>Match</v>
      </c>
    </row>
    <row r="35" spans="1:11" x14ac:dyDescent="0.35">
      <c r="A35" s="3" t="s">
        <v>701</v>
      </c>
      <c r="B35" s="7">
        <v>0</v>
      </c>
      <c r="C35" t="s">
        <v>1211</v>
      </c>
      <c r="D35">
        <v>84</v>
      </c>
      <c r="G35" t="s">
        <v>803</v>
      </c>
      <c r="H35">
        <v>2</v>
      </c>
      <c r="J35">
        <f>IF(COUNTIF(Sheet4!A:A,A35)&gt;0,VLOOKUP(A35,Sheet4!A:B,2,FALSE),"NotFound")</f>
        <v>0</v>
      </c>
      <c r="K35" t="str">
        <f t="shared" si="0"/>
        <v>Match</v>
      </c>
    </row>
    <row r="36" spans="1:11" x14ac:dyDescent="0.35">
      <c r="A36" s="3" t="s">
        <v>753</v>
      </c>
      <c r="B36" s="7">
        <v>0</v>
      </c>
      <c r="C36" t="s">
        <v>1212</v>
      </c>
      <c r="D36">
        <v>16</v>
      </c>
      <c r="G36" t="s">
        <v>820</v>
      </c>
      <c r="H36">
        <v>0</v>
      </c>
      <c r="J36">
        <f>IF(COUNTIF(Sheet4!A:A,A36)&gt;0,VLOOKUP(A36,Sheet4!A:B,2,FALSE),"NotFound")</f>
        <v>0</v>
      </c>
      <c r="K36" t="str">
        <f t="shared" si="0"/>
        <v>Match</v>
      </c>
    </row>
    <row r="37" spans="1:11" x14ac:dyDescent="0.35">
      <c r="A37" s="3" t="s">
        <v>754</v>
      </c>
      <c r="B37" s="7">
        <v>0</v>
      </c>
      <c r="C37" t="s">
        <v>1212</v>
      </c>
      <c r="D37">
        <v>16</v>
      </c>
      <c r="G37" t="s">
        <v>870</v>
      </c>
      <c r="H37">
        <v>0</v>
      </c>
      <c r="J37">
        <f>IF(COUNTIF(Sheet4!A:A,A37)&gt;0,VLOOKUP(A37,Sheet4!A:B,2,FALSE),"NotFound")</f>
        <v>0</v>
      </c>
      <c r="K37" t="str">
        <f t="shared" si="0"/>
        <v>Match</v>
      </c>
    </row>
    <row r="38" spans="1:11" x14ac:dyDescent="0.35">
      <c r="A38" s="3" t="s">
        <v>702</v>
      </c>
      <c r="B38" s="7">
        <v>0</v>
      </c>
      <c r="C38" t="s">
        <v>1212</v>
      </c>
      <c r="D38">
        <v>16</v>
      </c>
      <c r="G38" t="s">
        <v>872</v>
      </c>
      <c r="H38">
        <v>0</v>
      </c>
      <c r="J38">
        <f>IF(COUNTIF(Sheet4!A:A,A38)&gt;0,VLOOKUP(A38,Sheet4!A:B,2,FALSE),"NotFound")</f>
        <v>0</v>
      </c>
      <c r="K38" t="str">
        <f t="shared" si="0"/>
        <v>Match</v>
      </c>
    </row>
    <row r="39" spans="1:11" x14ac:dyDescent="0.35">
      <c r="A39" s="3" t="s">
        <v>715</v>
      </c>
      <c r="B39" s="7">
        <v>0</v>
      </c>
      <c r="C39" t="s">
        <v>1212</v>
      </c>
      <c r="D39">
        <v>16</v>
      </c>
      <c r="G39" t="s">
        <v>840</v>
      </c>
      <c r="H39">
        <v>0</v>
      </c>
      <c r="J39">
        <f>IF(COUNTIF(Sheet4!A:A,A39)&gt;0,VLOOKUP(A39,Sheet4!A:B,2,FALSE),"NotFound")</f>
        <v>0</v>
      </c>
      <c r="K39" t="str">
        <f t="shared" si="0"/>
        <v>Match</v>
      </c>
    </row>
    <row r="40" spans="1:11" x14ac:dyDescent="0.35">
      <c r="A40" s="3" t="s">
        <v>716</v>
      </c>
      <c r="B40" s="7">
        <v>0</v>
      </c>
      <c r="C40" t="s">
        <v>1212</v>
      </c>
      <c r="D40">
        <v>16</v>
      </c>
      <c r="G40" t="s">
        <v>877</v>
      </c>
      <c r="H40">
        <v>0</v>
      </c>
      <c r="J40">
        <f>IF(COUNTIF(Sheet4!A:A,A40)&gt;0,VLOOKUP(A40,Sheet4!A:B,2,FALSE),"NotFound")</f>
        <v>0</v>
      </c>
      <c r="K40" t="str">
        <f t="shared" si="0"/>
        <v>Match</v>
      </c>
    </row>
    <row r="41" spans="1:11" x14ac:dyDescent="0.35">
      <c r="A41" s="3" t="s">
        <v>757</v>
      </c>
      <c r="B41" s="7">
        <v>39396</v>
      </c>
      <c r="C41" t="s">
        <v>1212</v>
      </c>
      <c r="D41">
        <v>16</v>
      </c>
      <c r="G41" t="s">
        <v>886</v>
      </c>
      <c r="H41">
        <v>0</v>
      </c>
      <c r="J41">
        <f>IF(COUNTIF(Sheet4!A:A,A41)&gt;0,VLOOKUP(A41,Sheet4!A:B,2,FALSE),"NotFound")</f>
        <v>39396</v>
      </c>
      <c r="K41" t="str">
        <f t="shared" si="0"/>
        <v>Match</v>
      </c>
    </row>
    <row r="42" spans="1:11" x14ac:dyDescent="0.35">
      <c r="A42" s="3" t="s">
        <v>755</v>
      </c>
      <c r="B42" s="7">
        <v>0</v>
      </c>
      <c r="C42" t="s">
        <v>1212</v>
      </c>
      <c r="D42">
        <v>16</v>
      </c>
      <c r="G42" t="s">
        <v>852</v>
      </c>
      <c r="H42">
        <v>0</v>
      </c>
      <c r="J42">
        <f>IF(COUNTIF(Sheet4!A:A,A42)&gt;0,VLOOKUP(A42,Sheet4!A:B,2,FALSE),"NotFound")</f>
        <v>0</v>
      </c>
      <c r="K42" t="str">
        <f t="shared" si="0"/>
        <v>Match</v>
      </c>
    </row>
    <row r="43" spans="1:11" x14ac:dyDescent="0.35">
      <c r="A43" s="3" t="s">
        <v>717</v>
      </c>
      <c r="B43" s="7">
        <v>0</v>
      </c>
      <c r="C43" t="s">
        <v>1212</v>
      </c>
      <c r="D43">
        <v>16</v>
      </c>
      <c r="G43" t="s">
        <v>895</v>
      </c>
      <c r="H43">
        <v>0</v>
      </c>
      <c r="J43">
        <f>IF(COUNTIF(Sheet4!A:A,A43)&gt;0,VLOOKUP(A43,Sheet4!A:B,2,FALSE),"NotFound")</f>
        <v>0</v>
      </c>
      <c r="K43" t="str">
        <f t="shared" si="0"/>
        <v>Match</v>
      </c>
    </row>
    <row r="44" spans="1:11" x14ac:dyDescent="0.35">
      <c r="A44" s="3" t="s">
        <v>704</v>
      </c>
      <c r="B44" s="7">
        <v>0</v>
      </c>
      <c r="C44" t="s">
        <v>1212</v>
      </c>
      <c r="D44">
        <v>16</v>
      </c>
      <c r="G44" t="s">
        <v>902</v>
      </c>
      <c r="H44">
        <v>0</v>
      </c>
      <c r="J44">
        <f>IF(COUNTIF(Sheet4!A:A,A44)&gt;0,VLOOKUP(A44,Sheet4!A:B,2,FALSE),"NotFound")</f>
        <v>0</v>
      </c>
      <c r="K44" t="str">
        <f t="shared" si="0"/>
        <v>Match</v>
      </c>
    </row>
    <row r="45" spans="1:11" x14ac:dyDescent="0.35">
      <c r="A45" s="3" t="s">
        <v>705</v>
      </c>
      <c r="B45" s="7">
        <v>0</v>
      </c>
      <c r="C45" t="s">
        <v>1213</v>
      </c>
      <c r="D45">
        <v>33</v>
      </c>
      <c r="G45" t="s">
        <v>912</v>
      </c>
      <c r="H45">
        <v>0</v>
      </c>
      <c r="J45">
        <f>IF(COUNTIF(Sheet4!A:A,A45)&gt;0,VLOOKUP(A45,Sheet4!A:B,2,FALSE),"NotFound")</f>
        <v>0</v>
      </c>
      <c r="K45" t="str">
        <f t="shared" si="0"/>
        <v>Match</v>
      </c>
    </row>
    <row r="46" spans="1:11" x14ac:dyDescent="0.35">
      <c r="A46" s="3" t="s">
        <v>729</v>
      </c>
      <c r="B46" s="7">
        <v>0</v>
      </c>
      <c r="C46" t="s">
        <v>1214</v>
      </c>
      <c r="D46">
        <v>23</v>
      </c>
      <c r="G46" t="s">
        <v>909</v>
      </c>
      <c r="H46">
        <v>0</v>
      </c>
      <c r="J46">
        <f>IF(COUNTIF(Sheet4!A:A,A46)&gt;0,VLOOKUP(A46,Sheet4!A:B,2,FALSE),"NotFound")</f>
        <v>0</v>
      </c>
      <c r="K46" t="str">
        <f t="shared" si="0"/>
        <v>Match</v>
      </c>
    </row>
    <row r="47" spans="1:11" x14ac:dyDescent="0.35">
      <c r="A47" s="3" t="s">
        <v>706</v>
      </c>
      <c r="B47" s="7">
        <v>0</v>
      </c>
      <c r="C47" t="s">
        <v>1215</v>
      </c>
      <c r="D47">
        <v>31</v>
      </c>
      <c r="G47" t="s">
        <v>911</v>
      </c>
      <c r="H47">
        <v>14725</v>
      </c>
      <c r="J47">
        <f>IF(COUNTIF(Sheet4!A:A,A47)&gt;0,VLOOKUP(A47,Sheet4!A:B,2,FALSE),"NotFound")</f>
        <v>0</v>
      </c>
      <c r="K47" t="str">
        <f t="shared" si="0"/>
        <v>Match</v>
      </c>
    </row>
    <row r="48" spans="1:11" x14ac:dyDescent="0.35">
      <c r="A48" s="3" t="s">
        <v>759</v>
      </c>
      <c r="B48" s="7">
        <v>0</v>
      </c>
      <c r="C48" t="s">
        <v>1216</v>
      </c>
      <c r="D48">
        <v>32</v>
      </c>
      <c r="G48" t="s">
        <v>913</v>
      </c>
      <c r="H48">
        <v>0</v>
      </c>
      <c r="J48">
        <f>IF(COUNTIF(Sheet4!A:A,A48)&gt;0,VLOOKUP(A48,Sheet4!A:B,2,FALSE),"NotFound")</f>
        <v>0</v>
      </c>
      <c r="K48" t="str">
        <f t="shared" si="0"/>
        <v>Match</v>
      </c>
    </row>
    <row r="49" spans="1:11" x14ac:dyDescent="0.35">
      <c r="A49" s="3" t="s">
        <v>766</v>
      </c>
      <c r="B49" s="7">
        <v>4</v>
      </c>
      <c r="C49" t="s">
        <v>1217</v>
      </c>
      <c r="D49">
        <v>28</v>
      </c>
      <c r="G49" t="s">
        <v>917</v>
      </c>
      <c r="H49">
        <v>59</v>
      </c>
      <c r="J49">
        <f>IF(COUNTIF(Sheet4!A:A,A49)&gt;0,VLOOKUP(A49,Sheet4!A:B,2,FALSE),"NotFound")</f>
        <v>4</v>
      </c>
      <c r="K49" t="str">
        <f t="shared" si="0"/>
        <v>Match</v>
      </c>
    </row>
    <row r="50" spans="1:11" x14ac:dyDescent="0.35">
      <c r="A50" s="3" t="s">
        <v>707</v>
      </c>
      <c r="B50" s="7">
        <v>0</v>
      </c>
      <c r="C50" t="s">
        <v>1218</v>
      </c>
      <c r="D50">
        <v>27</v>
      </c>
      <c r="G50" t="s">
        <v>919</v>
      </c>
      <c r="H50">
        <v>263763</v>
      </c>
      <c r="J50">
        <f>IF(COUNTIF(Sheet4!A:A,A50)&gt;0,VLOOKUP(A50,Sheet4!A:B,2,FALSE),"NotFound")</f>
        <v>0</v>
      </c>
      <c r="K50" t="str">
        <f t="shared" si="0"/>
        <v>Match</v>
      </c>
    </row>
    <row r="51" spans="1:11" x14ac:dyDescent="0.35">
      <c r="A51" s="3" t="s">
        <v>703</v>
      </c>
      <c r="B51" s="7">
        <v>0</v>
      </c>
      <c r="C51" t="s">
        <v>1219</v>
      </c>
      <c r="D51">
        <v>29</v>
      </c>
      <c r="G51" t="s">
        <v>921</v>
      </c>
      <c r="H51">
        <v>0</v>
      </c>
      <c r="J51">
        <f>IF(COUNTIF(Sheet4!A:A,A51)&gt;0,VLOOKUP(A51,Sheet4!A:B,2,FALSE),"NotFound")</f>
        <v>0</v>
      </c>
      <c r="K51" t="str">
        <f t="shared" si="0"/>
        <v>Match</v>
      </c>
    </row>
    <row r="52" spans="1:11" x14ac:dyDescent="0.35">
      <c r="A52" s="3" t="s">
        <v>708</v>
      </c>
      <c r="B52" s="7">
        <v>0</v>
      </c>
      <c r="C52" t="s">
        <v>1220</v>
      </c>
      <c r="D52">
        <v>17</v>
      </c>
      <c r="G52" t="s">
        <v>923</v>
      </c>
      <c r="H52">
        <v>0</v>
      </c>
      <c r="J52">
        <f>IF(COUNTIF(Sheet4!A:A,A52)&gt;0,VLOOKUP(A52,Sheet4!A:B,2,FALSE),"NotFound")</f>
        <v>0</v>
      </c>
      <c r="K52" t="str">
        <f t="shared" si="0"/>
        <v>Match</v>
      </c>
    </row>
    <row r="53" spans="1:11" x14ac:dyDescent="0.35">
      <c r="A53" s="3" t="s">
        <v>709</v>
      </c>
      <c r="B53" s="7">
        <v>0</v>
      </c>
      <c r="C53" t="s">
        <v>1220</v>
      </c>
      <c r="D53">
        <v>17</v>
      </c>
      <c r="G53" t="s">
        <v>924</v>
      </c>
      <c r="H53">
        <v>0</v>
      </c>
      <c r="J53">
        <f>IF(COUNTIF(Sheet4!A:A,A53)&gt;0,VLOOKUP(A53,Sheet4!A:B,2,FALSE),"NotFound")</f>
        <v>0</v>
      </c>
      <c r="K53" t="str">
        <f t="shared" si="0"/>
        <v>Match</v>
      </c>
    </row>
    <row r="54" spans="1:11" x14ac:dyDescent="0.35">
      <c r="A54" s="3" t="s">
        <v>710</v>
      </c>
      <c r="B54" s="7">
        <v>0</v>
      </c>
      <c r="C54" t="s">
        <v>1220</v>
      </c>
      <c r="D54">
        <v>17</v>
      </c>
      <c r="G54" t="s">
        <v>925</v>
      </c>
      <c r="H54">
        <v>0</v>
      </c>
      <c r="J54">
        <f>IF(COUNTIF(Sheet4!A:A,A54)&gt;0,VLOOKUP(A54,Sheet4!A:B,2,FALSE),"NotFound")</f>
        <v>0</v>
      </c>
      <c r="K54" t="str">
        <f t="shared" si="0"/>
        <v>Match</v>
      </c>
    </row>
    <row r="55" spans="1:11" x14ac:dyDescent="0.35">
      <c r="A55" s="3" t="s">
        <v>711</v>
      </c>
      <c r="B55" s="7">
        <v>0</v>
      </c>
      <c r="C55" t="s">
        <v>1221</v>
      </c>
      <c r="D55">
        <v>63</v>
      </c>
      <c r="G55" t="s">
        <v>933</v>
      </c>
      <c r="H55">
        <v>0</v>
      </c>
      <c r="J55">
        <f>IF(COUNTIF(Sheet4!A:A,A55)&gt;0,VLOOKUP(A55,Sheet4!A:B,2,FALSE),"NotFound")</f>
        <v>0</v>
      </c>
      <c r="K55" t="str">
        <f t="shared" si="0"/>
        <v>Match</v>
      </c>
    </row>
    <row r="56" spans="1:11" x14ac:dyDescent="0.35">
      <c r="A56" s="3" t="s">
        <v>728</v>
      </c>
      <c r="B56" s="7">
        <v>0</v>
      </c>
      <c r="C56" t="s">
        <v>1221</v>
      </c>
      <c r="D56">
        <v>63</v>
      </c>
      <c r="G56" t="s">
        <v>936</v>
      </c>
      <c r="H56">
        <v>0</v>
      </c>
      <c r="J56">
        <f>IF(COUNTIF(Sheet4!A:A,A56)&gt;0,VLOOKUP(A56,Sheet4!A:B,2,FALSE),"NotFound")</f>
        <v>0</v>
      </c>
      <c r="K56" t="str">
        <f t="shared" si="0"/>
        <v>Match</v>
      </c>
    </row>
    <row r="57" spans="1:11" x14ac:dyDescent="0.35">
      <c r="A57" s="3" t="s">
        <v>727</v>
      </c>
      <c r="B57" s="7">
        <v>0</v>
      </c>
      <c r="C57" t="s">
        <v>1222</v>
      </c>
      <c r="D57">
        <v>70</v>
      </c>
      <c r="G57" t="s">
        <v>943</v>
      </c>
      <c r="H57">
        <v>0</v>
      </c>
      <c r="J57">
        <f>IF(COUNTIF(Sheet4!A:A,A57)&gt;0,VLOOKUP(A57,Sheet4!A:B,2,FALSE),"NotFound")</f>
        <v>0</v>
      </c>
      <c r="K57" t="str">
        <f t="shared" si="0"/>
        <v>Match</v>
      </c>
    </row>
    <row r="58" spans="1:11" x14ac:dyDescent="0.35">
      <c r="A58" s="3" t="s">
        <v>760</v>
      </c>
      <c r="B58" s="7">
        <v>0</v>
      </c>
      <c r="C58" t="s">
        <v>1223</v>
      </c>
      <c r="D58">
        <v>82</v>
      </c>
      <c r="G58" t="s">
        <v>946</v>
      </c>
      <c r="H58">
        <v>0</v>
      </c>
      <c r="J58">
        <f>IF(COUNTIF(Sheet4!A:A,A58)&gt;0,VLOOKUP(A58,Sheet4!A:B,2,FALSE),"NotFound")</f>
        <v>0</v>
      </c>
      <c r="K58" t="str">
        <f t="shared" si="0"/>
        <v>Match</v>
      </c>
    </row>
    <row r="59" spans="1:11" x14ac:dyDescent="0.35">
      <c r="A59" s="3" t="s">
        <v>761</v>
      </c>
      <c r="B59" s="7">
        <v>0</v>
      </c>
      <c r="C59" t="s">
        <v>1224</v>
      </c>
      <c r="D59">
        <v>21</v>
      </c>
      <c r="G59" t="s">
        <v>960</v>
      </c>
      <c r="H59">
        <v>0</v>
      </c>
      <c r="J59">
        <f>IF(COUNTIF(Sheet4!A:A,A59)&gt;0,VLOOKUP(A59,Sheet4!A:B,2,FALSE),"NotFound")</f>
        <v>0</v>
      </c>
      <c r="K59" t="str">
        <f t="shared" si="0"/>
        <v>Match</v>
      </c>
    </row>
    <row r="60" spans="1:11" x14ac:dyDescent="0.35">
      <c r="A60" s="3" t="s">
        <v>767</v>
      </c>
      <c r="B60" s="7">
        <v>1</v>
      </c>
      <c r="C60" t="s">
        <v>1224</v>
      </c>
      <c r="D60">
        <v>21</v>
      </c>
      <c r="G60" t="s">
        <v>959</v>
      </c>
      <c r="H60">
        <v>0</v>
      </c>
      <c r="J60">
        <f>IF(COUNTIF(Sheet4!A:A,A60)&gt;0,VLOOKUP(A60,Sheet4!A:B,2,FALSE),"NotFound")</f>
        <v>1</v>
      </c>
      <c r="K60" t="str">
        <f t="shared" si="0"/>
        <v>Match</v>
      </c>
    </row>
    <row r="61" spans="1:11" x14ac:dyDescent="0.35">
      <c r="A61" s="3" t="s">
        <v>768</v>
      </c>
      <c r="B61" s="7">
        <v>7</v>
      </c>
      <c r="C61" t="s">
        <v>1225</v>
      </c>
      <c r="D61">
        <v>90</v>
      </c>
      <c r="G61" t="s">
        <v>971</v>
      </c>
      <c r="H61">
        <v>0</v>
      </c>
      <c r="J61">
        <f>IF(COUNTIF(Sheet4!A:A,A61)&gt;0,VLOOKUP(A61,Sheet4!A:B,2,FALSE),"NotFound")</f>
        <v>7</v>
      </c>
      <c r="K61" t="str">
        <f t="shared" si="0"/>
        <v>Match</v>
      </c>
    </row>
    <row r="62" spans="1:11" x14ac:dyDescent="0.35">
      <c r="A62" s="3" t="s">
        <v>735</v>
      </c>
      <c r="B62" s="7">
        <v>1500586</v>
      </c>
      <c r="C62" t="s">
        <v>1226</v>
      </c>
      <c r="D62">
        <v>37</v>
      </c>
      <c r="G62" t="s">
        <v>980</v>
      </c>
      <c r="H62">
        <v>0</v>
      </c>
      <c r="J62">
        <f>IF(COUNTIF(Sheet4!A:A,A62)&gt;0,VLOOKUP(A62,Sheet4!A:B,2,FALSE),"NotFound")</f>
        <v>1500586</v>
      </c>
      <c r="K62" t="str">
        <f t="shared" si="0"/>
        <v>Match</v>
      </c>
    </row>
    <row r="63" spans="1:11" x14ac:dyDescent="0.35">
      <c r="A63" s="3" t="s">
        <v>718</v>
      </c>
      <c r="B63" s="7">
        <v>0</v>
      </c>
      <c r="C63" t="s">
        <v>1226</v>
      </c>
      <c r="D63">
        <v>37</v>
      </c>
      <c r="G63" t="s">
        <v>977</v>
      </c>
      <c r="H63">
        <v>2452593</v>
      </c>
      <c r="J63">
        <f>IF(COUNTIF(Sheet4!A:A,A63)&gt;0,VLOOKUP(A63,Sheet4!A:B,2,FALSE),"NotFound")</f>
        <v>0</v>
      </c>
      <c r="K63" t="str">
        <f t="shared" si="0"/>
        <v>Match</v>
      </c>
    </row>
    <row r="64" spans="1:11" x14ac:dyDescent="0.35">
      <c r="A64" s="3" t="s">
        <v>719</v>
      </c>
      <c r="B64" s="7">
        <v>0</v>
      </c>
      <c r="C64" t="s">
        <v>1226</v>
      </c>
      <c r="D64">
        <v>37</v>
      </c>
      <c r="G64" t="s">
        <v>981</v>
      </c>
      <c r="H64">
        <v>0</v>
      </c>
      <c r="J64">
        <f>IF(COUNTIF(Sheet4!A:A,A64)&gt;0,VLOOKUP(A64,Sheet4!A:B,2,FALSE),"NotFound")</f>
        <v>0</v>
      </c>
      <c r="K64" t="str">
        <f t="shared" si="0"/>
        <v>Match</v>
      </c>
    </row>
    <row r="65" spans="1:11" x14ac:dyDescent="0.35">
      <c r="A65" s="3" t="s">
        <v>720</v>
      </c>
      <c r="B65" s="7">
        <v>0</v>
      </c>
      <c r="C65" t="s">
        <v>1226</v>
      </c>
      <c r="D65">
        <v>36</v>
      </c>
      <c r="G65" t="s">
        <v>978</v>
      </c>
      <c r="H65">
        <v>83386</v>
      </c>
      <c r="J65">
        <f>IF(COUNTIF(Sheet4!A:A,A65)&gt;0,VLOOKUP(A65,Sheet4!A:B,2,FALSE),"NotFound")</f>
        <v>0</v>
      </c>
      <c r="K65" t="str">
        <f t="shared" si="0"/>
        <v>Match</v>
      </c>
    </row>
    <row r="66" spans="1:11" x14ac:dyDescent="0.35">
      <c r="A66" s="3" t="s">
        <v>713</v>
      </c>
      <c r="B66" s="7">
        <v>22396043</v>
      </c>
      <c r="C66" t="s">
        <v>1227</v>
      </c>
      <c r="D66">
        <v>41</v>
      </c>
      <c r="G66" t="s">
        <v>983</v>
      </c>
      <c r="H66">
        <v>1903</v>
      </c>
      <c r="J66">
        <f>IF(COUNTIF(Sheet4!A:A,A66)&gt;0,VLOOKUP(A66,Sheet4!A:B,2,FALSE),"NotFound")</f>
        <v>22396043</v>
      </c>
      <c r="K66" t="str">
        <f t="shared" si="0"/>
        <v>Match</v>
      </c>
    </row>
    <row r="67" spans="1:11" x14ac:dyDescent="0.35">
      <c r="A67" s="3" t="s">
        <v>726</v>
      </c>
      <c r="B67" s="7">
        <v>5678877</v>
      </c>
      <c r="C67" t="s">
        <v>1228</v>
      </c>
      <c r="D67">
        <v>15</v>
      </c>
      <c r="G67" t="s">
        <v>1026</v>
      </c>
      <c r="H67">
        <v>0</v>
      </c>
      <c r="J67">
        <f>IF(COUNTIF(Sheet4!A:A,A67)&gt;0,VLOOKUP(A67,Sheet4!A:B,2,FALSE),"NotFound")</f>
        <v>5678877</v>
      </c>
      <c r="K67" t="str">
        <f t="shared" ref="K67:K130" si="1">IF(B67=J67,"Match","Mis Match")</f>
        <v>Match</v>
      </c>
    </row>
    <row r="68" spans="1:11" x14ac:dyDescent="0.35">
      <c r="A68" s="3" t="s">
        <v>723</v>
      </c>
      <c r="B68" s="7">
        <v>0</v>
      </c>
      <c r="C68" t="s">
        <v>1228</v>
      </c>
      <c r="D68">
        <v>15</v>
      </c>
      <c r="G68" t="s">
        <v>1031</v>
      </c>
      <c r="H68">
        <v>0</v>
      </c>
      <c r="J68">
        <f>IF(COUNTIF(Sheet4!A:A,A68)&gt;0,VLOOKUP(A68,Sheet4!A:B,2,FALSE),"NotFound")</f>
        <v>0</v>
      </c>
      <c r="K68" t="str">
        <f t="shared" si="1"/>
        <v>Match</v>
      </c>
    </row>
    <row r="69" spans="1:11" x14ac:dyDescent="0.35">
      <c r="A69" s="3" t="s">
        <v>714</v>
      </c>
      <c r="B69" s="7">
        <v>0</v>
      </c>
      <c r="C69" t="s">
        <v>1228</v>
      </c>
      <c r="D69">
        <v>15</v>
      </c>
      <c r="G69" t="s">
        <v>1036</v>
      </c>
      <c r="H69">
        <v>0</v>
      </c>
      <c r="J69">
        <f>IF(COUNTIF(Sheet4!A:A,A69)&gt;0,VLOOKUP(A69,Sheet4!A:B,2,FALSE),"NotFound")</f>
        <v>0</v>
      </c>
      <c r="K69" t="str">
        <f t="shared" si="1"/>
        <v>Match</v>
      </c>
    </row>
    <row r="70" spans="1:11" x14ac:dyDescent="0.35">
      <c r="A70" s="3" t="s">
        <v>712</v>
      </c>
      <c r="B70" s="7">
        <v>11861178</v>
      </c>
      <c r="C70" t="s">
        <v>1228</v>
      </c>
      <c r="D70">
        <v>15</v>
      </c>
      <c r="G70" t="s">
        <v>1037</v>
      </c>
      <c r="H70">
        <v>0</v>
      </c>
      <c r="J70">
        <f>IF(COUNTIF(Sheet4!A:A,A70)&gt;0,VLOOKUP(A70,Sheet4!A:B,2,FALSE),"NotFound")</f>
        <v>11861178</v>
      </c>
      <c r="K70" t="str">
        <f t="shared" si="1"/>
        <v>Match</v>
      </c>
    </row>
    <row r="71" spans="1:11" x14ac:dyDescent="0.35">
      <c r="A71" s="3" t="s">
        <v>724</v>
      </c>
      <c r="B71" s="7">
        <v>0</v>
      </c>
      <c r="C71" t="s">
        <v>1228</v>
      </c>
      <c r="D71">
        <v>15</v>
      </c>
      <c r="G71" t="s">
        <v>1042</v>
      </c>
      <c r="H71">
        <v>0</v>
      </c>
      <c r="J71">
        <f>IF(COUNTIF(Sheet4!A:A,A71)&gt;0,VLOOKUP(A71,Sheet4!A:B,2,FALSE),"NotFound")</f>
        <v>0</v>
      </c>
      <c r="K71" t="str">
        <f t="shared" si="1"/>
        <v>Match</v>
      </c>
    </row>
    <row r="72" spans="1:11" x14ac:dyDescent="0.35">
      <c r="A72" s="3" t="s">
        <v>721</v>
      </c>
      <c r="B72" s="7">
        <v>0</v>
      </c>
      <c r="C72" t="s">
        <v>1228</v>
      </c>
      <c r="D72">
        <v>15</v>
      </c>
      <c r="G72" t="s">
        <v>1043</v>
      </c>
      <c r="H72">
        <v>0</v>
      </c>
      <c r="J72">
        <f>IF(COUNTIF(Sheet4!A:A,A72)&gt;0,VLOOKUP(A72,Sheet4!A:B,2,FALSE),"NotFound")</f>
        <v>0</v>
      </c>
      <c r="K72" t="str">
        <f t="shared" si="1"/>
        <v>Match</v>
      </c>
    </row>
    <row r="73" spans="1:11" x14ac:dyDescent="0.35">
      <c r="A73" s="3" t="s">
        <v>722</v>
      </c>
      <c r="B73" s="7">
        <v>0</v>
      </c>
      <c r="C73" t="s">
        <v>1228</v>
      </c>
      <c r="D73">
        <v>15</v>
      </c>
      <c r="G73" t="s">
        <v>1045</v>
      </c>
      <c r="H73">
        <v>0</v>
      </c>
      <c r="J73">
        <f>IF(COUNTIF(Sheet4!A:A,A73)&gt;0,VLOOKUP(A73,Sheet4!A:B,2,FALSE),"NotFound")</f>
        <v>0</v>
      </c>
      <c r="K73" t="str">
        <f t="shared" si="1"/>
        <v>Match</v>
      </c>
    </row>
    <row r="74" spans="1:11" x14ac:dyDescent="0.35">
      <c r="A74" s="3" t="s">
        <v>725</v>
      </c>
      <c r="B74" s="7">
        <v>0</v>
      </c>
      <c r="C74" t="s">
        <v>1228</v>
      </c>
      <c r="D74">
        <v>15</v>
      </c>
      <c r="G74" t="s">
        <v>1054</v>
      </c>
      <c r="H74">
        <v>0</v>
      </c>
      <c r="J74">
        <f>IF(COUNTIF(Sheet4!A:A,A74)&gt;0,VLOOKUP(A74,Sheet4!A:B,2,FALSE),"NotFound")</f>
        <v>0</v>
      </c>
      <c r="K74" t="str">
        <f t="shared" si="1"/>
        <v>Match</v>
      </c>
    </row>
    <row r="75" spans="1:11" x14ac:dyDescent="0.35">
      <c r="A75" s="3" t="s">
        <v>750</v>
      </c>
      <c r="B75" s="7">
        <v>458084</v>
      </c>
      <c r="C75" t="s">
        <v>1228</v>
      </c>
      <c r="D75">
        <v>15</v>
      </c>
      <c r="G75" t="s">
        <v>994</v>
      </c>
      <c r="H75">
        <v>9034</v>
      </c>
      <c r="J75">
        <f>IF(COUNTIF(Sheet4!A:A,A75)&gt;0,VLOOKUP(A75,Sheet4!A:B,2,FALSE),"NotFound")</f>
        <v>458084</v>
      </c>
      <c r="K75" t="str">
        <f t="shared" si="1"/>
        <v>Match</v>
      </c>
    </row>
    <row r="76" spans="1:11" x14ac:dyDescent="0.35">
      <c r="A76" s="3" t="s">
        <v>749</v>
      </c>
      <c r="B76" s="7">
        <v>4776291</v>
      </c>
      <c r="C76" t="s">
        <v>1228</v>
      </c>
      <c r="D76">
        <v>15</v>
      </c>
      <c r="G76" t="s">
        <v>1018</v>
      </c>
      <c r="H76">
        <v>0</v>
      </c>
      <c r="J76">
        <f>IF(COUNTIF(Sheet4!A:A,A76)&gt;0,VLOOKUP(A76,Sheet4!A:B,2,FALSE),"NotFound")</f>
        <v>4776291</v>
      </c>
      <c r="K76" t="str">
        <f t="shared" si="1"/>
        <v>Match</v>
      </c>
    </row>
    <row r="77" spans="1:11" x14ac:dyDescent="0.35">
      <c r="A77" s="3" t="s">
        <v>756</v>
      </c>
      <c r="B77" s="7">
        <v>0</v>
      </c>
      <c r="C77" t="s">
        <v>1228</v>
      </c>
      <c r="D77">
        <v>15</v>
      </c>
      <c r="G77" t="s">
        <v>1063</v>
      </c>
      <c r="H77">
        <v>97820</v>
      </c>
      <c r="J77">
        <f>IF(COUNTIF(Sheet4!A:A,A77)&gt;0,VLOOKUP(A77,Sheet4!A:B,2,FALSE),"NotFound")</f>
        <v>0</v>
      </c>
      <c r="K77" t="str">
        <f t="shared" si="1"/>
        <v>Match</v>
      </c>
    </row>
    <row r="78" spans="1:11" x14ac:dyDescent="0.35">
      <c r="A78" s="3" t="s">
        <v>752</v>
      </c>
      <c r="B78" s="7">
        <v>0</v>
      </c>
      <c r="C78" t="s">
        <v>1228</v>
      </c>
      <c r="D78">
        <v>15</v>
      </c>
      <c r="G78" t="s">
        <v>1060</v>
      </c>
      <c r="H78">
        <v>0</v>
      </c>
      <c r="J78">
        <f>IF(COUNTIF(Sheet4!A:A,A78)&gt;0,VLOOKUP(A78,Sheet4!A:B,2,FALSE),"NotFound")</f>
        <v>0</v>
      </c>
      <c r="K78" t="str">
        <f t="shared" si="1"/>
        <v>Match</v>
      </c>
    </row>
    <row r="79" spans="1:11" x14ac:dyDescent="0.35">
      <c r="A79" s="3" t="s">
        <v>751</v>
      </c>
      <c r="B79" s="7">
        <v>1989</v>
      </c>
      <c r="C79" t="s">
        <v>1228</v>
      </c>
      <c r="D79">
        <v>15</v>
      </c>
      <c r="G79" t="s">
        <v>1061</v>
      </c>
      <c r="H79">
        <v>0</v>
      </c>
      <c r="J79">
        <f>IF(COUNTIF(Sheet4!A:A,A79)&gt;0,VLOOKUP(A79,Sheet4!A:B,2,FALSE),"NotFound")</f>
        <v>1989</v>
      </c>
      <c r="K79" t="str">
        <f t="shared" si="1"/>
        <v>Match</v>
      </c>
    </row>
    <row r="80" spans="1:11" x14ac:dyDescent="0.35">
      <c r="A80" s="3" t="s">
        <v>758</v>
      </c>
      <c r="B80" s="7">
        <v>1335452</v>
      </c>
      <c r="C80" t="s">
        <v>1229</v>
      </c>
      <c r="D80">
        <v>60</v>
      </c>
      <c r="G80" t="s">
        <v>1077</v>
      </c>
      <c r="H80">
        <v>0</v>
      </c>
      <c r="J80">
        <f>IF(COUNTIF(Sheet4!A:A,A80)&gt;0,VLOOKUP(A80,Sheet4!A:B,2,FALSE),"NotFound")</f>
        <v>1335452</v>
      </c>
      <c r="K80" t="str">
        <f t="shared" si="1"/>
        <v>Match</v>
      </c>
    </row>
    <row r="81" spans="1:11" x14ac:dyDescent="0.35">
      <c r="A81" s="3" t="s">
        <v>730</v>
      </c>
      <c r="B81" s="7">
        <v>20453457</v>
      </c>
      <c r="C81" t="s">
        <v>1230</v>
      </c>
      <c r="D81">
        <v>59</v>
      </c>
      <c r="G81" t="s">
        <v>1079</v>
      </c>
      <c r="H81">
        <v>0</v>
      </c>
      <c r="J81">
        <f>IF(COUNTIF(Sheet4!A:A,A81)&gt;0,VLOOKUP(A81,Sheet4!A:B,2,FALSE),"NotFound")</f>
        <v>20453457</v>
      </c>
      <c r="K81" t="str">
        <f t="shared" si="1"/>
        <v>Match</v>
      </c>
    </row>
    <row r="82" spans="1:11" x14ac:dyDescent="0.35">
      <c r="A82" s="3" t="s">
        <v>732</v>
      </c>
      <c r="B82" s="7">
        <v>0</v>
      </c>
      <c r="C82" t="s">
        <v>1231</v>
      </c>
      <c r="D82">
        <v>14</v>
      </c>
      <c r="G82" t="s">
        <v>1088</v>
      </c>
      <c r="H82">
        <v>0</v>
      </c>
      <c r="J82">
        <f>IF(COUNTIF(Sheet4!A:A,A82)&gt;0,VLOOKUP(A82,Sheet4!A:B,2,FALSE),"NotFound")</f>
        <v>0</v>
      </c>
      <c r="K82" t="str">
        <f t="shared" si="1"/>
        <v>Match</v>
      </c>
    </row>
    <row r="83" spans="1:11" x14ac:dyDescent="0.35">
      <c r="A83" s="3" t="s">
        <v>736</v>
      </c>
      <c r="B83" s="7">
        <v>11776783</v>
      </c>
      <c r="C83" t="s">
        <v>1231</v>
      </c>
      <c r="D83">
        <v>14</v>
      </c>
      <c r="G83" t="s">
        <v>1086</v>
      </c>
      <c r="H83">
        <v>0</v>
      </c>
      <c r="J83">
        <f>IF(COUNTIF(Sheet4!A:A,A83)&gt;0,VLOOKUP(A83,Sheet4!A:B,2,FALSE),"NotFound")</f>
        <v>11776783</v>
      </c>
      <c r="K83" t="str">
        <f t="shared" si="1"/>
        <v>Match</v>
      </c>
    </row>
    <row r="84" spans="1:11" x14ac:dyDescent="0.35">
      <c r="A84" s="3" t="s">
        <v>733</v>
      </c>
      <c r="B84" s="7">
        <v>0</v>
      </c>
      <c r="C84" t="s">
        <v>1231</v>
      </c>
      <c r="D84">
        <v>14</v>
      </c>
      <c r="G84" t="s">
        <v>1090</v>
      </c>
      <c r="H84">
        <v>2043</v>
      </c>
      <c r="J84">
        <f>IF(COUNTIF(Sheet4!A:A,A84)&gt;0,VLOOKUP(A84,Sheet4!A:B,2,FALSE),"NotFound")</f>
        <v>0</v>
      </c>
      <c r="K84" t="str">
        <f t="shared" si="1"/>
        <v>Match</v>
      </c>
    </row>
    <row r="85" spans="1:11" x14ac:dyDescent="0.35">
      <c r="A85" s="3" t="s">
        <v>734</v>
      </c>
      <c r="B85" s="7">
        <v>0</v>
      </c>
      <c r="C85" t="s">
        <v>1232</v>
      </c>
      <c r="D85">
        <v>62</v>
      </c>
      <c r="G85" t="s">
        <v>1098</v>
      </c>
      <c r="H85">
        <v>0</v>
      </c>
      <c r="J85">
        <f>IF(COUNTIF(Sheet4!A:A,A85)&gt;0,VLOOKUP(A85,Sheet4!A:B,2,FALSE),"NotFound")</f>
        <v>0</v>
      </c>
      <c r="K85" t="str">
        <f t="shared" si="1"/>
        <v>Match</v>
      </c>
    </row>
    <row r="86" spans="1:11" x14ac:dyDescent="0.35">
      <c r="A86" s="3" t="s">
        <v>731</v>
      </c>
      <c r="B86" s="7">
        <v>0</v>
      </c>
      <c r="C86" t="s">
        <v>1233</v>
      </c>
      <c r="D86">
        <v>66</v>
      </c>
      <c r="G86" t="s">
        <v>1110</v>
      </c>
      <c r="H86">
        <v>0</v>
      </c>
      <c r="J86">
        <f>IF(COUNTIF(Sheet4!A:A,A86)&gt;0,VLOOKUP(A86,Sheet4!A:B,2,FALSE),"NotFound")</f>
        <v>0</v>
      </c>
      <c r="K86" t="str">
        <f t="shared" si="1"/>
        <v>Match</v>
      </c>
    </row>
    <row r="87" spans="1:11" x14ac:dyDescent="0.35">
      <c r="A87" s="3" t="s">
        <v>737</v>
      </c>
      <c r="B87" s="7">
        <v>0</v>
      </c>
      <c r="C87" t="s">
        <v>1233</v>
      </c>
      <c r="D87">
        <v>66</v>
      </c>
      <c r="G87" t="s">
        <v>1115</v>
      </c>
      <c r="H87">
        <v>0</v>
      </c>
      <c r="J87">
        <f>IF(COUNTIF(Sheet4!A:A,A87)&gt;0,VLOOKUP(A87,Sheet4!A:B,2,FALSE),"NotFound")</f>
        <v>0</v>
      </c>
      <c r="K87" t="str">
        <f t="shared" si="1"/>
        <v>Match</v>
      </c>
    </row>
    <row r="88" spans="1:11" x14ac:dyDescent="0.35">
      <c r="A88" s="3" t="s">
        <v>748</v>
      </c>
      <c r="B88" s="7">
        <v>0</v>
      </c>
      <c r="C88" t="s">
        <v>1233</v>
      </c>
      <c r="D88">
        <v>66</v>
      </c>
      <c r="G88" t="s">
        <v>1117</v>
      </c>
      <c r="H88">
        <v>0</v>
      </c>
      <c r="J88">
        <f>IF(COUNTIF(Sheet4!A:A,A88)&gt;0,VLOOKUP(A88,Sheet4!A:B,2,FALSE),"NotFound")</f>
        <v>0</v>
      </c>
      <c r="K88" t="str">
        <f t="shared" si="1"/>
        <v>Match</v>
      </c>
    </row>
    <row r="89" spans="1:11" x14ac:dyDescent="0.35">
      <c r="A89" s="3" t="s">
        <v>739</v>
      </c>
      <c r="B89" s="7">
        <v>0</v>
      </c>
      <c r="C89" t="s">
        <v>1234</v>
      </c>
      <c r="D89">
        <v>12</v>
      </c>
      <c r="G89" t="s">
        <v>1124</v>
      </c>
      <c r="H89">
        <v>0</v>
      </c>
      <c r="J89">
        <f>IF(COUNTIF(Sheet4!A:A,A89)&gt;0,VLOOKUP(A89,Sheet4!A:B,2,FALSE),"NotFound")</f>
        <v>0</v>
      </c>
      <c r="K89" t="str">
        <f t="shared" si="1"/>
        <v>Match</v>
      </c>
    </row>
    <row r="90" spans="1:11" x14ac:dyDescent="0.35">
      <c r="A90" s="3" t="s">
        <v>747</v>
      </c>
      <c r="B90" s="7">
        <v>0</v>
      </c>
      <c r="C90" t="s">
        <v>1235</v>
      </c>
      <c r="D90">
        <v>11</v>
      </c>
      <c r="G90" t="s">
        <v>1144</v>
      </c>
      <c r="H90">
        <v>639</v>
      </c>
      <c r="J90">
        <f>IF(COUNTIF(Sheet4!A:A,A90)&gt;0,VLOOKUP(A90,Sheet4!A:B,2,FALSE),"NotFound")</f>
        <v>0</v>
      </c>
      <c r="K90" t="str">
        <f t="shared" si="1"/>
        <v>Match</v>
      </c>
    </row>
    <row r="91" spans="1:11" x14ac:dyDescent="0.35">
      <c r="A91" s="3" t="s">
        <v>746</v>
      </c>
      <c r="B91" s="7">
        <v>0</v>
      </c>
      <c r="C91" t="s">
        <v>1235</v>
      </c>
      <c r="D91">
        <v>11</v>
      </c>
      <c r="G91" t="s">
        <v>1142</v>
      </c>
      <c r="H91">
        <v>0</v>
      </c>
      <c r="J91">
        <f>IF(COUNTIF(Sheet4!A:A,A91)&gt;0,VLOOKUP(A91,Sheet4!A:B,2,FALSE),"NotFound")</f>
        <v>0</v>
      </c>
      <c r="K91" t="str">
        <f t="shared" si="1"/>
        <v>Match</v>
      </c>
    </row>
    <row r="92" spans="1:11" x14ac:dyDescent="0.35">
      <c r="A92" s="3" t="s">
        <v>738</v>
      </c>
      <c r="B92" s="7">
        <v>0</v>
      </c>
      <c r="C92" t="s">
        <v>1235</v>
      </c>
      <c r="D92">
        <v>11</v>
      </c>
      <c r="G92" t="s">
        <v>1152</v>
      </c>
      <c r="H92">
        <v>0</v>
      </c>
      <c r="J92">
        <f>IF(COUNTIF(Sheet4!A:A,A92)&gt;0,VLOOKUP(A92,Sheet4!A:B,2,FALSE),"NotFound")</f>
        <v>0</v>
      </c>
      <c r="K92" t="str">
        <f t="shared" si="1"/>
        <v>Match</v>
      </c>
    </row>
    <row r="93" spans="1:11" x14ac:dyDescent="0.35">
      <c r="A93" s="3" t="s">
        <v>740</v>
      </c>
      <c r="B93" s="7">
        <v>0</v>
      </c>
      <c r="C93" t="s">
        <v>1236</v>
      </c>
      <c r="D93">
        <v>10</v>
      </c>
      <c r="G93" t="s">
        <v>1157</v>
      </c>
      <c r="H93">
        <v>0</v>
      </c>
      <c r="J93">
        <f>IF(COUNTIF(Sheet4!A:A,A93)&gt;0,VLOOKUP(A93,Sheet4!A:B,2,FALSE),"NotFound")</f>
        <v>0</v>
      </c>
      <c r="K93" t="str">
        <f t="shared" si="1"/>
        <v>Match</v>
      </c>
    </row>
    <row r="94" spans="1:11" x14ac:dyDescent="0.35">
      <c r="A94" s="3" t="s">
        <v>745</v>
      </c>
      <c r="B94" s="7">
        <v>0</v>
      </c>
      <c r="C94" t="s">
        <v>1236</v>
      </c>
      <c r="D94">
        <v>10</v>
      </c>
      <c r="G94" t="s">
        <v>1171</v>
      </c>
      <c r="H94">
        <v>0</v>
      </c>
      <c r="J94">
        <f>IF(COUNTIF(Sheet4!A:A,A94)&gt;0,VLOOKUP(A94,Sheet4!A:B,2,FALSE),"NotFound")</f>
        <v>0</v>
      </c>
      <c r="K94" t="str">
        <f t="shared" si="1"/>
        <v>Match</v>
      </c>
    </row>
    <row r="95" spans="1:11" x14ac:dyDescent="0.35">
      <c r="A95" s="3" t="s">
        <v>742</v>
      </c>
      <c r="B95" s="7">
        <v>0</v>
      </c>
      <c r="C95" t="s">
        <v>1236</v>
      </c>
      <c r="D95">
        <v>10</v>
      </c>
      <c r="G95" t="s">
        <v>1158</v>
      </c>
      <c r="H95">
        <v>0</v>
      </c>
      <c r="J95">
        <f>IF(COUNTIF(Sheet4!A:A,A95)&gt;0,VLOOKUP(A95,Sheet4!A:B,2,FALSE),"NotFound")</f>
        <v>0</v>
      </c>
      <c r="K95" t="str">
        <f t="shared" si="1"/>
        <v>Match</v>
      </c>
    </row>
    <row r="96" spans="1:11" x14ac:dyDescent="0.35">
      <c r="A96" s="3" t="s">
        <v>741</v>
      </c>
      <c r="B96" s="7">
        <v>0</v>
      </c>
      <c r="C96" t="s">
        <v>1237</v>
      </c>
      <c r="D96">
        <v>55</v>
      </c>
      <c r="G96" t="s">
        <v>1176</v>
      </c>
      <c r="H96">
        <v>0</v>
      </c>
      <c r="J96">
        <f>IF(COUNTIF(Sheet4!A:A,A96)&gt;0,VLOOKUP(A96,Sheet4!A:B,2,FALSE),"NotFound")</f>
        <v>0</v>
      </c>
      <c r="K96" t="str">
        <f t="shared" si="1"/>
        <v>Match</v>
      </c>
    </row>
    <row r="97" spans="1:11" x14ac:dyDescent="0.35">
      <c r="A97" s="3" t="s">
        <v>762</v>
      </c>
      <c r="B97" s="7">
        <v>6428</v>
      </c>
      <c r="C97" t="s">
        <v>1238</v>
      </c>
      <c r="D97">
        <v>103</v>
      </c>
      <c r="G97" t="s">
        <v>1186</v>
      </c>
      <c r="H97">
        <v>0</v>
      </c>
      <c r="J97">
        <f>IF(COUNTIF(Sheet4!A:A,A97)&gt;0,VLOOKUP(A97,Sheet4!A:B,2,FALSE),"NotFound")</f>
        <v>6428</v>
      </c>
      <c r="K97" t="str">
        <f t="shared" si="1"/>
        <v>Match</v>
      </c>
    </row>
    <row r="98" spans="1:11" x14ac:dyDescent="0.35">
      <c r="A98" s="3" t="s">
        <v>764</v>
      </c>
      <c r="B98" s="7">
        <v>0</v>
      </c>
      <c r="C98" t="s">
        <v>1239</v>
      </c>
      <c r="D98">
        <v>8</v>
      </c>
      <c r="G98" t="s">
        <v>1182</v>
      </c>
      <c r="H98">
        <v>0</v>
      </c>
      <c r="J98">
        <f>IF(COUNTIF(Sheet4!A:A,A98)&gt;0,VLOOKUP(A98,Sheet4!A:B,2,FALSE),"NotFound")</f>
        <v>0</v>
      </c>
      <c r="K98" t="str">
        <f t="shared" si="1"/>
        <v>Match</v>
      </c>
    </row>
    <row r="99" spans="1:11" x14ac:dyDescent="0.35">
      <c r="A99" s="3" t="s">
        <v>765</v>
      </c>
      <c r="B99" s="7">
        <v>87387</v>
      </c>
      <c r="C99" t="s">
        <v>1240</v>
      </c>
      <c r="D99">
        <v>9</v>
      </c>
      <c r="G99" t="s">
        <v>649</v>
      </c>
      <c r="H99">
        <v>0</v>
      </c>
      <c r="J99">
        <f>IF(COUNTIF(Sheet4!A:A,A99)&gt;0,VLOOKUP(A99,Sheet4!A:B,2,FALSE),"NotFound")</f>
        <v>87387</v>
      </c>
      <c r="K99" t="str">
        <f t="shared" si="1"/>
        <v>Match</v>
      </c>
    </row>
    <row r="100" spans="1:11" x14ac:dyDescent="0.35">
      <c r="A100" s="3" t="s">
        <v>763</v>
      </c>
      <c r="B100" s="7">
        <v>6460</v>
      </c>
      <c r="C100" t="s">
        <v>1241</v>
      </c>
      <c r="D100">
        <v>93</v>
      </c>
      <c r="G100" t="s">
        <v>655</v>
      </c>
      <c r="H100">
        <v>403197</v>
      </c>
      <c r="J100">
        <f>IF(COUNTIF(Sheet4!A:A,A100)&gt;0,VLOOKUP(A100,Sheet4!A:B,2,FALSE),"NotFound")</f>
        <v>6460</v>
      </c>
      <c r="K100" t="str">
        <f t="shared" si="1"/>
        <v>Match</v>
      </c>
    </row>
    <row r="101" spans="1:11" x14ac:dyDescent="0.35">
      <c r="A101" s="3" t="s">
        <v>1129</v>
      </c>
      <c r="B101" s="7">
        <v>0</v>
      </c>
      <c r="C101" t="s">
        <v>1241</v>
      </c>
      <c r="D101">
        <v>93</v>
      </c>
      <c r="G101" t="s">
        <v>656</v>
      </c>
      <c r="H101">
        <v>442649</v>
      </c>
      <c r="J101">
        <f>IF(COUNTIF(Sheet4!A:A,A101)&gt;0,VLOOKUP(A101,Sheet4!A:B,2,FALSE),"NotFound")</f>
        <v>0</v>
      </c>
      <c r="K101" t="str">
        <f t="shared" si="1"/>
        <v>Match</v>
      </c>
    </row>
    <row r="102" spans="1:11" x14ac:dyDescent="0.35">
      <c r="A102" s="3" t="s">
        <v>910</v>
      </c>
      <c r="B102" s="7">
        <v>0</v>
      </c>
      <c r="C102" t="s">
        <v>1198</v>
      </c>
      <c r="D102">
        <v>100</v>
      </c>
      <c r="G102" t="s">
        <v>667</v>
      </c>
      <c r="H102">
        <v>0</v>
      </c>
      <c r="J102">
        <f>IF(COUNTIF(Sheet4!A:A,A102)&gt;0,VLOOKUP(A102,Sheet4!A:B,2,FALSE),"NotFound")</f>
        <v>0</v>
      </c>
      <c r="K102" t="str">
        <f t="shared" si="1"/>
        <v>Match</v>
      </c>
    </row>
    <row r="103" spans="1:11" x14ac:dyDescent="0.35">
      <c r="A103" s="3" t="s">
        <v>915</v>
      </c>
      <c r="B103" s="7">
        <v>0</v>
      </c>
      <c r="C103" t="s">
        <v>1198</v>
      </c>
      <c r="D103">
        <v>100</v>
      </c>
      <c r="G103" t="s">
        <v>670</v>
      </c>
      <c r="H103">
        <v>0</v>
      </c>
      <c r="J103">
        <f>IF(COUNTIF(Sheet4!A:A,A103)&gt;0,VLOOKUP(A103,Sheet4!A:B,2,FALSE),"NotFound")</f>
        <v>0</v>
      </c>
      <c r="K103" t="str">
        <f t="shared" si="1"/>
        <v>Match</v>
      </c>
    </row>
    <row r="104" spans="1:11" x14ac:dyDescent="0.35">
      <c r="A104" s="3" t="s">
        <v>916</v>
      </c>
      <c r="B104" s="7">
        <v>0</v>
      </c>
      <c r="C104" t="s">
        <v>1242</v>
      </c>
      <c r="D104">
        <v>102</v>
      </c>
      <c r="G104" t="s">
        <v>701</v>
      </c>
      <c r="H104">
        <v>0</v>
      </c>
      <c r="J104">
        <f>IF(COUNTIF(Sheet4!A:A,A104)&gt;0,VLOOKUP(A104,Sheet4!A:B,2,FALSE),"NotFound")</f>
        <v>0</v>
      </c>
      <c r="K104" t="str">
        <f t="shared" si="1"/>
        <v>Match</v>
      </c>
    </row>
    <row r="105" spans="1:11" x14ac:dyDescent="0.35">
      <c r="A105" s="3" t="s">
        <v>919</v>
      </c>
      <c r="B105" s="7">
        <v>263763</v>
      </c>
      <c r="C105" t="s">
        <v>1243</v>
      </c>
      <c r="D105">
        <v>13</v>
      </c>
      <c r="G105" t="s">
        <v>653</v>
      </c>
      <c r="H105">
        <v>0</v>
      </c>
      <c r="J105">
        <f>IF(COUNTIF(Sheet4!A:A,A105)&gt;0,VLOOKUP(A105,Sheet4!A:B,2,FALSE),"NotFound")</f>
        <v>263763</v>
      </c>
      <c r="K105" t="str">
        <f t="shared" si="1"/>
        <v>Match</v>
      </c>
    </row>
    <row r="106" spans="1:11" x14ac:dyDescent="0.35">
      <c r="A106" s="3" t="s">
        <v>1110</v>
      </c>
      <c r="B106" s="7">
        <v>0</v>
      </c>
      <c r="C106" t="s">
        <v>1243</v>
      </c>
      <c r="D106">
        <v>13</v>
      </c>
      <c r="G106" t="s">
        <v>652</v>
      </c>
      <c r="H106">
        <v>0</v>
      </c>
      <c r="J106">
        <f>IF(COUNTIF(Sheet4!A:A,A106)&gt;0,VLOOKUP(A106,Sheet4!A:B,2,FALSE),"NotFound")</f>
        <v>0</v>
      </c>
      <c r="K106" t="str">
        <f t="shared" si="1"/>
        <v>Match</v>
      </c>
    </row>
    <row r="107" spans="1:11" x14ac:dyDescent="0.35">
      <c r="A107" s="3" t="s">
        <v>805</v>
      </c>
      <c r="B107" s="7">
        <v>66206</v>
      </c>
      <c r="C107" t="s">
        <v>1244</v>
      </c>
      <c r="D107">
        <v>4</v>
      </c>
      <c r="G107" t="s">
        <v>702</v>
      </c>
      <c r="H107">
        <v>0</v>
      </c>
      <c r="J107">
        <f>IF(COUNTIF(Sheet4!A:A,A107)&gt;0,VLOOKUP(A107,Sheet4!A:B,2,FALSE),"NotFound")</f>
        <v>66206</v>
      </c>
      <c r="K107" t="str">
        <f t="shared" si="1"/>
        <v>Match</v>
      </c>
    </row>
    <row r="108" spans="1:11" x14ac:dyDescent="0.35">
      <c r="A108" s="3" t="s">
        <v>908</v>
      </c>
      <c r="B108" s="7">
        <v>1043431</v>
      </c>
      <c r="C108" t="s">
        <v>1201</v>
      </c>
      <c r="D108">
        <v>98</v>
      </c>
      <c r="G108" t="s">
        <v>720</v>
      </c>
      <c r="H108">
        <v>0</v>
      </c>
      <c r="J108">
        <f>IF(COUNTIF(Sheet4!A:A,A108)&gt;0,VLOOKUP(A108,Sheet4!A:B,2,FALSE),"NotFound")</f>
        <v>1043431</v>
      </c>
      <c r="K108" t="str">
        <f t="shared" si="1"/>
        <v>Match</v>
      </c>
    </row>
    <row r="109" spans="1:11" x14ac:dyDescent="0.35">
      <c r="A109" s="3" t="s">
        <v>800</v>
      </c>
      <c r="B109" s="7">
        <v>15179486</v>
      </c>
      <c r="C109" t="s">
        <v>1204</v>
      </c>
      <c r="D109">
        <v>72</v>
      </c>
      <c r="G109" t="s">
        <v>745</v>
      </c>
      <c r="H109">
        <v>0</v>
      </c>
      <c r="J109">
        <f>IF(COUNTIF(Sheet4!A:A,A109)&gt;0,VLOOKUP(A109,Sheet4!A:B,2,FALSE),"NotFound")</f>
        <v>15179486</v>
      </c>
      <c r="K109" t="str">
        <f t="shared" si="1"/>
        <v>Match</v>
      </c>
    </row>
    <row r="110" spans="1:11" x14ac:dyDescent="0.35">
      <c r="A110" s="3" t="s">
        <v>769</v>
      </c>
      <c r="B110" s="7">
        <v>960</v>
      </c>
      <c r="C110" t="s">
        <v>1245</v>
      </c>
      <c r="D110">
        <v>1</v>
      </c>
      <c r="G110" t="s">
        <v>757</v>
      </c>
      <c r="H110">
        <v>39396</v>
      </c>
      <c r="J110">
        <f>IF(COUNTIF(Sheet4!A:A,A110)&gt;0,VLOOKUP(A110,Sheet4!A:B,2,FALSE),"NotFound")</f>
        <v>960</v>
      </c>
      <c r="K110" t="str">
        <f t="shared" si="1"/>
        <v>Match</v>
      </c>
    </row>
    <row r="111" spans="1:11" x14ac:dyDescent="0.35">
      <c r="A111" s="3" t="s">
        <v>791</v>
      </c>
      <c r="B111" s="7">
        <v>0</v>
      </c>
      <c r="C111" t="s">
        <v>1246</v>
      </c>
      <c r="D111">
        <v>64</v>
      </c>
      <c r="G111" t="s">
        <v>793</v>
      </c>
      <c r="H111">
        <v>0</v>
      </c>
      <c r="J111">
        <f>IF(COUNTIF(Sheet4!A:A,A111)&gt;0,VLOOKUP(A111,Sheet4!A:B,2,FALSE),"NotFound")</f>
        <v>0</v>
      </c>
      <c r="K111" t="str">
        <f t="shared" si="1"/>
        <v>Match</v>
      </c>
    </row>
    <row r="112" spans="1:11" x14ac:dyDescent="0.35">
      <c r="A112" s="3" t="s">
        <v>794</v>
      </c>
      <c r="B112" s="7">
        <v>0</v>
      </c>
      <c r="C112" t="s">
        <v>1246</v>
      </c>
      <c r="D112">
        <v>64</v>
      </c>
      <c r="G112" t="s">
        <v>782</v>
      </c>
      <c r="H112">
        <v>0</v>
      </c>
      <c r="J112">
        <f>IF(COUNTIF(Sheet4!A:A,A112)&gt;0,VLOOKUP(A112,Sheet4!A:B,2,FALSE),"NotFound")</f>
        <v>0</v>
      </c>
      <c r="K112" t="str">
        <f t="shared" si="1"/>
        <v>Match</v>
      </c>
    </row>
    <row r="113" spans="1:11" x14ac:dyDescent="0.35">
      <c r="A113" s="3" t="s">
        <v>795</v>
      </c>
      <c r="B113" s="7">
        <v>0</v>
      </c>
      <c r="C113" t="s">
        <v>1246</v>
      </c>
      <c r="D113">
        <v>64</v>
      </c>
      <c r="G113" t="s">
        <v>772</v>
      </c>
      <c r="H113">
        <v>0</v>
      </c>
      <c r="J113">
        <f>IF(COUNTIF(Sheet4!A:A,A113)&gt;0,VLOOKUP(A113,Sheet4!A:B,2,FALSE),"NotFound")</f>
        <v>0</v>
      </c>
      <c r="K113" t="str">
        <f t="shared" si="1"/>
        <v>Match</v>
      </c>
    </row>
    <row r="114" spans="1:11" x14ac:dyDescent="0.35">
      <c r="A114" s="3" t="s">
        <v>796</v>
      </c>
      <c r="B114" s="7">
        <v>0</v>
      </c>
      <c r="C114" t="s">
        <v>1209</v>
      </c>
      <c r="D114">
        <v>91</v>
      </c>
      <c r="G114" t="s">
        <v>780</v>
      </c>
      <c r="H114">
        <v>0</v>
      </c>
      <c r="J114">
        <f>IF(COUNTIF(Sheet4!A:A,A114)&gt;0,VLOOKUP(A114,Sheet4!A:B,2,FALSE),"NotFound")</f>
        <v>0</v>
      </c>
      <c r="K114" t="str">
        <f t="shared" si="1"/>
        <v>Match</v>
      </c>
    </row>
    <row r="115" spans="1:11" x14ac:dyDescent="0.35">
      <c r="A115" s="3" t="s">
        <v>770</v>
      </c>
      <c r="B115" s="7">
        <v>3998098</v>
      </c>
      <c r="C115" t="s">
        <v>1209</v>
      </c>
      <c r="D115">
        <v>91</v>
      </c>
      <c r="G115" t="s">
        <v>775</v>
      </c>
      <c r="H115">
        <v>577165</v>
      </c>
      <c r="J115">
        <f>IF(COUNTIF(Sheet4!A:A,A115)&gt;0,VLOOKUP(A115,Sheet4!A:B,2,FALSE),"NotFound")</f>
        <v>3998098</v>
      </c>
      <c r="K115" t="str">
        <f t="shared" si="1"/>
        <v>Match</v>
      </c>
    </row>
    <row r="116" spans="1:11" x14ac:dyDescent="0.35">
      <c r="A116" s="3" t="s">
        <v>776</v>
      </c>
      <c r="B116" s="7">
        <v>3998098</v>
      </c>
      <c r="C116" t="s">
        <v>1209</v>
      </c>
      <c r="D116">
        <v>2</v>
      </c>
      <c r="G116" t="s">
        <v>771</v>
      </c>
      <c r="H116">
        <v>536243</v>
      </c>
      <c r="J116">
        <f>IF(COUNTIF(Sheet4!A:A,A116)&gt;0,VLOOKUP(A116,Sheet4!A:B,2,FALSE),"NotFound")</f>
        <v>3998098</v>
      </c>
      <c r="K116" t="str">
        <f t="shared" si="1"/>
        <v>Match</v>
      </c>
    </row>
    <row r="117" spans="1:11" x14ac:dyDescent="0.35">
      <c r="A117" s="3" t="s">
        <v>778</v>
      </c>
      <c r="B117" s="7">
        <v>0</v>
      </c>
      <c r="C117" t="s">
        <v>1209</v>
      </c>
      <c r="D117">
        <v>2</v>
      </c>
      <c r="G117" t="s">
        <v>787</v>
      </c>
      <c r="H117">
        <v>0</v>
      </c>
      <c r="J117">
        <f>IF(COUNTIF(Sheet4!A:A,A117)&gt;0,VLOOKUP(A117,Sheet4!A:B,2,FALSE),"NotFound")</f>
        <v>0</v>
      </c>
      <c r="K117" t="str">
        <f t="shared" si="1"/>
        <v>Match</v>
      </c>
    </row>
    <row r="118" spans="1:11" x14ac:dyDescent="0.35">
      <c r="A118" s="3" t="s">
        <v>779</v>
      </c>
      <c r="B118" s="7">
        <v>0</v>
      </c>
      <c r="C118" t="s">
        <v>1209</v>
      </c>
      <c r="D118">
        <v>2</v>
      </c>
      <c r="G118" t="s">
        <v>782</v>
      </c>
      <c r="H118">
        <v>0</v>
      </c>
      <c r="J118">
        <f>IF(COUNTIF(Sheet4!A:A,A118)&gt;0,VLOOKUP(A118,Sheet4!A:B,2,FALSE),"NotFound")</f>
        <v>0</v>
      </c>
      <c r="K118" t="str">
        <f t="shared" si="1"/>
        <v>Match</v>
      </c>
    </row>
    <row r="119" spans="1:11" x14ac:dyDescent="0.35">
      <c r="A119" s="3" t="s">
        <v>777</v>
      </c>
      <c r="B119" s="7">
        <v>0</v>
      </c>
      <c r="C119" t="s">
        <v>1209</v>
      </c>
      <c r="D119">
        <v>2</v>
      </c>
      <c r="G119" t="s">
        <v>785</v>
      </c>
      <c r="H119">
        <v>0</v>
      </c>
      <c r="J119">
        <f>IF(COUNTIF(Sheet4!A:A,A119)&gt;0,VLOOKUP(A119,Sheet4!A:B,2,FALSE),"NotFound")</f>
        <v>0</v>
      </c>
      <c r="K119" t="str">
        <f t="shared" si="1"/>
        <v>Match</v>
      </c>
    </row>
    <row r="120" spans="1:11" x14ac:dyDescent="0.35">
      <c r="A120" s="3" t="s">
        <v>784</v>
      </c>
      <c r="B120" s="7">
        <v>0</v>
      </c>
      <c r="C120" t="s">
        <v>1212</v>
      </c>
      <c r="D120">
        <v>16</v>
      </c>
      <c r="G120" t="s">
        <v>855</v>
      </c>
      <c r="H120">
        <v>0</v>
      </c>
      <c r="J120">
        <f>IF(COUNTIF(Sheet4!A:A,A120)&gt;0,VLOOKUP(A120,Sheet4!A:B,2,FALSE),"NotFound")</f>
        <v>0</v>
      </c>
      <c r="K120" t="str">
        <f t="shared" si="1"/>
        <v>Match</v>
      </c>
    </row>
    <row r="121" spans="1:11" x14ac:dyDescent="0.35">
      <c r="A121" s="3" t="s">
        <v>771</v>
      </c>
      <c r="B121" s="7">
        <v>10583254</v>
      </c>
      <c r="C121" t="s">
        <v>1212</v>
      </c>
      <c r="D121">
        <v>16</v>
      </c>
      <c r="G121" t="s">
        <v>847</v>
      </c>
      <c r="H121">
        <v>0</v>
      </c>
      <c r="J121">
        <f>IF(COUNTIF(Sheet4!A:A,A121)&gt;0,VLOOKUP(A121,Sheet4!A:B,2,FALSE),"NotFound")</f>
        <v>10583254</v>
      </c>
      <c r="K121" t="str">
        <f t="shared" si="1"/>
        <v>Match</v>
      </c>
    </row>
    <row r="122" spans="1:11" x14ac:dyDescent="0.35">
      <c r="A122" s="3" t="s">
        <v>785</v>
      </c>
      <c r="B122" s="7">
        <v>0</v>
      </c>
      <c r="C122" t="s">
        <v>1212</v>
      </c>
      <c r="D122">
        <v>16</v>
      </c>
      <c r="G122" t="s">
        <v>858</v>
      </c>
      <c r="H122">
        <v>0</v>
      </c>
      <c r="J122">
        <f>IF(COUNTIF(Sheet4!A:A,A122)&gt;0,VLOOKUP(A122,Sheet4!A:B,2,FALSE),"NotFound")</f>
        <v>0</v>
      </c>
      <c r="K122" t="str">
        <f t="shared" si="1"/>
        <v>Match</v>
      </c>
    </row>
    <row r="123" spans="1:11" x14ac:dyDescent="0.35">
      <c r="A123" s="3" t="s">
        <v>783</v>
      </c>
      <c r="B123" s="7">
        <v>0</v>
      </c>
      <c r="C123" t="s">
        <v>1212</v>
      </c>
      <c r="D123">
        <v>16</v>
      </c>
      <c r="G123" t="s">
        <v>862</v>
      </c>
      <c r="H123">
        <v>0</v>
      </c>
      <c r="J123">
        <f>IF(COUNTIF(Sheet4!A:A,A123)&gt;0,VLOOKUP(A123,Sheet4!A:B,2,FALSE),"NotFound")</f>
        <v>0</v>
      </c>
      <c r="K123" t="str">
        <f t="shared" si="1"/>
        <v>Match</v>
      </c>
    </row>
    <row r="124" spans="1:11" x14ac:dyDescent="0.35">
      <c r="A124" s="3" t="s">
        <v>792</v>
      </c>
      <c r="B124" s="7">
        <v>0</v>
      </c>
      <c r="C124" t="s">
        <v>1212</v>
      </c>
      <c r="D124">
        <v>16</v>
      </c>
      <c r="G124" t="s">
        <v>865</v>
      </c>
      <c r="H124">
        <v>0</v>
      </c>
      <c r="J124">
        <f>IF(COUNTIF(Sheet4!A:A,A124)&gt;0,VLOOKUP(A124,Sheet4!A:B,2,FALSE),"NotFound")</f>
        <v>0</v>
      </c>
      <c r="K124" t="str">
        <f t="shared" si="1"/>
        <v>Match</v>
      </c>
    </row>
    <row r="125" spans="1:11" x14ac:dyDescent="0.35">
      <c r="A125" s="3" t="s">
        <v>772</v>
      </c>
      <c r="B125" s="7">
        <v>0</v>
      </c>
      <c r="C125" t="s">
        <v>1212</v>
      </c>
      <c r="D125">
        <v>16</v>
      </c>
      <c r="G125" t="s">
        <v>830</v>
      </c>
      <c r="H125">
        <v>2</v>
      </c>
      <c r="J125">
        <f>IF(COUNTIF(Sheet4!A:A,A125)&gt;0,VLOOKUP(A125,Sheet4!A:B,2,FALSE),"NotFound")</f>
        <v>0</v>
      </c>
      <c r="K125" t="str">
        <f t="shared" si="1"/>
        <v>Match</v>
      </c>
    </row>
    <row r="126" spans="1:11" x14ac:dyDescent="0.35">
      <c r="A126" s="3" t="s">
        <v>790</v>
      </c>
      <c r="B126" s="7">
        <v>0</v>
      </c>
      <c r="C126" t="s">
        <v>1212</v>
      </c>
      <c r="D126">
        <v>16</v>
      </c>
      <c r="G126" t="s">
        <v>878</v>
      </c>
      <c r="H126">
        <v>0</v>
      </c>
      <c r="J126">
        <f>IF(COUNTIF(Sheet4!A:A,A126)&gt;0,VLOOKUP(A126,Sheet4!A:B,2,FALSE),"NotFound")</f>
        <v>0</v>
      </c>
      <c r="K126" t="str">
        <f t="shared" si="1"/>
        <v>Match</v>
      </c>
    </row>
    <row r="127" spans="1:11" x14ac:dyDescent="0.35">
      <c r="A127" s="3" t="s">
        <v>793</v>
      </c>
      <c r="B127" s="7">
        <v>10583254</v>
      </c>
      <c r="C127" t="s">
        <v>1212</v>
      </c>
      <c r="D127">
        <v>16</v>
      </c>
      <c r="G127" t="s">
        <v>834</v>
      </c>
      <c r="H127">
        <v>2</v>
      </c>
      <c r="J127">
        <f>IF(COUNTIF(Sheet4!A:A,A127)&gt;0,VLOOKUP(A127,Sheet4!A:B,2,FALSE),"NotFound")</f>
        <v>10583254</v>
      </c>
      <c r="K127" t="str">
        <f t="shared" si="1"/>
        <v>Match</v>
      </c>
    </row>
    <row r="128" spans="1:11" x14ac:dyDescent="0.35">
      <c r="A128" s="3" t="s">
        <v>786</v>
      </c>
      <c r="B128" s="7">
        <v>0</v>
      </c>
      <c r="C128" t="s">
        <v>1212</v>
      </c>
      <c r="D128">
        <v>16</v>
      </c>
      <c r="G128" t="s">
        <v>819</v>
      </c>
      <c r="H128">
        <v>0</v>
      </c>
      <c r="J128">
        <f>IF(COUNTIF(Sheet4!A:A,A128)&gt;0,VLOOKUP(A128,Sheet4!A:B,2,FALSE),"NotFound")</f>
        <v>0</v>
      </c>
      <c r="K128" t="str">
        <f t="shared" si="1"/>
        <v>Match</v>
      </c>
    </row>
    <row r="129" spans="1:11" x14ac:dyDescent="0.35">
      <c r="A129" s="3" t="s">
        <v>780</v>
      </c>
      <c r="B129" s="7">
        <v>0</v>
      </c>
      <c r="C129" t="s">
        <v>1212</v>
      </c>
      <c r="D129">
        <v>16</v>
      </c>
      <c r="G129" t="s">
        <v>832</v>
      </c>
      <c r="H129">
        <v>2</v>
      </c>
      <c r="J129">
        <f>IF(COUNTIF(Sheet4!A:A,A129)&gt;0,VLOOKUP(A129,Sheet4!A:B,2,FALSE),"NotFound")</f>
        <v>0</v>
      </c>
      <c r="K129" t="str">
        <f t="shared" si="1"/>
        <v>Match</v>
      </c>
    </row>
    <row r="130" spans="1:11" x14ac:dyDescent="0.35">
      <c r="A130" s="3" t="s">
        <v>773</v>
      </c>
      <c r="B130" s="7">
        <v>0</v>
      </c>
      <c r="C130" t="s">
        <v>1212</v>
      </c>
      <c r="D130">
        <v>16</v>
      </c>
      <c r="G130" t="s">
        <v>844</v>
      </c>
      <c r="H130">
        <v>0</v>
      </c>
      <c r="J130">
        <f>IF(COUNTIF(Sheet4!A:A,A130)&gt;0,VLOOKUP(A130,Sheet4!A:B,2,FALSE),"NotFound")</f>
        <v>0</v>
      </c>
      <c r="K130" t="str">
        <f t="shared" si="1"/>
        <v>Match</v>
      </c>
    </row>
    <row r="131" spans="1:11" x14ac:dyDescent="0.35">
      <c r="A131" s="3" t="s">
        <v>787</v>
      </c>
      <c r="B131" s="7">
        <v>0</v>
      </c>
      <c r="C131" t="s">
        <v>1212</v>
      </c>
      <c r="D131">
        <v>16</v>
      </c>
      <c r="G131" t="s">
        <v>896</v>
      </c>
      <c r="H131">
        <v>0</v>
      </c>
      <c r="J131">
        <f>IF(COUNTIF(Sheet4!A:A,A131)&gt;0,VLOOKUP(A131,Sheet4!A:B,2,FALSE),"NotFound")</f>
        <v>0</v>
      </c>
      <c r="K131" t="str">
        <f t="shared" ref="K131:K194" si="2">IF(B131=J131,"Match","Mis Match")</f>
        <v>Match</v>
      </c>
    </row>
    <row r="132" spans="1:11" x14ac:dyDescent="0.35">
      <c r="A132" s="3" t="s">
        <v>788</v>
      </c>
      <c r="B132" s="7">
        <v>0</v>
      </c>
      <c r="C132" t="s">
        <v>1212</v>
      </c>
      <c r="D132">
        <v>16</v>
      </c>
      <c r="G132" t="s">
        <v>900</v>
      </c>
      <c r="H132">
        <v>0</v>
      </c>
      <c r="J132">
        <f>IF(COUNTIF(Sheet4!A:A,A132)&gt;0,VLOOKUP(A132,Sheet4!A:B,2,FALSE),"NotFound")</f>
        <v>0</v>
      </c>
      <c r="K132" t="str">
        <f t="shared" si="2"/>
        <v>Match</v>
      </c>
    </row>
    <row r="133" spans="1:11" x14ac:dyDescent="0.35">
      <c r="A133" s="3" t="s">
        <v>782</v>
      </c>
      <c r="B133" s="7">
        <v>0</v>
      </c>
      <c r="C133" t="s">
        <v>1247</v>
      </c>
      <c r="D133">
        <v>83</v>
      </c>
      <c r="G133" t="s">
        <v>801</v>
      </c>
      <c r="H133">
        <v>0</v>
      </c>
      <c r="J133">
        <f>IF(COUNTIF(Sheet4!A:A,A133)&gt;0,VLOOKUP(A133,Sheet4!A:B,2,FALSE),"NotFound")</f>
        <v>0</v>
      </c>
      <c r="K133" t="str">
        <f t="shared" si="2"/>
        <v>Match</v>
      </c>
    </row>
    <row r="134" spans="1:11" x14ac:dyDescent="0.35">
      <c r="A134" s="3" t="s">
        <v>774</v>
      </c>
      <c r="B134" s="7">
        <v>0</v>
      </c>
      <c r="C134" t="s">
        <v>1220</v>
      </c>
      <c r="D134">
        <v>17</v>
      </c>
      <c r="G134" t="s">
        <v>927</v>
      </c>
      <c r="H134">
        <v>0</v>
      </c>
      <c r="J134">
        <f>IF(COUNTIF(Sheet4!A:A,A134)&gt;0,VLOOKUP(A134,Sheet4!A:B,2,FALSE),"NotFound")</f>
        <v>0</v>
      </c>
      <c r="K134" t="str">
        <f t="shared" si="2"/>
        <v>Match</v>
      </c>
    </row>
    <row r="135" spans="1:11" x14ac:dyDescent="0.35">
      <c r="A135" s="3" t="s">
        <v>775</v>
      </c>
      <c r="B135" s="7">
        <v>598134</v>
      </c>
      <c r="C135" t="s">
        <v>1220</v>
      </c>
      <c r="D135">
        <v>17</v>
      </c>
      <c r="G135" t="s">
        <v>926</v>
      </c>
      <c r="H135">
        <v>0</v>
      </c>
      <c r="J135">
        <f>IF(COUNTIF(Sheet4!A:A,A135)&gt;0,VLOOKUP(A135,Sheet4!A:B,2,FALSE),"NotFound")</f>
        <v>598134</v>
      </c>
      <c r="K135" t="str">
        <f t="shared" si="2"/>
        <v>Match</v>
      </c>
    </row>
    <row r="136" spans="1:11" x14ac:dyDescent="0.35">
      <c r="A136" s="3" t="s">
        <v>802</v>
      </c>
      <c r="B136" s="7">
        <v>0</v>
      </c>
      <c r="C136" t="s">
        <v>1221</v>
      </c>
      <c r="D136">
        <v>63</v>
      </c>
      <c r="G136" t="s">
        <v>929</v>
      </c>
      <c r="H136">
        <v>0</v>
      </c>
      <c r="J136">
        <f>IF(COUNTIF(Sheet4!A:A,A136)&gt;0,VLOOKUP(A136,Sheet4!A:B,2,FALSE),"NotFound")</f>
        <v>0</v>
      </c>
      <c r="K136" t="str">
        <f t="shared" si="2"/>
        <v>Match</v>
      </c>
    </row>
    <row r="137" spans="1:11" x14ac:dyDescent="0.35">
      <c r="A137" s="3" t="s">
        <v>803</v>
      </c>
      <c r="B137" s="7">
        <v>2</v>
      </c>
      <c r="C137" t="s">
        <v>1248</v>
      </c>
      <c r="D137">
        <v>85</v>
      </c>
      <c r="G137" t="s">
        <v>939</v>
      </c>
      <c r="H137">
        <v>0</v>
      </c>
      <c r="J137">
        <f>IF(COUNTIF(Sheet4!A:A,A137)&gt;0,VLOOKUP(A137,Sheet4!A:B,2,FALSE),"NotFound")</f>
        <v>2</v>
      </c>
      <c r="K137" t="str">
        <f t="shared" si="2"/>
        <v>Match</v>
      </c>
    </row>
    <row r="138" spans="1:11" x14ac:dyDescent="0.35">
      <c r="A138" s="3" t="s">
        <v>781</v>
      </c>
      <c r="B138" s="7">
        <v>0</v>
      </c>
      <c r="C138" t="s">
        <v>1223</v>
      </c>
      <c r="D138">
        <v>82</v>
      </c>
      <c r="G138" t="s">
        <v>944</v>
      </c>
      <c r="H138">
        <v>0</v>
      </c>
      <c r="J138">
        <f>IF(COUNTIF(Sheet4!A:A,A138)&gt;0,VLOOKUP(A138,Sheet4!A:B,2,FALSE),"NotFound")</f>
        <v>0</v>
      </c>
      <c r="K138" t="str">
        <f t="shared" si="2"/>
        <v>Match</v>
      </c>
    </row>
    <row r="139" spans="1:11" x14ac:dyDescent="0.35">
      <c r="A139" s="3" t="s">
        <v>911</v>
      </c>
      <c r="B139" s="7">
        <v>14725</v>
      </c>
      <c r="C139" t="s">
        <v>1249</v>
      </c>
      <c r="D139">
        <v>87</v>
      </c>
      <c r="G139" t="s">
        <v>949</v>
      </c>
      <c r="H139">
        <v>0</v>
      </c>
      <c r="J139">
        <f>IF(COUNTIF(Sheet4!A:A,A139)&gt;0,VLOOKUP(A139,Sheet4!A:B,2,FALSE),"NotFound")</f>
        <v>14725</v>
      </c>
      <c r="K139" t="str">
        <f t="shared" si="2"/>
        <v>Match</v>
      </c>
    </row>
    <row r="140" spans="1:11" x14ac:dyDescent="0.35">
      <c r="A140" s="3" t="s">
        <v>918</v>
      </c>
      <c r="B140" s="7">
        <v>0</v>
      </c>
      <c r="C140" t="s">
        <v>1250</v>
      </c>
      <c r="D140">
        <v>88</v>
      </c>
      <c r="G140" t="s">
        <v>952</v>
      </c>
      <c r="H140">
        <v>0</v>
      </c>
      <c r="J140">
        <f>IF(COUNTIF(Sheet4!A:A,A140)&gt;0,VLOOKUP(A140,Sheet4!A:B,2,FALSE),"NotFound")</f>
        <v>0</v>
      </c>
      <c r="K140" t="str">
        <f t="shared" si="2"/>
        <v>Match</v>
      </c>
    </row>
    <row r="141" spans="1:11" x14ac:dyDescent="0.35">
      <c r="A141" s="3" t="s">
        <v>917</v>
      </c>
      <c r="B141" s="7">
        <v>59</v>
      </c>
      <c r="C141" t="s">
        <v>1250</v>
      </c>
      <c r="D141">
        <v>88</v>
      </c>
      <c r="G141" t="s">
        <v>954</v>
      </c>
      <c r="H141">
        <v>0</v>
      </c>
      <c r="J141">
        <f>IF(COUNTIF(Sheet4!A:A,A141)&gt;0,VLOOKUP(A141,Sheet4!A:B,2,FALSE),"NotFound")</f>
        <v>59</v>
      </c>
      <c r="K141" t="str">
        <f t="shared" si="2"/>
        <v>Match</v>
      </c>
    </row>
    <row r="142" spans="1:11" x14ac:dyDescent="0.35">
      <c r="A142" s="3" t="s">
        <v>963</v>
      </c>
      <c r="B142" s="7">
        <v>0</v>
      </c>
      <c r="C142" t="s">
        <v>1251</v>
      </c>
      <c r="D142">
        <v>22</v>
      </c>
      <c r="G142" t="s">
        <v>975</v>
      </c>
      <c r="H142">
        <v>0</v>
      </c>
      <c r="J142">
        <f>IF(COUNTIF(Sheet4!A:A,A142)&gt;0,VLOOKUP(A142,Sheet4!A:B,2,FALSE),"NotFound")</f>
        <v>0</v>
      </c>
      <c r="K142" t="str">
        <f t="shared" si="2"/>
        <v>Match</v>
      </c>
    </row>
    <row r="143" spans="1:11" x14ac:dyDescent="0.35">
      <c r="A143" s="3" t="s">
        <v>808</v>
      </c>
      <c r="B143" s="7">
        <v>0</v>
      </c>
      <c r="C143" t="s">
        <v>1226</v>
      </c>
      <c r="D143">
        <v>37</v>
      </c>
      <c r="G143" t="s">
        <v>978</v>
      </c>
      <c r="H143">
        <v>5749</v>
      </c>
      <c r="J143">
        <f>IF(COUNTIF(Sheet4!A:A,A143)&gt;0,VLOOKUP(A143,Sheet4!A:B,2,FALSE),"NotFound")</f>
        <v>0</v>
      </c>
      <c r="K143" t="str">
        <f t="shared" si="2"/>
        <v>Match</v>
      </c>
    </row>
    <row r="144" spans="1:11" x14ac:dyDescent="0.35">
      <c r="A144" s="3" t="s">
        <v>907</v>
      </c>
      <c r="B144" s="7">
        <v>282</v>
      </c>
      <c r="C144" t="s">
        <v>1226</v>
      </c>
      <c r="D144">
        <v>38</v>
      </c>
      <c r="G144" t="s">
        <v>978</v>
      </c>
      <c r="H144">
        <v>153</v>
      </c>
      <c r="J144">
        <f>IF(COUNTIF(Sheet4!A:A,A144)&gt;0,VLOOKUP(A144,Sheet4!A:B,2,FALSE),"NotFound")</f>
        <v>282</v>
      </c>
      <c r="K144" t="str">
        <f t="shared" si="2"/>
        <v>Match</v>
      </c>
    </row>
    <row r="145" spans="1:11" x14ac:dyDescent="0.35">
      <c r="A145" s="3" t="s">
        <v>853</v>
      </c>
      <c r="B145" s="7">
        <v>0</v>
      </c>
      <c r="C145" t="s">
        <v>1226</v>
      </c>
      <c r="D145">
        <v>36</v>
      </c>
      <c r="G145" t="s">
        <v>980</v>
      </c>
      <c r="H145">
        <v>0</v>
      </c>
      <c r="J145">
        <f>IF(COUNTIF(Sheet4!A:A,A145)&gt;0,VLOOKUP(A145,Sheet4!A:B,2,FALSE),"NotFound")</f>
        <v>0</v>
      </c>
      <c r="K145" t="str">
        <f t="shared" si="2"/>
        <v>Match</v>
      </c>
    </row>
    <row r="146" spans="1:11" x14ac:dyDescent="0.35">
      <c r="A146" s="3" t="s">
        <v>825</v>
      </c>
      <c r="B146" s="7">
        <v>2</v>
      </c>
      <c r="C146" t="s">
        <v>1227</v>
      </c>
      <c r="D146">
        <v>40</v>
      </c>
      <c r="G146" t="s">
        <v>983</v>
      </c>
      <c r="H146">
        <v>2876871</v>
      </c>
      <c r="J146">
        <f>IF(COUNTIF(Sheet4!A:A,A146)&gt;0,VLOOKUP(A146,Sheet4!A:B,2,FALSE),"NotFound")</f>
        <v>2</v>
      </c>
      <c r="K146" t="str">
        <f t="shared" si="2"/>
        <v>Match</v>
      </c>
    </row>
    <row r="147" spans="1:11" x14ac:dyDescent="0.35">
      <c r="A147" s="3" t="s">
        <v>854</v>
      </c>
      <c r="B147" s="7">
        <v>0</v>
      </c>
      <c r="C147" t="s">
        <v>1228</v>
      </c>
      <c r="D147">
        <v>15</v>
      </c>
      <c r="G147" t="s">
        <v>988</v>
      </c>
      <c r="H147">
        <v>27173</v>
      </c>
      <c r="J147">
        <f>IF(COUNTIF(Sheet4!A:A,A147)&gt;0,VLOOKUP(A147,Sheet4!A:B,2,FALSE),"NotFound")</f>
        <v>0</v>
      </c>
      <c r="K147" t="str">
        <f t="shared" si="2"/>
        <v>Match</v>
      </c>
    </row>
    <row r="148" spans="1:11" x14ac:dyDescent="0.35">
      <c r="A148" s="3" t="s">
        <v>855</v>
      </c>
      <c r="B148" s="7">
        <v>0</v>
      </c>
      <c r="C148" t="s">
        <v>1228</v>
      </c>
      <c r="D148">
        <v>15</v>
      </c>
      <c r="G148" t="s">
        <v>992</v>
      </c>
      <c r="H148">
        <v>9771</v>
      </c>
      <c r="J148">
        <f>IF(COUNTIF(Sheet4!A:A,A148)&gt;0,VLOOKUP(A148,Sheet4!A:B,2,FALSE),"NotFound")</f>
        <v>0</v>
      </c>
      <c r="K148" t="str">
        <f t="shared" si="2"/>
        <v>Match</v>
      </c>
    </row>
    <row r="149" spans="1:11" x14ac:dyDescent="0.35">
      <c r="A149" s="3" t="s">
        <v>815</v>
      </c>
      <c r="B149" s="7">
        <v>0</v>
      </c>
      <c r="C149" t="s">
        <v>1228</v>
      </c>
      <c r="D149">
        <v>15</v>
      </c>
      <c r="G149" t="s">
        <v>1001</v>
      </c>
      <c r="H149">
        <v>0</v>
      </c>
      <c r="J149">
        <f>IF(COUNTIF(Sheet4!A:A,A149)&gt;0,VLOOKUP(A149,Sheet4!A:B,2,FALSE),"NotFound")</f>
        <v>0</v>
      </c>
      <c r="K149" t="str">
        <f t="shared" si="2"/>
        <v>Match</v>
      </c>
    </row>
    <row r="150" spans="1:11" x14ac:dyDescent="0.35">
      <c r="A150" s="3" t="s">
        <v>836</v>
      </c>
      <c r="B150" s="7">
        <v>0</v>
      </c>
      <c r="C150" t="s">
        <v>1228</v>
      </c>
      <c r="D150">
        <v>15</v>
      </c>
      <c r="G150" t="s">
        <v>991</v>
      </c>
      <c r="H150">
        <v>62433</v>
      </c>
      <c r="J150">
        <f>IF(COUNTIF(Sheet4!A:A,A150)&gt;0,VLOOKUP(A150,Sheet4!A:B,2,FALSE),"NotFound")</f>
        <v>0</v>
      </c>
      <c r="K150" t="str">
        <f t="shared" si="2"/>
        <v>Match</v>
      </c>
    </row>
    <row r="151" spans="1:11" x14ac:dyDescent="0.35">
      <c r="A151" s="3" t="s">
        <v>818</v>
      </c>
      <c r="B151" s="7">
        <v>0</v>
      </c>
      <c r="C151" t="s">
        <v>1228</v>
      </c>
      <c r="D151">
        <v>15</v>
      </c>
      <c r="G151" t="s">
        <v>996</v>
      </c>
      <c r="H151">
        <v>240</v>
      </c>
      <c r="J151">
        <f>IF(COUNTIF(Sheet4!A:A,A151)&gt;0,VLOOKUP(A151,Sheet4!A:B,2,FALSE),"NotFound")</f>
        <v>0</v>
      </c>
      <c r="K151" t="str">
        <f t="shared" si="2"/>
        <v>Match</v>
      </c>
    </row>
    <row r="152" spans="1:11" x14ac:dyDescent="0.35">
      <c r="A152" s="3" t="s">
        <v>847</v>
      </c>
      <c r="B152" s="7">
        <v>0</v>
      </c>
      <c r="C152" t="s">
        <v>1228</v>
      </c>
      <c r="D152">
        <v>15</v>
      </c>
      <c r="G152" t="s">
        <v>1051</v>
      </c>
      <c r="H152">
        <v>0</v>
      </c>
      <c r="J152">
        <f>IF(COUNTIF(Sheet4!A:A,A152)&gt;0,VLOOKUP(A152,Sheet4!A:B,2,FALSE),"NotFound")</f>
        <v>0</v>
      </c>
      <c r="K152" t="str">
        <f t="shared" si="2"/>
        <v>Match</v>
      </c>
    </row>
    <row r="153" spans="1:11" x14ac:dyDescent="0.35">
      <c r="A153" s="3" t="s">
        <v>856</v>
      </c>
      <c r="B153" s="7">
        <v>0</v>
      </c>
      <c r="C153" t="s">
        <v>1228</v>
      </c>
      <c r="D153">
        <v>15</v>
      </c>
      <c r="G153" t="s">
        <v>999</v>
      </c>
      <c r="H153">
        <v>5</v>
      </c>
      <c r="J153">
        <f>IF(COUNTIF(Sheet4!A:A,A153)&gt;0,VLOOKUP(A153,Sheet4!A:B,2,FALSE),"NotFound")</f>
        <v>0</v>
      </c>
      <c r="K153" t="str">
        <f t="shared" si="2"/>
        <v>Match</v>
      </c>
    </row>
    <row r="154" spans="1:11" x14ac:dyDescent="0.35">
      <c r="A154" s="3" t="s">
        <v>857</v>
      </c>
      <c r="B154" s="7">
        <v>0</v>
      </c>
      <c r="C154" t="s">
        <v>1228</v>
      </c>
      <c r="D154">
        <v>15</v>
      </c>
      <c r="G154" t="s">
        <v>1058</v>
      </c>
      <c r="H154">
        <v>0</v>
      </c>
      <c r="J154">
        <f>IF(COUNTIF(Sheet4!A:A,A154)&gt;0,VLOOKUP(A154,Sheet4!A:B,2,FALSE),"NotFound")</f>
        <v>0</v>
      </c>
      <c r="K154" t="str">
        <f t="shared" si="2"/>
        <v>Match</v>
      </c>
    </row>
    <row r="155" spans="1:11" x14ac:dyDescent="0.35">
      <c r="A155" s="3" t="s">
        <v>858</v>
      </c>
      <c r="B155" s="7">
        <v>0</v>
      </c>
      <c r="C155" t="s">
        <v>1228</v>
      </c>
      <c r="D155">
        <v>15</v>
      </c>
      <c r="G155" t="s">
        <v>1059</v>
      </c>
      <c r="H155">
        <v>0</v>
      </c>
      <c r="J155">
        <f>IF(COUNTIF(Sheet4!A:A,A155)&gt;0,VLOOKUP(A155,Sheet4!A:B,2,FALSE),"NotFound")</f>
        <v>0</v>
      </c>
      <c r="K155" t="str">
        <f t="shared" si="2"/>
        <v>Match</v>
      </c>
    </row>
    <row r="156" spans="1:11" x14ac:dyDescent="0.35">
      <c r="A156" s="3" t="s">
        <v>814</v>
      </c>
      <c r="B156" s="7">
        <v>141</v>
      </c>
      <c r="C156" t="s">
        <v>1228</v>
      </c>
      <c r="D156">
        <v>15</v>
      </c>
      <c r="G156" t="s">
        <v>1022</v>
      </c>
      <c r="H156">
        <v>0</v>
      </c>
      <c r="J156">
        <f>IF(COUNTIF(Sheet4!A:A,A156)&gt;0,VLOOKUP(A156,Sheet4!A:B,2,FALSE),"NotFound")</f>
        <v>141</v>
      </c>
      <c r="K156" t="str">
        <f t="shared" si="2"/>
        <v>Match</v>
      </c>
    </row>
    <row r="157" spans="1:11" x14ac:dyDescent="0.35">
      <c r="A157" s="3" t="s">
        <v>831</v>
      </c>
      <c r="B157" s="7">
        <v>141</v>
      </c>
      <c r="C157" t="s">
        <v>1252</v>
      </c>
      <c r="D157">
        <v>47</v>
      </c>
      <c r="G157" t="s">
        <v>1067</v>
      </c>
      <c r="H157">
        <v>0</v>
      </c>
      <c r="J157">
        <f>IF(COUNTIF(Sheet4!A:A,A157)&gt;0,VLOOKUP(A157,Sheet4!A:B,2,FALSE),"NotFound")</f>
        <v>141</v>
      </c>
      <c r="K157" t="str">
        <f t="shared" si="2"/>
        <v>Match</v>
      </c>
    </row>
    <row r="158" spans="1:11" x14ac:dyDescent="0.35">
      <c r="A158" s="3" t="s">
        <v>809</v>
      </c>
      <c r="B158" s="7">
        <v>0</v>
      </c>
      <c r="C158" t="s">
        <v>1233</v>
      </c>
      <c r="D158">
        <v>66</v>
      </c>
      <c r="G158" t="s">
        <v>1112</v>
      </c>
      <c r="H158">
        <v>0</v>
      </c>
      <c r="J158">
        <f>IF(COUNTIF(Sheet4!A:A,A158)&gt;0,VLOOKUP(A158,Sheet4!A:B,2,FALSE),"NotFound")</f>
        <v>0</v>
      </c>
      <c r="K158" t="str">
        <f t="shared" si="2"/>
        <v>Match</v>
      </c>
    </row>
    <row r="159" spans="1:11" x14ac:dyDescent="0.35">
      <c r="A159" s="3" t="s">
        <v>859</v>
      </c>
      <c r="B159" s="7">
        <v>0</v>
      </c>
      <c r="C159" t="s">
        <v>1253</v>
      </c>
      <c r="D159">
        <v>80</v>
      </c>
      <c r="G159" t="s">
        <v>1120</v>
      </c>
      <c r="H159">
        <v>0</v>
      </c>
      <c r="J159">
        <f>IF(COUNTIF(Sheet4!A:A,A159)&gt;0,VLOOKUP(A159,Sheet4!A:B,2,FALSE),"NotFound")</f>
        <v>0</v>
      </c>
      <c r="K159" t="str">
        <f t="shared" si="2"/>
        <v>Match</v>
      </c>
    </row>
    <row r="160" spans="1:11" x14ac:dyDescent="0.35">
      <c r="A160" s="3" t="s">
        <v>860</v>
      </c>
      <c r="B160" s="7">
        <v>0</v>
      </c>
      <c r="C160" t="s">
        <v>1254</v>
      </c>
      <c r="D160">
        <v>56</v>
      </c>
      <c r="G160" t="s">
        <v>1134</v>
      </c>
      <c r="H160">
        <v>0</v>
      </c>
      <c r="J160">
        <f>IF(COUNTIF(Sheet4!A:A,A160)&gt;0,VLOOKUP(A160,Sheet4!A:B,2,FALSE),"NotFound")</f>
        <v>0</v>
      </c>
      <c r="K160" t="str">
        <f t="shared" si="2"/>
        <v>Match</v>
      </c>
    </row>
    <row r="161" spans="1:11" x14ac:dyDescent="0.35">
      <c r="A161" s="3" t="s">
        <v>813</v>
      </c>
      <c r="B161" s="7">
        <v>0</v>
      </c>
      <c r="C161" t="s">
        <v>1235</v>
      </c>
      <c r="D161">
        <v>11</v>
      </c>
      <c r="G161" t="s">
        <v>1146</v>
      </c>
      <c r="H161">
        <v>639</v>
      </c>
      <c r="J161">
        <f>IF(COUNTIF(Sheet4!A:A,A161)&gt;0,VLOOKUP(A161,Sheet4!A:B,2,FALSE),"NotFound")</f>
        <v>0</v>
      </c>
      <c r="K161" t="str">
        <f t="shared" si="2"/>
        <v>Match</v>
      </c>
    </row>
    <row r="162" spans="1:11" x14ac:dyDescent="0.35">
      <c r="A162" s="3" t="s">
        <v>850</v>
      </c>
      <c r="B162" s="7">
        <v>0</v>
      </c>
      <c r="C162" t="s">
        <v>1235</v>
      </c>
      <c r="D162">
        <v>11</v>
      </c>
      <c r="G162" t="s">
        <v>1150</v>
      </c>
      <c r="H162">
        <v>1</v>
      </c>
      <c r="J162">
        <f>IF(COUNTIF(Sheet4!A:A,A162)&gt;0,VLOOKUP(A162,Sheet4!A:B,2,FALSE),"NotFound")</f>
        <v>0</v>
      </c>
      <c r="K162" t="str">
        <f t="shared" si="2"/>
        <v>Match</v>
      </c>
    </row>
    <row r="163" spans="1:11" x14ac:dyDescent="0.35">
      <c r="A163" s="3" t="s">
        <v>828</v>
      </c>
      <c r="B163" s="7">
        <v>2</v>
      </c>
      <c r="C163" t="s">
        <v>1236</v>
      </c>
      <c r="D163">
        <v>10</v>
      </c>
      <c r="G163" t="s">
        <v>1155</v>
      </c>
      <c r="H163">
        <v>0</v>
      </c>
      <c r="J163">
        <f>IF(COUNTIF(Sheet4!A:A,A163)&gt;0,VLOOKUP(A163,Sheet4!A:B,2,FALSE),"NotFound")</f>
        <v>2</v>
      </c>
      <c r="K163" t="str">
        <f t="shared" si="2"/>
        <v>Match</v>
      </c>
    </row>
    <row r="164" spans="1:11" x14ac:dyDescent="0.35">
      <c r="A164" s="3" t="s">
        <v>817</v>
      </c>
      <c r="B164" s="7">
        <v>2</v>
      </c>
      <c r="C164" t="s">
        <v>1237</v>
      </c>
      <c r="D164">
        <v>55</v>
      </c>
      <c r="G164" t="s">
        <v>1180</v>
      </c>
      <c r="H164">
        <v>0</v>
      </c>
      <c r="J164">
        <f>IF(COUNTIF(Sheet4!A:A,A164)&gt;0,VLOOKUP(A164,Sheet4!A:B,2,FALSE),"NotFound")</f>
        <v>2</v>
      </c>
      <c r="K164" t="str">
        <f t="shared" si="2"/>
        <v>Match</v>
      </c>
    </row>
    <row r="165" spans="1:11" x14ac:dyDescent="0.35">
      <c r="A165" s="3" t="s">
        <v>861</v>
      </c>
      <c r="B165" s="7">
        <v>0</v>
      </c>
      <c r="C165" t="s">
        <v>1237</v>
      </c>
      <c r="D165">
        <v>55</v>
      </c>
      <c r="G165" t="s">
        <v>1175</v>
      </c>
      <c r="H165">
        <v>0</v>
      </c>
      <c r="J165">
        <f>IF(COUNTIF(Sheet4!A:A,A165)&gt;0,VLOOKUP(A165,Sheet4!A:B,2,FALSE),"NotFound")</f>
        <v>0</v>
      </c>
      <c r="K165" t="str">
        <f t="shared" si="2"/>
        <v>Match</v>
      </c>
    </row>
    <row r="166" spans="1:11" x14ac:dyDescent="0.35">
      <c r="A166" s="3" t="s">
        <v>862</v>
      </c>
      <c r="B166" s="7">
        <v>0</v>
      </c>
      <c r="C166" t="s">
        <v>1237</v>
      </c>
      <c r="D166">
        <v>55</v>
      </c>
      <c r="G166" t="s">
        <v>1178</v>
      </c>
      <c r="H166">
        <v>0</v>
      </c>
      <c r="J166">
        <f>IF(COUNTIF(Sheet4!A:A,A166)&gt;0,VLOOKUP(A166,Sheet4!A:B,2,FALSE),"NotFound")</f>
        <v>0</v>
      </c>
      <c r="K166" t="str">
        <f t="shared" si="2"/>
        <v>Match</v>
      </c>
    </row>
    <row r="167" spans="1:11" x14ac:dyDescent="0.35">
      <c r="A167" s="3" t="s">
        <v>863</v>
      </c>
      <c r="B167" s="7">
        <v>0</v>
      </c>
      <c r="C167" t="s">
        <v>1255</v>
      </c>
      <c r="D167">
        <v>58</v>
      </c>
      <c r="G167" t="s">
        <v>1188</v>
      </c>
      <c r="H167">
        <v>0</v>
      </c>
      <c r="J167">
        <f>IF(COUNTIF(Sheet4!A:A,A167)&gt;0,VLOOKUP(A167,Sheet4!A:B,2,FALSE),"NotFound")</f>
        <v>0</v>
      </c>
      <c r="K167" t="str">
        <f t="shared" si="2"/>
        <v>Match</v>
      </c>
    </row>
    <row r="168" spans="1:11" x14ac:dyDescent="0.35">
      <c r="A168" s="3" t="s">
        <v>865</v>
      </c>
      <c r="B168" s="7">
        <v>0</v>
      </c>
      <c r="C168" t="s">
        <v>1241</v>
      </c>
      <c r="D168">
        <v>93</v>
      </c>
      <c r="G168" t="s">
        <v>650</v>
      </c>
      <c r="H168">
        <v>402580</v>
      </c>
      <c r="J168">
        <f>IF(COUNTIF(Sheet4!A:A,A168)&gt;0,VLOOKUP(A168,Sheet4!A:B,2,FALSE),"NotFound")</f>
        <v>0</v>
      </c>
      <c r="K168" t="str">
        <f t="shared" si="2"/>
        <v>Match</v>
      </c>
    </row>
    <row r="169" spans="1:11" x14ac:dyDescent="0.35">
      <c r="A169" s="3" t="s">
        <v>820</v>
      </c>
      <c r="B169" s="7">
        <v>0</v>
      </c>
      <c r="C169" t="s">
        <v>1241</v>
      </c>
      <c r="D169">
        <v>93</v>
      </c>
      <c r="G169" t="s">
        <v>651</v>
      </c>
      <c r="H169">
        <v>14674</v>
      </c>
      <c r="J169">
        <f>IF(COUNTIF(Sheet4!A:A,A169)&gt;0,VLOOKUP(A169,Sheet4!A:B,2,FALSE),"NotFound")</f>
        <v>0</v>
      </c>
      <c r="K169" t="str">
        <f t="shared" si="2"/>
        <v>Match</v>
      </c>
    </row>
    <row r="170" spans="1:11" x14ac:dyDescent="0.35">
      <c r="A170" s="3" t="s">
        <v>848</v>
      </c>
      <c r="B170" s="7">
        <v>0</v>
      </c>
      <c r="C170" t="s">
        <v>1198</v>
      </c>
      <c r="D170">
        <v>100</v>
      </c>
      <c r="G170" t="s">
        <v>696</v>
      </c>
      <c r="H170">
        <v>579392</v>
      </c>
      <c r="J170">
        <f>IF(COUNTIF(Sheet4!A:A,A170)&gt;0,VLOOKUP(A170,Sheet4!A:B,2,FALSE),"NotFound")</f>
        <v>0</v>
      </c>
      <c r="K170" t="str">
        <f t="shared" si="2"/>
        <v>Match</v>
      </c>
    </row>
    <row r="171" spans="1:11" x14ac:dyDescent="0.35">
      <c r="A171" s="3" t="s">
        <v>864</v>
      </c>
      <c r="B171" s="7">
        <v>0</v>
      </c>
      <c r="C171" t="s">
        <v>1256</v>
      </c>
      <c r="D171">
        <v>101</v>
      </c>
      <c r="G171" t="s">
        <v>700</v>
      </c>
      <c r="H171">
        <v>0</v>
      </c>
      <c r="J171">
        <f>IF(COUNTIF(Sheet4!A:A,A171)&gt;0,VLOOKUP(A171,Sheet4!A:B,2,FALSE),"NotFound")</f>
        <v>0</v>
      </c>
      <c r="K171" t="str">
        <f t="shared" si="2"/>
        <v>Match</v>
      </c>
    </row>
    <row r="172" spans="1:11" x14ac:dyDescent="0.35">
      <c r="A172" s="3" t="s">
        <v>866</v>
      </c>
      <c r="B172" s="7">
        <v>0</v>
      </c>
      <c r="C172" t="s">
        <v>1201</v>
      </c>
      <c r="D172">
        <v>98</v>
      </c>
      <c r="G172" t="s">
        <v>723</v>
      </c>
      <c r="H172">
        <v>0</v>
      </c>
      <c r="J172">
        <f>IF(COUNTIF(Sheet4!A:A,A172)&gt;0,VLOOKUP(A172,Sheet4!A:B,2,FALSE),"NotFound")</f>
        <v>0</v>
      </c>
      <c r="K172" t="str">
        <f t="shared" si="2"/>
        <v>Match</v>
      </c>
    </row>
    <row r="173" spans="1:11" x14ac:dyDescent="0.35">
      <c r="A173" s="3" t="s">
        <v>867</v>
      </c>
      <c r="B173" s="7">
        <v>0</v>
      </c>
      <c r="C173" t="s">
        <v>1201</v>
      </c>
      <c r="D173">
        <v>98</v>
      </c>
      <c r="G173" t="s">
        <v>722</v>
      </c>
      <c r="H173">
        <v>0</v>
      </c>
      <c r="J173">
        <f>IF(COUNTIF(Sheet4!A:A,A173)&gt;0,VLOOKUP(A173,Sheet4!A:B,2,FALSE),"NotFound")</f>
        <v>0</v>
      </c>
      <c r="K173" t="str">
        <f t="shared" si="2"/>
        <v>Match</v>
      </c>
    </row>
    <row r="174" spans="1:11" x14ac:dyDescent="0.35">
      <c r="A174" s="3" t="s">
        <v>829</v>
      </c>
      <c r="B174" s="7">
        <v>0</v>
      </c>
      <c r="C174" t="s">
        <v>1201</v>
      </c>
      <c r="D174">
        <v>98</v>
      </c>
      <c r="G174" t="s">
        <v>713</v>
      </c>
      <c r="H174">
        <v>22396043</v>
      </c>
      <c r="J174">
        <f>IF(COUNTIF(Sheet4!A:A,A174)&gt;0,VLOOKUP(A174,Sheet4!A:B,2,FALSE),"NotFound")</f>
        <v>0</v>
      </c>
      <c r="K174" t="str">
        <f t="shared" si="2"/>
        <v>Match</v>
      </c>
    </row>
    <row r="175" spans="1:11" x14ac:dyDescent="0.35">
      <c r="A175" s="3" t="s">
        <v>849</v>
      </c>
      <c r="B175" s="7">
        <v>0</v>
      </c>
      <c r="C175" t="s">
        <v>1204</v>
      </c>
      <c r="D175">
        <v>72</v>
      </c>
      <c r="G175" t="s">
        <v>740</v>
      </c>
      <c r="H175">
        <v>0</v>
      </c>
      <c r="J175">
        <f>IF(COUNTIF(Sheet4!A:A,A175)&gt;0,VLOOKUP(A175,Sheet4!A:B,2,FALSE),"NotFound")</f>
        <v>0</v>
      </c>
      <c r="K175" t="str">
        <f t="shared" si="2"/>
        <v>Match</v>
      </c>
    </row>
    <row r="176" spans="1:11" x14ac:dyDescent="0.35">
      <c r="A176" s="3" t="s">
        <v>812</v>
      </c>
      <c r="B176" s="7">
        <v>0</v>
      </c>
      <c r="C176" t="s">
        <v>1204</v>
      </c>
      <c r="D176">
        <v>72</v>
      </c>
      <c r="G176" t="s">
        <v>743</v>
      </c>
      <c r="H176">
        <v>0</v>
      </c>
      <c r="J176">
        <f>IF(COUNTIF(Sheet4!A:A,A176)&gt;0,VLOOKUP(A176,Sheet4!A:B,2,FALSE),"NotFound")</f>
        <v>0</v>
      </c>
      <c r="K176" t="str">
        <f t="shared" si="2"/>
        <v>Match</v>
      </c>
    </row>
    <row r="177" spans="1:11" x14ac:dyDescent="0.35">
      <c r="A177" s="3" t="s">
        <v>806</v>
      </c>
      <c r="B177" s="7">
        <v>94</v>
      </c>
      <c r="C177" t="s">
        <v>1245</v>
      </c>
      <c r="D177">
        <v>1</v>
      </c>
      <c r="G177" t="s">
        <v>752</v>
      </c>
      <c r="H177">
        <v>0</v>
      </c>
      <c r="J177">
        <f>IF(COUNTIF(Sheet4!A:A,A177)&gt;0,VLOOKUP(A177,Sheet4!A:B,2,FALSE),"NotFound")</f>
        <v>94</v>
      </c>
      <c r="K177" t="str">
        <f t="shared" si="2"/>
        <v>Match</v>
      </c>
    </row>
    <row r="178" spans="1:11" x14ac:dyDescent="0.35">
      <c r="A178" s="3" t="s">
        <v>827</v>
      </c>
      <c r="B178" s="7">
        <v>0</v>
      </c>
      <c r="C178" t="s">
        <v>1206</v>
      </c>
      <c r="D178">
        <v>3</v>
      </c>
      <c r="G178" t="s">
        <v>762</v>
      </c>
      <c r="H178">
        <v>6428</v>
      </c>
      <c r="J178">
        <f>IF(COUNTIF(Sheet4!A:A,A178)&gt;0,VLOOKUP(A178,Sheet4!A:B,2,FALSE),"NotFound")</f>
        <v>0</v>
      </c>
      <c r="K178" t="str">
        <f t="shared" si="2"/>
        <v>Match</v>
      </c>
    </row>
    <row r="179" spans="1:11" x14ac:dyDescent="0.35">
      <c r="A179" s="3" t="s">
        <v>822</v>
      </c>
      <c r="B179" s="7">
        <v>2</v>
      </c>
      <c r="C179" t="s">
        <v>1246</v>
      </c>
      <c r="D179">
        <v>64</v>
      </c>
      <c r="G179" t="s">
        <v>786</v>
      </c>
      <c r="H179">
        <v>0</v>
      </c>
      <c r="J179">
        <f>IF(COUNTIF(Sheet4!A:A,A179)&gt;0,VLOOKUP(A179,Sheet4!A:B,2,FALSE),"NotFound")</f>
        <v>2</v>
      </c>
      <c r="K179" t="str">
        <f t="shared" si="2"/>
        <v>Match</v>
      </c>
    </row>
    <row r="180" spans="1:11" x14ac:dyDescent="0.35">
      <c r="A180" s="3" t="s">
        <v>816</v>
      </c>
      <c r="B180" s="7">
        <v>2</v>
      </c>
      <c r="C180" t="s">
        <v>1246</v>
      </c>
      <c r="D180">
        <v>64</v>
      </c>
      <c r="G180" t="s">
        <v>773</v>
      </c>
      <c r="H180">
        <v>0</v>
      </c>
      <c r="J180">
        <f>IF(COUNTIF(Sheet4!A:A,A180)&gt;0,VLOOKUP(A180,Sheet4!A:B,2,FALSE),"NotFound")</f>
        <v>2</v>
      </c>
      <c r="K180" t="str">
        <f t="shared" si="2"/>
        <v>Match</v>
      </c>
    </row>
    <row r="181" spans="1:11" x14ac:dyDescent="0.35">
      <c r="A181" s="3" t="s">
        <v>868</v>
      </c>
      <c r="B181" s="7">
        <v>0</v>
      </c>
      <c r="C181" t="s">
        <v>1246</v>
      </c>
      <c r="D181">
        <v>64</v>
      </c>
      <c r="G181" t="s">
        <v>787</v>
      </c>
      <c r="H181">
        <v>0</v>
      </c>
      <c r="J181">
        <f>IF(COUNTIF(Sheet4!A:A,A181)&gt;0,VLOOKUP(A181,Sheet4!A:B,2,FALSE),"NotFound")</f>
        <v>0</v>
      </c>
      <c r="K181" t="str">
        <f t="shared" si="2"/>
        <v>Match</v>
      </c>
    </row>
    <row r="182" spans="1:11" x14ac:dyDescent="0.35">
      <c r="A182" s="3" t="s">
        <v>869</v>
      </c>
      <c r="B182" s="7">
        <v>0</v>
      </c>
      <c r="C182" t="s">
        <v>1209</v>
      </c>
      <c r="D182">
        <v>91</v>
      </c>
      <c r="G182" t="s">
        <v>790</v>
      </c>
      <c r="H182">
        <v>0</v>
      </c>
      <c r="J182">
        <f>IF(COUNTIF(Sheet4!A:A,A182)&gt;0,VLOOKUP(A182,Sheet4!A:B,2,FALSE),"NotFound")</f>
        <v>0</v>
      </c>
      <c r="K182" t="str">
        <f t="shared" si="2"/>
        <v>Match</v>
      </c>
    </row>
    <row r="183" spans="1:11" x14ac:dyDescent="0.35">
      <c r="A183" s="3" t="s">
        <v>870</v>
      </c>
      <c r="B183" s="7">
        <v>0</v>
      </c>
      <c r="C183" t="s">
        <v>1209</v>
      </c>
      <c r="D183">
        <v>2</v>
      </c>
      <c r="G183" t="s">
        <v>770</v>
      </c>
      <c r="H183">
        <v>189459</v>
      </c>
      <c r="J183">
        <f>IF(COUNTIF(Sheet4!A:A,A183)&gt;0,VLOOKUP(A183,Sheet4!A:B,2,FALSE),"NotFound")</f>
        <v>0</v>
      </c>
      <c r="K183" t="str">
        <f t="shared" si="2"/>
        <v>Match</v>
      </c>
    </row>
    <row r="184" spans="1:11" x14ac:dyDescent="0.35">
      <c r="A184" s="3" t="s">
        <v>824</v>
      </c>
      <c r="B184" s="7">
        <v>0</v>
      </c>
      <c r="C184" t="s">
        <v>1209</v>
      </c>
      <c r="D184">
        <v>2</v>
      </c>
      <c r="G184" t="s">
        <v>773</v>
      </c>
      <c r="H184">
        <v>0</v>
      </c>
      <c r="J184">
        <f>IF(COUNTIF(Sheet4!A:A,A184)&gt;0,VLOOKUP(A184,Sheet4!A:B,2,FALSE),"NotFound")</f>
        <v>0</v>
      </c>
      <c r="K184" t="str">
        <f t="shared" si="2"/>
        <v>Match</v>
      </c>
    </row>
    <row r="185" spans="1:11" x14ac:dyDescent="0.35">
      <c r="A185" s="3" t="s">
        <v>811</v>
      </c>
      <c r="B185" s="7">
        <v>2</v>
      </c>
      <c r="C185" t="s">
        <v>1209</v>
      </c>
      <c r="D185">
        <v>2</v>
      </c>
      <c r="G185" t="s">
        <v>772</v>
      </c>
      <c r="H185">
        <v>0</v>
      </c>
      <c r="J185">
        <f>IF(COUNTIF(Sheet4!A:A,A185)&gt;0,VLOOKUP(A185,Sheet4!A:B,2,FALSE),"NotFound")</f>
        <v>2</v>
      </c>
      <c r="K185" t="str">
        <f t="shared" si="2"/>
        <v>Match</v>
      </c>
    </row>
    <row r="186" spans="1:11" x14ac:dyDescent="0.35">
      <c r="A186" s="3" t="s">
        <v>871</v>
      </c>
      <c r="B186" s="7">
        <v>0</v>
      </c>
      <c r="C186" t="s">
        <v>1209</v>
      </c>
      <c r="D186">
        <v>91</v>
      </c>
      <c r="G186" t="s">
        <v>785</v>
      </c>
      <c r="H186">
        <v>0</v>
      </c>
      <c r="J186">
        <f>IF(COUNTIF(Sheet4!A:A,A186)&gt;0,VLOOKUP(A186,Sheet4!A:B,2,FALSE),"NotFound")</f>
        <v>0</v>
      </c>
      <c r="K186" t="str">
        <f t="shared" si="2"/>
        <v>Match</v>
      </c>
    </row>
    <row r="187" spans="1:11" x14ac:dyDescent="0.35">
      <c r="A187" s="3" t="s">
        <v>872</v>
      </c>
      <c r="B187" s="7">
        <v>0</v>
      </c>
      <c r="C187" t="s">
        <v>1212</v>
      </c>
      <c r="D187">
        <v>16</v>
      </c>
      <c r="G187" t="s">
        <v>808</v>
      </c>
      <c r="H187">
        <v>0</v>
      </c>
      <c r="J187">
        <f>IF(COUNTIF(Sheet4!A:A,A187)&gt;0,VLOOKUP(A187,Sheet4!A:B,2,FALSE),"NotFound")</f>
        <v>0</v>
      </c>
      <c r="K187" t="str">
        <f t="shared" si="2"/>
        <v>Match</v>
      </c>
    </row>
    <row r="188" spans="1:11" x14ac:dyDescent="0.35">
      <c r="A188" s="3" t="s">
        <v>810</v>
      </c>
      <c r="B188" s="7">
        <v>4</v>
      </c>
      <c r="C188" t="s">
        <v>1212</v>
      </c>
      <c r="D188">
        <v>16</v>
      </c>
      <c r="G188" t="s">
        <v>854</v>
      </c>
      <c r="H188">
        <v>0</v>
      </c>
      <c r="J188">
        <f>IF(COUNTIF(Sheet4!A:A,A188)&gt;0,VLOOKUP(A188,Sheet4!A:B,2,FALSE),"NotFound")</f>
        <v>4</v>
      </c>
      <c r="K188" t="str">
        <f t="shared" si="2"/>
        <v>Match</v>
      </c>
    </row>
    <row r="189" spans="1:11" x14ac:dyDescent="0.35">
      <c r="A189" s="3" t="s">
        <v>835</v>
      </c>
      <c r="B189" s="7">
        <v>0</v>
      </c>
      <c r="C189" t="s">
        <v>1212</v>
      </c>
      <c r="D189">
        <v>16</v>
      </c>
      <c r="G189" t="s">
        <v>860</v>
      </c>
      <c r="H189">
        <v>0</v>
      </c>
      <c r="J189">
        <f>IF(COUNTIF(Sheet4!A:A,A189)&gt;0,VLOOKUP(A189,Sheet4!A:B,2,FALSE),"NotFound")</f>
        <v>0</v>
      </c>
      <c r="K189" t="str">
        <f t="shared" si="2"/>
        <v>Match</v>
      </c>
    </row>
    <row r="190" spans="1:11" x14ac:dyDescent="0.35">
      <c r="A190" s="3" t="s">
        <v>821</v>
      </c>
      <c r="B190" s="7">
        <v>3</v>
      </c>
      <c r="C190" t="s">
        <v>1212</v>
      </c>
      <c r="D190">
        <v>16</v>
      </c>
      <c r="G190" t="s">
        <v>867</v>
      </c>
      <c r="H190">
        <v>0</v>
      </c>
      <c r="J190">
        <f>IF(COUNTIF(Sheet4!A:A,A190)&gt;0,VLOOKUP(A190,Sheet4!A:B,2,FALSE),"NotFound")</f>
        <v>3</v>
      </c>
      <c r="K190" t="str">
        <f t="shared" si="2"/>
        <v>Match</v>
      </c>
    </row>
    <row r="191" spans="1:11" x14ac:dyDescent="0.35">
      <c r="A191" s="3" t="s">
        <v>873</v>
      </c>
      <c r="B191" s="7">
        <v>0</v>
      </c>
      <c r="C191" t="s">
        <v>1212</v>
      </c>
      <c r="D191">
        <v>16</v>
      </c>
      <c r="G191" t="s">
        <v>827</v>
      </c>
      <c r="H191">
        <v>0</v>
      </c>
      <c r="J191">
        <f>IF(COUNTIF(Sheet4!A:A,A191)&gt;0,VLOOKUP(A191,Sheet4!A:B,2,FALSE),"NotFound")</f>
        <v>0</v>
      </c>
      <c r="K191" t="str">
        <f t="shared" si="2"/>
        <v>Match</v>
      </c>
    </row>
    <row r="192" spans="1:11" x14ac:dyDescent="0.35">
      <c r="A192" s="3" t="s">
        <v>830</v>
      </c>
      <c r="B192" s="7">
        <v>2</v>
      </c>
      <c r="C192" t="s">
        <v>1212</v>
      </c>
      <c r="D192">
        <v>16</v>
      </c>
      <c r="G192" t="s">
        <v>869</v>
      </c>
      <c r="H192">
        <v>0</v>
      </c>
      <c r="J192">
        <f>IF(COUNTIF(Sheet4!A:A,A192)&gt;0,VLOOKUP(A192,Sheet4!A:B,2,FALSE),"NotFound")</f>
        <v>2</v>
      </c>
      <c r="K192" t="str">
        <f t="shared" si="2"/>
        <v>Match</v>
      </c>
    </row>
    <row r="193" spans="1:11" x14ac:dyDescent="0.35">
      <c r="A193" s="3" t="s">
        <v>840</v>
      </c>
      <c r="B193" s="7">
        <v>0</v>
      </c>
      <c r="C193" t="s">
        <v>1212</v>
      </c>
      <c r="D193">
        <v>16</v>
      </c>
      <c r="G193" t="s">
        <v>804</v>
      </c>
      <c r="H193">
        <v>177</v>
      </c>
      <c r="J193">
        <f>IF(COUNTIF(Sheet4!A:A,A193)&gt;0,VLOOKUP(A193,Sheet4!A:B,2,FALSE),"NotFound")</f>
        <v>0</v>
      </c>
      <c r="K193" t="str">
        <f t="shared" si="2"/>
        <v>Match</v>
      </c>
    </row>
    <row r="194" spans="1:11" x14ac:dyDescent="0.35">
      <c r="A194" s="3" t="s">
        <v>874</v>
      </c>
      <c r="B194" s="7">
        <v>0</v>
      </c>
      <c r="C194" t="s">
        <v>1212</v>
      </c>
      <c r="D194">
        <v>16</v>
      </c>
      <c r="G194" t="s">
        <v>837</v>
      </c>
      <c r="H194">
        <v>1</v>
      </c>
      <c r="J194">
        <f>IF(COUNTIF(Sheet4!A:A,A194)&gt;0,VLOOKUP(A194,Sheet4!A:B,2,FALSE),"NotFound")</f>
        <v>0</v>
      </c>
      <c r="K194" t="str">
        <f t="shared" si="2"/>
        <v>Match</v>
      </c>
    </row>
    <row r="195" spans="1:11" x14ac:dyDescent="0.35">
      <c r="A195" s="3" t="s">
        <v>875</v>
      </c>
      <c r="B195" s="7">
        <v>0</v>
      </c>
      <c r="C195" t="s">
        <v>1212</v>
      </c>
      <c r="D195">
        <v>16</v>
      </c>
      <c r="G195" t="s">
        <v>826</v>
      </c>
      <c r="H195">
        <v>1</v>
      </c>
      <c r="J195">
        <f>IF(COUNTIF(Sheet4!A:A,A195)&gt;0,VLOOKUP(A195,Sheet4!A:B,2,FALSE),"NotFound")</f>
        <v>0</v>
      </c>
      <c r="K195" t="str">
        <f t="shared" ref="K195:K258" si="3">IF(B195=J195,"Match","Mis Match")</f>
        <v>Match</v>
      </c>
    </row>
    <row r="196" spans="1:11" x14ac:dyDescent="0.35">
      <c r="A196" s="3" t="s">
        <v>876</v>
      </c>
      <c r="B196" s="7">
        <v>0</v>
      </c>
      <c r="C196" t="s">
        <v>1212</v>
      </c>
      <c r="D196">
        <v>16</v>
      </c>
      <c r="G196" t="s">
        <v>838</v>
      </c>
      <c r="H196">
        <v>0</v>
      </c>
      <c r="J196">
        <f>IF(COUNTIF(Sheet4!A:A,A196)&gt;0,VLOOKUP(A196,Sheet4!A:B,2,FALSE),"NotFound")</f>
        <v>0</v>
      </c>
      <c r="K196" t="str">
        <f t="shared" si="3"/>
        <v>Match</v>
      </c>
    </row>
    <row r="197" spans="1:11" x14ac:dyDescent="0.35">
      <c r="A197" s="3" t="s">
        <v>877</v>
      </c>
      <c r="B197" s="7">
        <v>0</v>
      </c>
      <c r="C197" t="s">
        <v>1212</v>
      </c>
      <c r="D197">
        <v>16</v>
      </c>
      <c r="G197" t="s">
        <v>889</v>
      </c>
      <c r="H197">
        <v>0</v>
      </c>
      <c r="J197">
        <f>IF(COUNTIF(Sheet4!A:A,A197)&gt;0,VLOOKUP(A197,Sheet4!A:B,2,FALSE),"NotFound")</f>
        <v>0</v>
      </c>
      <c r="K197" t="str">
        <f t="shared" si="3"/>
        <v>Match</v>
      </c>
    </row>
    <row r="198" spans="1:11" x14ac:dyDescent="0.35">
      <c r="A198" s="3" t="s">
        <v>878</v>
      </c>
      <c r="B198" s="7">
        <v>0</v>
      </c>
      <c r="C198" t="s">
        <v>1212</v>
      </c>
      <c r="D198">
        <v>16</v>
      </c>
      <c r="G198" t="s">
        <v>851</v>
      </c>
      <c r="H198">
        <v>0</v>
      </c>
      <c r="J198">
        <f>IF(COUNTIF(Sheet4!A:A,A198)&gt;0,VLOOKUP(A198,Sheet4!A:B,2,FALSE),"NotFound")</f>
        <v>0</v>
      </c>
      <c r="K198" t="str">
        <f t="shared" si="3"/>
        <v>Match</v>
      </c>
    </row>
    <row r="199" spans="1:11" x14ac:dyDescent="0.35">
      <c r="A199" s="3" t="s">
        <v>880</v>
      </c>
      <c r="B199" s="7">
        <v>0</v>
      </c>
      <c r="C199" t="s">
        <v>1212</v>
      </c>
      <c r="D199">
        <v>16</v>
      </c>
      <c r="G199" t="s">
        <v>891</v>
      </c>
      <c r="H199">
        <v>0</v>
      </c>
      <c r="J199">
        <f>IF(COUNTIF(Sheet4!A:A,A199)&gt;0,VLOOKUP(A199,Sheet4!A:B,2,FALSE),"NotFound")</f>
        <v>0</v>
      </c>
      <c r="K199" t="str">
        <f t="shared" si="3"/>
        <v>Match</v>
      </c>
    </row>
    <row r="200" spans="1:11" x14ac:dyDescent="0.35">
      <c r="A200" s="3" t="s">
        <v>881</v>
      </c>
      <c r="B200" s="7">
        <v>0</v>
      </c>
      <c r="C200" t="s">
        <v>1212</v>
      </c>
      <c r="D200">
        <v>16</v>
      </c>
      <c r="G200" t="s">
        <v>893</v>
      </c>
      <c r="H200">
        <v>0</v>
      </c>
      <c r="J200">
        <f>IF(COUNTIF(Sheet4!A:A,A200)&gt;0,VLOOKUP(A200,Sheet4!A:B,2,FALSE),"NotFound")</f>
        <v>0</v>
      </c>
      <c r="K200" t="str">
        <f t="shared" si="3"/>
        <v>Match</v>
      </c>
    </row>
    <row r="201" spans="1:11" x14ac:dyDescent="0.35">
      <c r="A201" s="3" t="s">
        <v>882</v>
      </c>
      <c r="B201" s="7">
        <v>0</v>
      </c>
      <c r="C201" t="s">
        <v>1212</v>
      </c>
      <c r="D201">
        <v>16</v>
      </c>
      <c r="G201" t="s">
        <v>898</v>
      </c>
      <c r="H201">
        <v>0</v>
      </c>
      <c r="J201">
        <f>IF(COUNTIF(Sheet4!A:A,A201)&gt;0,VLOOKUP(A201,Sheet4!A:B,2,FALSE),"NotFound")</f>
        <v>0</v>
      </c>
      <c r="K201" t="str">
        <f t="shared" si="3"/>
        <v>Match</v>
      </c>
    </row>
    <row r="202" spans="1:11" x14ac:dyDescent="0.35">
      <c r="A202" s="3" t="s">
        <v>833</v>
      </c>
      <c r="B202" s="7">
        <v>2</v>
      </c>
      <c r="C202" t="s">
        <v>1212</v>
      </c>
      <c r="D202">
        <v>16</v>
      </c>
      <c r="G202" t="s">
        <v>899</v>
      </c>
      <c r="H202">
        <v>0</v>
      </c>
      <c r="J202">
        <f>IF(COUNTIF(Sheet4!A:A,A202)&gt;0,VLOOKUP(A202,Sheet4!A:B,2,FALSE),"NotFound")</f>
        <v>2</v>
      </c>
      <c r="K202" t="str">
        <f t="shared" si="3"/>
        <v>Match</v>
      </c>
    </row>
    <row r="203" spans="1:11" x14ac:dyDescent="0.35">
      <c r="A203" s="3" t="s">
        <v>834</v>
      </c>
      <c r="B203" s="7">
        <v>2</v>
      </c>
      <c r="C203" t="s">
        <v>1212</v>
      </c>
      <c r="D203">
        <v>16</v>
      </c>
      <c r="G203" t="s">
        <v>901</v>
      </c>
      <c r="H203">
        <v>0</v>
      </c>
      <c r="J203">
        <f>IF(COUNTIF(Sheet4!A:A,A203)&gt;0,VLOOKUP(A203,Sheet4!A:B,2,FALSE),"NotFound")</f>
        <v>2</v>
      </c>
      <c r="K203" t="str">
        <f t="shared" si="3"/>
        <v>Match</v>
      </c>
    </row>
    <row r="204" spans="1:11" x14ac:dyDescent="0.35">
      <c r="A204" s="3" t="s">
        <v>879</v>
      </c>
      <c r="B204" s="7">
        <v>0</v>
      </c>
      <c r="C204" t="s">
        <v>1212</v>
      </c>
      <c r="D204">
        <v>16</v>
      </c>
      <c r="G204" t="s">
        <v>904</v>
      </c>
      <c r="H204">
        <v>0</v>
      </c>
      <c r="J204">
        <f>IF(COUNTIF(Sheet4!A:A,A204)&gt;0,VLOOKUP(A204,Sheet4!A:B,2,FALSE),"NotFound")</f>
        <v>0</v>
      </c>
      <c r="K204" t="str">
        <f t="shared" si="3"/>
        <v>Match</v>
      </c>
    </row>
    <row r="205" spans="1:11" x14ac:dyDescent="0.35">
      <c r="A205" s="3" t="s">
        <v>883</v>
      </c>
      <c r="B205" s="7">
        <v>0</v>
      </c>
      <c r="C205" t="s">
        <v>1212</v>
      </c>
      <c r="D205">
        <v>16</v>
      </c>
      <c r="G205" t="s">
        <v>805</v>
      </c>
      <c r="H205">
        <v>66206</v>
      </c>
      <c r="J205">
        <f>IF(COUNTIF(Sheet4!A:A,A205)&gt;0,VLOOKUP(A205,Sheet4!A:B,2,FALSE),"NotFound")</f>
        <v>0</v>
      </c>
      <c r="K205" t="str">
        <f t="shared" si="3"/>
        <v>Match</v>
      </c>
    </row>
    <row r="206" spans="1:11" x14ac:dyDescent="0.35">
      <c r="A206" s="3" t="s">
        <v>807</v>
      </c>
      <c r="B206" s="7">
        <v>116</v>
      </c>
      <c r="C206" t="s">
        <v>1257</v>
      </c>
      <c r="D206">
        <v>54</v>
      </c>
      <c r="G206" t="s">
        <v>810</v>
      </c>
      <c r="H206">
        <v>0</v>
      </c>
      <c r="J206">
        <f>IF(COUNTIF(Sheet4!A:A,A206)&gt;0,VLOOKUP(A206,Sheet4!A:B,2,FALSE),"NotFound")</f>
        <v>116</v>
      </c>
      <c r="K206" t="str">
        <f t="shared" si="3"/>
        <v>Match</v>
      </c>
    </row>
    <row r="207" spans="1:11" x14ac:dyDescent="0.35">
      <c r="A207" s="3" t="s">
        <v>804</v>
      </c>
      <c r="B207" s="7">
        <v>177</v>
      </c>
      <c r="C207" t="s">
        <v>1258</v>
      </c>
      <c r="D207">
        <v>24</v>
      </c>
      <c r="G207" t="s">
        <v>910</v>
      </c>
      <c r="H207">
        <v>0</v>
      </c>
      <c r="J207">
        <f>IF(COUNTIF(Sheet4!A:A,A207)&gt;0,VLOOKUP(A207,Sheet4!A:B,2,FALSE),"NotFound")</f>
        <v>177</v>
      </c>
      <c r="K207" t="str">
        <f t="shared" si="3"/>
        <v>Match</v>
      </c>
    </row>
    <row r="208" spans="1:11" x14ac:dyDescent="0.35">
      <c r="A208" s="3" t="s">
        <v>837</v>
      </c>
      <c r="B208" s="7">
        <v>1</v>
      </c>
      <c r="C208" t="s">
        <v>1259</v>
      </c>
      <c r="D208">
        <v>34</v>
      </c>
      <c r="G208" t="s">
        <v>914</v>
      </c>
      <c r="H208">
        <v>0</v>
      </c>
      <c r="J208">
        <f>IF(COUNTIF(Sheet4!A:A,A208)&gt;0,VLOOKUP(A208,Sheet4!A:B,2,FALSE),"NotFound")</f>
        <v>1</v>
      </c>
      <c r="K208" t="str">
        <f t="shared" si="3"/>
        <v>Match</v>
      </c>
    </row>
    <row r="209" spans="1:11" x14ac:dyDescent="0.35">
      <c r="A209" s="3" t="s">
        <v>826</v>
      </c>
      <c r="B209" s="7">
        <v>1</v>
      </c>
      <c r="C209" t="s">
        <v>1260</v>
      </c>
      <c r="D209">
        <v>35</v>
      </c>
      <c r="G209" t="s">
        <v>915</v>
      </c>
      <c r="H209">
        <v>0</v>
      </c>
      <c r="J209">
        <f>IF(COUNTIF(Sheet4!A:A,A209)&gt;0,VLOOKUP(A209,Sheet4!A:B,2,FALSE),"NotFound")</f>
        <v>1</v>
      </c>
      <c r="K209" t="str">
        <f t="shared" si="3"/>
        <v>Match</v>
      </c>
    </row>
    <row r="210" spans="1:11" x14ac:dyDescent="0.35">
      <c r="A210" s="3" t="s">
        <v>884</v>
      </c>
      <c r="B210" s="7">
        <v>0</v>
      </c>
      <c r="C210" t="s">
        <v>1221</v>
      </c>
      <c r="D210">
        <v>63</v>
      </c>
      <c r="G210" t="s">
        <v>932</v>
      </c>
      <c r="H210">
        <v>0</v>
      </c>
      <c r="J210">
        <f>IF(COUNTIF(Sheet4!A:A,A210)&gt;0,VLOOKUP(A210,Sheet4!A:B,2,FALSE),"NotFound")</f>
        <v>0</v>
      </c>
      <c r="K210" t="str">
        <f t="shared" si="3"/>
        <v>Match</v>
      </c>
    </row>
    <row r="211" spans="1:11" x14ac:dyDescent="0.35">
      <c r="A211" s="3" t="s">
        <v>885</v>
      </c>
      <c r="B211" s="7">
        <v>0</v>
      </c>
      <c r="C211" t="s">
        <v>1221</v>
      </c>
      <c r="D211">
        <v>63</v>
      </c>
      <c r="G211" t="s">
        <v>934</v>
      </c>
      <c r="H211">
        <v>0</v>
      </c>
      <c r="J211">
        <f>IF(COUNTIF(Sheet4!A:A,A211)&gt;0,VLOOKUP(A211,Sheet4!A:B,2,FALSE),"NotFound")</f>
        <v>0</v>
      </c>
      <c r="K211" t="str">
        <f t="shared" si="3"/>
        <v>Match</v>
      </c>
    </row>
    <row r="212" spans="1:11" x14ac:dyDescent="0.35">
      <c r="A212" s="3" t="s">
        <v>839</v>
      </c>
      <c r="B212" s="7">
        <v>0</v>
      </c>
      <c r="C212" t="s">
        <v>1221</v>
      </c>
      <c r="D212">
        <v>63</v>
      </c>
      <c r="G212" t="s">
        <v>938</v>
      </c>
      <c r="H212">
        <v>0</v>
      </c>
      <c r="J212">
        <f>IF(COUNTIF(Sheet4!A:A,A212)&gt;0,VLOOKUP(A212,Sheet4!A:B,2,FALSE),"NotFound")</f>
        <v>0</v>
      </c>
      <c r="K212" t="str">
        <f t="shared" si="3"/>
        <v>Match</v>
      </c>
    </row>
    <row r="213" spans="1:11" x14ac:dyDescent="0.35">
      <c r="A213" s="3" t="s">
        <v>886</v>
      </c>
      <c r="B213" s="7">
        <v>0</v>
      </c>
      <c r="C213" t="s">
        <v>1223</v>
      </c>
      <c r="D213">
        <v>82</v>
      </c>
      <c r="G213" t="s">
        <v>945</v>
      </c>
      <c r="H213">
        <v>0</v>
      </c>
      <c r="J213">
        <f>IF(COUNTIF(Sheet4!A:A,A213)&gt;0,VLOOKUP(A213,Sheet4!A:B,2,FALSE),"NotFound")</f>
        <v>0</v>
      </c>
      <c r="K213" t="str">
        <f t="shared" si="3"/>
        <v>Match</v>
      </c>
    </row>
    <row r="214" spans="1:11" x14ac:dyDescent="0.35">
      <c r="A214" s="3" t="s">
        <v>838</v>
      </c>
      <c r="B214" s="7">
        <v>0</v>
      </c>
      <c r="C214" t="s">
        <v>1224</v>
      </c>
      <c r="D214">
        <v>21</v>
      </c>
      <c r="G214" t="s">
        <v>961</v>
      </c>
      <c r="H214">
        <v>0</v>
      </c>
      <c r="J214">
        <f>IF(COUNTIF(Sheet4!A:A,A214)&gt;0,VLOOKUP(A214,Sheet4!A:B,2,FALSE),"NotFound")</f>
        <v>0</v>
      </c>
      <c r="K214" t="str">
        <f t="shared" si="3"/>
        <v>Match</v>
      </c>
    </row>
    <row r="215" spans="1:11" x14ac:dyDescent="0.35">
      <c r="A215" s="3" t="s">
        <v>887</v>
      </c>
      <c r="B215" s="7">
        <v>0</v>
      </c>
      <c r="C215" t="s">
        <v>1226</v>
      </c>
      <c r="D215">
        <v>37</v>
      </c>
      <c r="G215" t="s">
        <v>982</v>
      </c>
      <c r="H215">
        <v>5424</v>
      </c>
      <c r="J215">
        <f>IF(COUNTIF(Sheet4!A:A,A215)&gt;0,VLOOKUP(A215,Sheet4!A:B,2,FALSE),"NotFound")</f>
        <v>0</v>
      </c>
      <c r="K215" t="str">
        <f t="shared" si="3"/>
        <v>Match</v>
      </c>
    </row>
    <row r="216" spans="1:11" x14ac:dyDescent="0.35">
      <c r="A216" s="3" t="s">
        <v>823</v>
      </c>
      <c r="B216" s="7">
        <v>0</v>
      </c>
      <c r="C216" t="s">
        <v>1226</v>
      </c>
      <c r="D216">
        <v>38</v>
      </c>
      <c r="G216" t="s">
        <v>982</v>
      </c>
      <c r="H216">
        <v>153</v>
      </c>
      <c r="J216">
        <f>IF(COUNTIF(Sheet4!A:A,A216)&gt;0,VLOOKUP(A216,Sheet4!A:B,2,FALSE),"NotFound")</f>
        <v>0</v>
      </c>
      <c r="K216" t="str">
        <f t="shared" si="3"/>
        <v>Match</v>
      </c>
    </row>
    <row r="217" spans="1:11" x14ac:dyDescent="0.35">
      <c r="A217" s="3" t="s">
        <v>819</v>
      </c>
      <c r="B217" s="7">
        <v>0</v>
      </c>
      <c r="C217" t="s">
        <v>1226</v>
      </c>
      <c r="D217">
        <v>38</v>
      </c>
      <c r="G217" t="s">
        <v>981</v>
      </c>
      <c r="H217">
        <v>0</v>
      </c>
      <c r="J217">
        <f>IF(COUNTIF(Sheet4!A:A,A217)&gt;0,VLOOKUP(A217,Sheet4!A:B,2,FALSE),"NotFound")</f>
        <v>0</v>
      </c>
      <c r="K217" t="str">
        <f t="shared" si="3"/>
        <v>Match</v>
      </c>
    </row>
    <row r="218" spans="1:11" x14ac:dyDescent="0.35">
      <c r="A218" s="3" t="s">
        <v>888</v>
      </c>
      <c r="B218" s="7">
        <v>0</v>
      </c>
      <c r="C218" t="s">
        <v>1228</v>
      </c>
      <c r="D218">
        <v>15</v>
      </c>
      <c r="G218" t="s">
        <v>1025</v>
      </c>
      <c r="H218">
        <v>0</v>
      </c>
      <c r="J218">
        <f>IF(COUNTIF(Sheet4!A:A,A218)&gt;0,VLOOKUP(A218,Sheet4!A:B,2,FALSE),"NotFound")</f>
        <v>0</v>
      </c>
      <c r="K218" t="str">
        <f t="shared" si="3"/>
        <v>Match</v>
      </c>
    </row>
    <row r="219" spans="1:11" x14ac:dyDescent="0.35">
      <c r="A219" s="3" t="s">
        <v>843</v>
      </c>
      <c r="B219" s="7">
        <v>0</v>
      </c>
      <c r="C219" t="s">
        <v>1228</v>
      </c>
      <c r="D219">
        <v>15</v>
      </c>
      <c r="G219" t="s">
        <v>1027</v>
      </c>
      <c r="H219">
        <v>0</v>
      </c>
      <c r="J219">
        <f>IF(COUNTIF(Sheet4!A:A,A219)&gt;0,VLOOKUP(A219,Sheet4!A:B,2,FALSE),"NotFound")</f>
        <v>0</v>
      </c>
      <c r="K219" t="str">
        <f t="shared" si="3"/>
        <v>Match</v>
      </c>
    </row>
    <row r="220" spans="1:11" x14ac:dyDescent="0.35">
      <c r="A220" s="3" t="s">
        <v>889</v>
      </c>
      <c r="B220" s="7">
        <v>0</v>
      </c>
      <c r="C220" t="s">
        <v>1228</v>
      </c>
      <c r="D220">
        <v>15</v>
      </c>
      <c r="G220" t="s">
        <v>1039</v>
      </c>
      <c r="H220">
        <v>0</v>
      </c>
      <c r="J220">
        <f>IF(COUNTIF(Sheet4!A:A,A220)&gt;0,VLOOKUP(A220,Sheet4!A:B,2,FALSE),"NotFound")</f>
        <v>0</v>
      </c>
      <c r="K220" t="str">
        <f t="shared" si="3"/>
        <v>Match</v>
      </c>
    </row>
    <row r="221" spans="1:11" x14ac:dyDescent="0.35">
      <c r="A221" s="3" t="s">
        <v>851</v>
      </c>
      <c r="B221" s="7">
        <v>0</v>
      </c>
      <c r="C221" t="s">
        <v>1228</v>
      </c>
      <c r="D221">
        <v>15</v>
      </c>
      <c r="G221" t="s">
        <v>1019</v>
      </c>
      <c r="H221">
        <v>1</v>
      </c>
      <c r="J221">
        <f>IF(COUNTIF(Sheet4!A:A,A221)&gt;0,VLOOKUP(A221,Sheet4!A:B,2,FALSE),"NotFound")</f>
        <v>0</v>
      </c>
      <c r="K221" t="str">
        <f t="shared" si="3"/>
        <v>Match</v>
      </c>
    </row>
    <row r="222" spans="1:11" x14ac:dyDescent="0.35">
      <c r="A222" s="3" t="s">
        <v>852</v>
      </c>
      <c r="B222" s="7">
        <v>0</v>
      </c>
      <c r="C222" t="s">
        <v>1228</v>
      </c>
      <c r="D222">
        <v>15</v>
      </c>
      <c r="G222" t="s">
        <v>1041</v>
      </c>
      <c r="H222">
        <v>0</v>
      </c>
      <c r="J222">
        <f>IF(COUNTIF(Sheet4!A:A,A222)&gt;0,VLOOKUP(A222,Sheet4!A:B,2,FALSE),"NotFound")</f>
        <v>0</v>
      </c>
      <c r="K222" t="str">
        <f t="shared" si="3"/>
        <v>Match</v>
      </c>
    </row>
    <row r="223" spans="1:11" x14ac:dyDescent="0.35">
      <c r="A223" s="3" t="s">
        <v>890</v>
      </c>
      <c r="B223" s="7">
        <v>0</v>
      </c>
      <c r="C223" t="s">
        <v>1228</v>
      </c>
      <c r="D223">
        <v>15</v>
      </c>
      <c r="G223" t="s">
        <v>1000</v>
      </c>
      <c r="H223">
        <v>5125</v>
      </c>
      <c r="J223">
        <f>IF(COUNTIF(Sheet4!A:A,A223)&gt;0,VLOOKUP(A223,Sheet4!A:B,2,FALSE),"NotFound")</f>
        <v>0</v>
      </c>
      <c r="K223" t="str">
        <f t="shared" si="3"/>
        <v>Match</v>
      </c>
    </row>
    <row r="224" spans="1:11" x14ac:dyDescent="0.35">
      <c r="A224" s="3" t="s">
        <v>891</v>
      </c>
      <c r="B224" s="7">
        <v>0</v>
      </c>
      <c r="C224" t="s">
        <v>1228</v>
      </c>
      <c r="D224">
        <v>15</v>
      </c>
      <c r="G224" t="s">
        <v>989</v>
      </c>
      <c r="H224">
        <v>8919</v>
      </c>
      <c r="J224">
        <f>IF(COUNTIF(Sheet4!A:A,A224)&gt;0,VLOOKUP(A224,Sheet4!A:B,2,FALSE),"NotFound")</f>
        <v>0</v>
      </c>
      <c r="K224" t="str">
        <f t="shared" si="3"/>
        <v>Match</v>
      </c>
    </row>
    <row r="225" spans="1:11" x14ac:dyDescent="0.35">
      <c r="A225" s="3" t="s">
        <v>892</v>
      </c>
      <c r="B225" s="7">
        <v>0</v>
      </c>
      <c r="C225" t="s">
        <v>1228</v>
      </c>
      <c r="D225">
        <v>15</v>
      </c>
      <c r="G225" t="s">
        <v>1056</v>
      </c>
      <c r="H225">
        <v>0</v>
      </c>
      <c r="J225">
        <f>IF(COUNTIF(Sheet4!A:A,A225)&gt;0,VLOOKUP(A225,Sheet4!A:B,2,FALSE),"NotFound")</f>
        <v>0</v>
      </c>
      <c r="K225" t="str">
        <f t="shared" si="3"/>
        <v>Match</v>
      </c>
    </row>
    <row r="226" spans="1:11" x14ac:dyDescent="0.35">
      <c r="A226" s="3" t="s">
        <v>893</v>
      </c>
      <c r="B226" s="7">
        <v>0</v>
      </c>
      <c r="C226" t="s">
        <v>1228</v>
      </c>
      <c r="D226">
        <v>15</v>
      </c>
      <c r="G226" t="s">
        <v>993</v>
      </c>
      <c r="H226">
        <v>9771</v>
      </c>
      <c r="J226">
        <f>IF(COUNTIF(Sheet4!A:A,A226)&gt;0,VLOOKUP(A226,Sheet4!A:B,2,FALSE),"NotFound")</f>
        <v>0</v>
      </c>
      <c r="K226" t="str">
        <f t="shared" si="3"/>
        <v>Match</v>
      </c>
    </row>
    <row r="227" spans="1:11" x14ac:dyDescent="0.35">
      <c r="A227" s="3" t="s">
        <v>894</v>
      </c>
      <c r="B227" s="7">
        <v>0</v>
      </c>
      <c r="C227" t="s">
        <v>1228</v>
      </c>
      <c r="D227">
        <v>15</v>
      </c>
      <c r="G227" t="s">
        <v>995</v>
      </c>
      <c r="H227">
        <v>936</v>
      </c>
      <c r="J227">
        <f>IF(COUNTIF(Sheet4!A:A,A227)&gt;0,VLOOKUP(A227,Sheet4!A:B,2,FALSE),"NotFound")</f>
        <v>0</v>
      </c>
      <c r="K227" t="str">
        <f t="shared" si="3"/>
        <v>Match</v>
      </c>
    </row>
    <row r="228" spans="1:11" x14ac:dyDescent="0.35">
      <c r="A228" s="3" t="s">
        <v>846</v>
      </c>
      <c r="B228" s="7">
        <v>0</v>
      </c>
      <c r="C228" t="s">
        <v>1228</v>
      </c>
      <c r="D228">
        <v>15</v>
      </c>
      <c r="G228" t="s">
        <v>1062</v>
      </c>
      <c r="H228">
        <v>0</v>
      </c>
      <c r="J228">
        <f>IF(COUNTIF(Sheet4!A:A,A228)&gt;0,VLOOKUP(A228,Sheet4!A:B,2,FALSE),"NotFound")</f>
        <v>0</v>
      </c>
      <c r="K228" t="str">
        <f t="shared" si="3"/>
        <v>Match</v>
      </c>
    </row>
    <row r="229" spans="1:11" x14ac:dyDescent="0.35">
      <c r="A229" s="3" t="s">
        <v>841</v>
      </c>
      <c r="B229" s="7">
        <v>0</v>
      </c>
      <c r="C229" t="s">
        <v>1261</v>
      </c>
      <c r="D229">
        <v>46</v>
      </c>
      <c r="G229" t="s">
        <v>1066</v>
      </c>
      <c r="H229">
        <v>0</v>
      </c>
      <c r="J229">
        <f>IF(COUNTIF(Sheet4!A:A,A229)&gt;0,VLOOKUP(A229,Sheet4!A:B,2,FALSE),"NotFound")</f>
        <v>0</v>
      </c>
      <c r="K229" t="str">
        <f t="shared" si="3"/>
        <v>Match</v>
      </c>
    </row>
    <row r="230" spans="1:11" x14ac:dyDescent="0.35">
      <c r="A230" s="3" t="s">
        <v>895</v>
      </c>
      <c r="B230" s="7">
        <v>0</v>
      </c>
      <c r="C230" t="s">
        <v>1262</v>
      </c>
      <c r="D230">
        <v>48</v>
      </c>
      <c r="G230" t="s">
        <v>1068</v>
      </c>
      <c r="H230">
        <v>0</v>
      </c>
      <c r="J230">
        <f>IF(COUNTIF(Sheet4!A:A,A230)&gt;0,VLOOKUP(A230,Sheet4!A:B,2,FALSE),"NotFound")</f>
        <v>0</v>
      </c>
      <c r="K230" t="str">
        <f t="shared" si="3"/>
        <v>Match</v>
      </c>
    </row>
    <row r="231" spans="1:11" x14ac:dyDescent="0.35">
      <c r="A231" s="3" t="s">
        <v>832</v>
      </c>
      <c r="B231" s="7">
        <v>2</v>
      </c>
      <c r="C231" t="s">
        <v>1263</v>
      </c>
      <c r="D231">
        <v>51</v>
      </c>
      <c r="G231" t="s">
        <v>1072</v>
      </c>
      <c r="H231">
        <v>0</v>
      </c>
      <c r="J231">
        <f>IF(COUNTIF(Sheet4!A:A,A231)&gt;0,VLOOKUP(A231,Sheet4!A:B,2,FALSE),"NotFound")</f>
        <v>2</v>
      </c>
      <c r="K231" t="str">
        <f t="shared" si="3"/>
        <v>Match</v>
      </c>
    </row>
    <row r="232" spans="1:11" x14ac:dyDescent="0.35">
      <c r="A232" s="3" t="s">
        <v>844</v>
      </c>
      <c r="B232" s="7">
        <v>0</v>
      </c>
      <c r="C232" t="s">
        <v>1264</v>
      </c>
      <c r="D232">
        <v>53</v>
      </c>
      <c r="G232" t="s">
        <v>1074</v>
      </c>
      <c r="H232">
        <v>0</v>
      </c>
      <c r="J232">
        <f>IF(COUNTIF(Sheet4!A:A,A232)&gt;0,VLOOKUP(A232,Sheet4!A:B,2,FALSE),"NotFound")</f>
        <v>0</v>
      </c>
      <c r="K232" t="str">
        <f t="shared" si="3"/>
        <v>Match</v>
      </c>
    </row>
    <row r="233" spans="1:11" x14ac:dyDescent="0.35">
      <c r="A233" s="3" t="s">
        <v>842</v>
      </c>
      <c r="B233" s="7">
        <v>0</v>
      </c>
      <c r="C233" t="s">
        <v>1265</v>
      </c>
      <c r="D233">
        <v>95</v>
      </c>
      <c r="G233" t="s">
        <v>1081</v>
      </c>
      <c r="H233">
        <v>0</v>
      </c>
      <c r="J233">
        <f>IF(COUNTIF(Sheet4!A:A,A233)&gt;0,VLOOKUP(A233,Sheet4!A:B,2,FALSE),"NotFound")</f>
        <v>0</v>
      </c>
      <c r="K233" t="str">
        <f t="shared" si="3"/>
        <v>Match</v>
      </c>
    </row>
    <row r="234" spans="1:11" x14ac:dyDescent="0.35">
      <c r="A234" s="3" t="s">
        <v>896</v>
      </c>
      <c r="B234" s="7">
        <v>0</v>
      </c>
      <c r="C234" t="s">
        <v>1231</v>
      </c>
      <c r="D234">
        <v>14</v>
      </c>
      <c r="G234" t="s">
        <v>1082</v>
      </c>
      <c r="H234">
        <v>2043</v>
      </c>
      <c r="J234">
        <f>IF(COUNTIF(Sheet4!A:A,A234)&gt;0,VLOOKUP(A234,Sheet4!A:B,2,FALSE),"NotFound")</f>
        <v>0</v>
      </c>
      <c r="K234" t="str">
        <f t="shared" si="3"/>
        <v>Match</v>
      </c>
    </row>
    <row r="235" spans="1:11" x14ac:dyDescent="0.35">
      <c r="A235" s="3" t="s">
        <v>899</v>
      </c>
      <c r="B235" s="7">
        <v>0</v>
      </c>
      <c r="C235" t="s">
        <v>1232</v>
      </c>
      <c r="D235">
        <v>62</v>
      </c>
      <c r="G235" t="s">
        <v>1099</v>
      </c>
      <c r="H235">
        <v>0</v>
      </c>
      <c r="J235">
        <f>IF(COUNTIF(Sheet4!A:A,A235)&gt;0,VLOOKUP(A235,Sheet4!A:B,2,FALSE),"NotFound")</f>
        <v>0</v>
      </c>
      <c r="K235" t="str">
        <f t="shared" si="3"/>
        <v>Match</v>
      </c>
    </row>
    <row r="236" spans="1:11" x14ac:dyDescent="0.35">
      <c r="A236" s="3" t="s">
        <v>900</v>
      </c>
      <c r="B236" s="7">
        <v>0</v>
      </c>
      <c r="C236" t="s">
        <v>1232</v>
      </c>
      <c r="D236">
        <v>62</v>
      </c>
      <c r="G236" t="s">
        <v>1095</v>
      </c>
      <c r="H236">
        <v>0</v>
      </c>
      <c r="J236">
        <f>IF(COUNTIF(Sheet4!A:A,A236)&gt;0,VLOOKUP(A236,Sheet4!A:B,2,FALSE),"NotFound")</f>
        <v>0</v>
      </c>
      <c r="K236" t="str">
        <f t="shared" si="3"/>
        <v>Match</v>
      </c>
    </row>
    <row r="237" spans="1:11" x14ac:dyDescent="0.35">
      <c r="A237" s="3" t="s">
        <v>901</v>
      </c>
      <c r="B237" s="7">
        <v>0</v>
      </c>
      <c r="C237" t="s">
        <v>1232</v>
      </c>
      <c r="D237">
        <v>62</v>
      </c>
      <c r="G237" t="s">
        <v>1096</v>
      </c>
      <c r="H237">
        <v>0</v>
      </c>
      <c r="J237">
        <f>IF(COUNTIF(Sheet4!A:A,A237)&gt;0,VLOOKUP(A237,Sheet4!A:B,2,FALSE),"NotFound")</f>
        <v>0</v>
      </c>
      <c r="K237" t="str">
        <f t="shared" si="3"/>
        <v>Match</v>
      </c>
    </row>
    <row r="238" spans="1:11" x14ac:dyDescent="0.35">
      <c r="A238" s="3" t="s">
        <v>902</v>
      </c>
      <c r="B238" s="7">
        <v>0</v>
      </c>
      <c r="C238" t="s">
        <v>1233</v>
      </c>
      <c r="D238">
        <v>66</v>
      </c>
      <c r="G238" t="s">
        <v>1113</v>
      </c>
      <c r="H238">
        <v>0</v>
      </c>
      <c r="J238">
        <f>IF(COUNTIF(Sheet4!A:A,A238)&gt;0,VLOOKUP(A238,Sheet4!A:B,2,FALSE),"NotFound")</f>
        <v>0</v>
      </c>
      <c r="K238" t="str">
        <f t="shared" si="3"/>
        <v>Match</v>
      </c>
    </row>
    <row r="239" spans="1:11" x14ac:dyDescent="0.35">
      <c r="A239" s="3" t="s">
        <v>897</v>
      </c>
      <c r="B239" s="7">
        <v>0</v>
      </c>
      <c r="C239" t="s">
        <v>1234</v>
      </c>
      <c r="D239">
        <v>12</v>
      </c>
      <c r="G239" t="s">
        <v>1126</v>
      </c>
      <c r="H239">
        <v>0</v>
      </c>
      <c r="J239">
        <f>IF(COUNTIF(Sheet4!A:A,A239)&gt;0,VLOOKUP(A239,Sheet4!A:B,2,FALSE),"NotFound")</f>
        <v>0</v>
      </c>
      <c r="K239" t="str">
        <f t="shared" si="3"/>
        <v>Match</v>
      </c>
    </row>
    <row r="240" spans="1:11" x14ac:dyDescent="0.35">
      <c r="A240" s="3" t="s">
        <v>898</v>
      </c>
      <c r="B240" s="7">
        <v>0</v>
      </c>
      <c r="C240" t="s">
        <v>1266</v>
      </c>
      <c r="D240">
        <v>71</v>
      </c>
      <c r="G240" t="s">
        <v>1122</v>
      </c>
      <c r="H240">
        <v>0</v>
      </c>
      <c r="J240">
        <f>IF(COUNTIF(Sheet4!A:A,A240)&gt;0,VLOOKUP(A240,Sheet4!A:B,2,FALSE),"NotFound")</f>
        <v>0</v>
      </c>
      <c r="K240" t="str">
        <f t="shared" si="3"/>
        <v>Match</v>
      </c>
    </row>
    <row r="241" spans="1:11" x14ac:dyDescent="0.35">
      <c r="A241" s="3" t="s">
        <v>903</v>
      </c>
      <c r="B241" s="7">
        <v>0</v>
      </c>
      <c r="C241" t="s">
        <v>1235</v>
      </c>
      <c r="D241">
        <v>11</v>
      </c>
      <c r="G241" t="s">
        <v>1151</v>
      </c>
      <c r="H241">
        <v>0</v>
      </c>
      <c r="J241">
        <f>IF(COUNTIF(Sheet4!A:A,A241)&gt;0,VLOOKUP(A241,Sheet4!A:B,2,FALSE),"NotFound")</f>
        <v>0</v>
      </c>
      <c r="K241" t="str">
        <f t="shared" si="3"/>
        <v>Match</v>
      </c>
    </row>
    <row r="242" spans="1:11" x14ac:dyDescent="0.35">
      <c r="A242" s="3" t="s">
        <v>905</v>
      </c>
      <c r="B242" s="7">
        <v>0</v>
      </c>
      <c r="C242" t="s">
        <v>1236</v>
      </c>
      <c r="D242">
        <v>10</v>
      </c>
      <c r="G242" t="s">
        <v>1159</v>
      </c>
      <c r="H242">
        <v>0</v>
      </c>
      <c r="J242">
        <f>IF(COUNTIF(Sheet4!A:A,A242)&gt;0,VLOOKUP(A242,Sheet4!A:B,2,FALSE),"NotFound")</f>
        <v>0</v>
      </c>
      <c r="K242" t="str">
        <f t="shared" si="3"/>
        <v>Match</v>
      </c>
    </row>
    <row r="243" spans="1:11" x14ac:dyDescent="0.35">
      <c r="A243" s="3" t="s">
        <v>904</v>
      </c>
      <c r="B243" s="7">
        <v>0</v>
      </c>
      <c r="C243" t="s">
        <v>1236</v>
      </c>
      <c r="D243">
        <v>10</v>
      </c>
      <c r="G243" t="s">
        <v>1170</v>
      </c>
      <c r="H243">
        <v>0</v>
      </c>
      <c r="J243">
        <f>IF(COUNTIF(Sheet4!A:A,A243)&gt;0,VLOOKUP(A243,Sheet4!A:B,2,FALSE),"NotFound")</f>
        <v>0</v>
      </c>
      <c r="K243" t="str">
        <f t="shared" si="3"/>
        <v>Match</v>
      </c>
    </row>
    <row r="244" spans="1:11" x14ac:dyDescent="0.35">
      <c r="A244" s="3" t="s">
        <v>845</v>
      </c>
      <c r="B244" s="7">
        <v>0</v>
      </c>
      <c r="C244" t="s">
        <v>1241</v>
      </c>
      <c r="D244">
        <v>93</v>
      </c>
      <c r="G244" t="s">
        <v>653</v>
      </c>
      <c r="H244">
        <v>402580</v>
      </c>
      <c r="J244">
        <f>IF(COUNTIF(Sheet4!A:A,A244)&gt;0,VLOOKUP(A244,Sheet4!A:B,2,FALSE),"NotFound")</f>
        <v>0</v>
      </c>
      <c r="K244" t="str">
        <f t="shared" si="3"/>
        <v>Match</v>
      </c>
    </row>
    <row r="245" spans="1:11" x14ac:dyDescent="0.35">
      <c r="A245" s="3" t="s">
        <v>906</v>
      </c>
      <c r="B245" s="7">
        <v>0</v>
      </c>
      <c r="C245" t="s">
        <v>1198</v>
      </c>
      <c r="D245">
        <v>100</v>
      </c>
      <c r="G245" t="s">
        <v>658</v>
      </c>
      <c r="H245">
        <v>5181089</v>
      </c>
      <c r="J245">
        <f>IF(COUNTIF(Sheet4!A:A,A245)&gt;0,VLOOKUP(A245,Sheet4!A:B,2,FALSE),"NotFound")</f>
        <v>0</v>
      </c>
      <c r="K245" t="str">
        <f t="shared" si="3"/>
        <v>Match</v>
      </c>
    </row>
    <row r="246" spans="1:11" x14ac:dyDescent="0.35">
      <c r="A246" s="3" t="s">
        <v>914</v>
      </c>
      <c r="B246" s="7">
        <v>0</v>
      </c>
      <c r="C246" t="s">
        <v>1198</v>
      </c>
      <c r="D246">
        <v>100</v>
      </c>
      <c r="G246" t="s">
        <v>690</v>
      </c>
      <c r="H246">
        <v>0</v>
      </c>
      <c r="J246">
        <f>IF(COUNTIF(Sheet4!A:A,A246)&gt;0,VLOOKUP(A246,Sheet4!A:B,2,FALSE),"NotFound")</f>
        <v>0</v>
      </c>
      <c r="K246" t="str">
        <f t="shared" si="3"/>
        <v>Match</v>
      </c>
    </row>
    <row r="247" spans="1:11" x14ac:dyDescent="0.35">
      <c r="A247" s="3" t="s">
        <v>1088</v>
      </c>
      <c r="B247" s="7">
        <v>0</v>
      </c>
      <c r="C247" t="s">
        <v>1198</v>
      </c>
      <c r="D247">
        <v>100</v>
      </c>
      <c r="G247" t="s">
        <v>687</v>
      </c>
      <c r="H247">
        <v>29105</v>
      </c>
      <c r="J247">
        <f>IF(COUNTIF(Sheet4!A:A,A247)&gt;0,VLOOKUP(A247,Sheet4!A:B,2,FALSE),"NotFound")</f>
        <v>0</v>
      </c>
      <c r="K247" t="str">
        <f t="shared" si="3"/>
        <v>Match</v>
      </c>
    </row>
    <row r="248" spans="1:11" x14ac:dyDescent="0.35">
      <c r="A248" s="3" t="s">
        <v>1093</v>
      </c>
      <c r="B248" s="7">
        <v>4129</v>
      </c>
      <c r="C248" t="s">
        <v>1198</v>
      </c>
      <c r="D248">
        <v>100</v>
      </c>
      <c r="G248" t="s">
        <v>677</v>
      </c>
      <c r="H248">
        <v>0</v>
      </c>
      <c r="J248">
        <f>IF(COUNTIF(Sheet4!A:A,A248)&gt;0,VLOOKUP(A248,Sheet4!A:B,2,FALSE),"NotFound")</f>
        <v>4129</v>
      </c>
      <c r="K248" t="str">
        <f t="shared" si="3"/>
        <v>Match</v>
      </c>
    </row>
    <row r="249" spans="1:11" x14ac:dyDescent="0.35">
      <c r="A249" s="3" t="s">
        <v>1086</v>
      </c>
      <c r="B249" s="7">
        <v>0</v>
      </c>
      <c r="C249" t="s">
        <v>1198</v>
      </c>
      <c r="D249">
        <v>100</v>
      </c>
      <c r="G249" t="s">
        <v>679</v>
      </c>
      <c r="H249">
        <v>0</v>
      </c>
      <c r="J249">
        <f>IF(COUNTIF(Sheet4!A:A,A249)&gt;0,VLOOKUP(A249,Sheet4!A:B,2,FALSE),"NotFound")</f>
        <v>0</v>
      </c>
      <c r="K249" t="str">
        <f t="shared" si="3"/>
        <v>Match</v>
      </c>
    </row>
    <row r="250" spans="1:11" x14ac:dyDescent="0.35">
      <c r="A250" s="3" t="s">
        <v>1121</v>
      </c>
      <c r="B250" s="7">
        <v>0</v>
      </c>
      <c r="C250" t="s">
        <v>1198</v>
      </c>
      <c r="D250">
        <v>100</v>
      </c>
      <c r="G250" t="s">
        <v>685</v>
      </c>
      <c r="H250">
        <v>0</v>
      </c>
      <c r="J250">
        <f>IF(COUNTIF(Sheet4!A:A,A250)&gt;0,VLOOKUP(A250,Sheet4!A:B,2,FALSE),"NotFound")</f>
        <v>0</v>
      </c>
      <c r="K250" t="str">
        <f t="shared" si="3"/>
        <v>Match</v>
      </c>
    </row>
    <row r="251" spans="1:11" x14ac:dyDescent="0.35">
      <c r="A251" s="3" t="s">
        <v>1146</v>
      </c>
      <c r="B251" s="7">
        <v>639</v>
      </c>
      <c r="C251" t="s">
        <v>1198</v>
      </c>
      <c r="D251">
        <v>100</v>
      </c>
      <c r="G251" t="s">
        <v>684</v>
      </c>
      <c r="H251">
        <v>0</v>
      </c>
      <c r="J251">
        <f>IF(COUNTIF(Sheet4!A:A,A251)&gt;0,VLOOKUP(A251,Sheet4!A:B,2,FALSE),"NotFound")</f>
        <v>639</v>
      </c>
      <c r="K251" t="str">
        <f t="shared" si="3"/>
        <v>Match</v>
      </c>
    </row>
    <row r="252" spans="1:11" x14ac:dyDescent="0.35">
      <c r="A252" s="3" t="s">
        <v>1142</v>
      </c>
      <c r="B252" s="7">
        <v>0</v>
      </c>
      <c r="C252" t="s">
        <v>1198</v>
      </c>
      <c r="D252">
        <v>100</v>
      </c>
      <c r="G252" t="s">
        <v>681</v>
      </c>
      <c r="H252">
        <v>0</v>
      </c>
      <c r="J252">
        <f>IF(COUNTIF(Sheet4!A:A,A252)&gt;0,VLOOKUP(A252,Sheet4!A:B,2,FALSE),"NotFound")</f>
        <v>0</v>
      </c>
      <c r="K252" t="str">
        <f t="shared" si="3"/>
        <v>Match</v>
      </c>
    </row>
    <row r="253" spans="1:11" x14ac:dyDescent="0.35">
      <c r="A253" s="3" t="s">
        <v>1148</v>
      </c>
      <c r="B253" s="7">
        <v>640</v>
      </c>
      <c r="C253" t="s">
        <v>1198</v>
      </c>
      <c r="D253">
        <v>100</v>
      </c>
      <c r="G253" t="s">
        <v>694</v>
      </c>
      <c r="H253">
        <v>0</v>
      </c>
      <c r="J253">
        <f>IF(COUNTIF(Sheet4!A:A,A253)&gt;0,VLOOKUP(A253,Sheet4!A:B,2,FALSE),"NotFound")</f>
        <v>640</v>
      </c>
      <c r="K253" t="str">
        <f t="shared" si="3"/>
        <v>Match</v>
      </c>
    </row>
    <row r="254" spans="1:11" x14ac:dyDescent="0.35">
      <c r="A254" s="3" t="s">
        <v>1152</v>
      </c>
      <c r="B254" s="7">
        <v>0</v>
      </c>
      <c r="C254" t="s">
        <v>1243</v>
      </c>
      <c r="D254">
        <v>13</v>
      </c>
      <c r="G254" t="s">
        <v>656</v>
      </c>
      <c r="H254">
        <v>0</v>
      </c>
      <c r="J254">
        <f>IF(COUNTIF(Sheet4!A:A,A254)&gt;0,VLOOKUP(A254,Sheet4!A:B,2,FALSE),"NotFound")</f>
        <v>0</v>
      </c>
      <c r="K254" t="str">
        <f t="shared" si="3"/>
        <v>Match</v>
      </c>
    </row>
    <row r="255" spans="1:11" x14ac:dyDescent="0.35">
      <c r="A255" s="3" t="s">
        <v>1147</v>
      </c>
      <c r="B255" s="7">
        <v>639</v>
      </c>
      <c r="C255" t="s">
        <v>1200</v>
      </c>
      <c r="D255">
        <v>97</v>
      </c>
      <c r="G255" t="s">
        <v>704</v>
      </c>
      <c r="H255">
        <v>0</v>
      </c>
      <c r="J255">
        <f>IF(COUNTIF(Sheet4!A:A,A255)&gt;0,VLOOKUP(A255,Sheet4!A:B,2,FALSE),"NotFound")</f>
        <v>639</v>
      </c>
      <c r="K255" t="str">
        <f t="shared" si="3"/>
        <v>Match</v>
      </c>
    </row>
    <row r="256" spans="1:11" x14ac:dyDescent="0.35">
      <c r="A256" s="3" t="s">
        <v>1140</v>
      </c>
      <c r="B256" s="7">
        <v>0</v>
      </c>
      <c r="C256" t="s">
        <v>1200</v>
      </c>
      <c r="D256">
        <v>97</v>
      </c>
      <c r="G256" t="s">
        <v>711</v>
      </c>
      <c r="H256">
        <v>0</v>
      </c>
      <c r="J256">
        <f>IF(COUNTIF(Sheet4!A:A,A256)&gt;0,VLOOKUP(A256,Sheet4!A:B,2,FALSE),"NotFound")</f>
        <v>0</v>
      </c>
      <c r="K256" t="str">
        <f t="shared" si="3"/>
        <v>Match</v>
      </c>
    </row>
    <row r="257" spans="1:11" x14ac:dyDescent="0.35">
      <c r="A257" s="3" t="s">
        <v>1138</v>
      </c>
      <c r="B257" s="7">
        <v>0</v>
      </c>
      <c r="C257" t="s">
        <v>1201</v>
      </c>
      <c r="D257">
        <v>98</v>
      </c>
      <c r="G257" t="s">
        <v>717</v>
      </c>
      <c r="H257">
        <v>0</v>
      </c>
      <c r="J257">
        <f>IF(COUNTIF(Sheet4!A:A,A257)&gt;0,VLOOKUP(A257,Sheet4!A:B,2,FALSE),"NotFound")</f>
        <v>0</v>
      </c>
      <c r="K257" t="str">
        <f t="shared" si="3"/>
        <v>Match</v>
      </c>
    </row>
    <row r="258" spans="1:11" x14ac:dyDescent="0.35">
      <c r="A258" s="3" t="s">
        <v>1139</v>
      </c>
      <c r="B258" s="7">
        <v>0</v>
      </c>
      <c r="C258" t="s">
        <v>1203</v>
      </c>
      <c r="D258">
        <v>96</v>
      </c>
      <c r="G258" t="s">
        <v>736</v>
      </c>
      <c r="H258">
        <v>11776783</v>
      </c>
      <c r="J258">
        <f>IF(COUNTIF(Sheet4!A:A,A258)&gt;0,VLOOKUP(A258,Sheet4!A:B,2,FALSE),"NotFound")</f>
        <v>0</v>
      </c>
      <c r="K258" t="str">
        <f t="shared" si="3"/>
        <v>Match</v>
      </c>
    </row>
    <row r="259" spans="1:11" x14ac:dyDescent="0.35">
      <c r="A259" s="3" t="s">
        <v>1149</v>
      </c>
      <c r="B259" s="7">
        <v>0</v>
      </c>
      <c r="C259" t="s">
        <v>1204</v>
      </c>
      <c r="D259">
        <v>72</v>
      </c>
      <c r="G259" t="s">
        <v>748</v>
      </c>
      <c r="H259">
        <v>0</v>
      </c>
      <c r="J259">
        <f>IF(COUNTIF(Sheet4!A:A,A259)&gt;0,VLOOKUP(A259,Sheet4!A:B,2,FALSE),"NotFound")</f>
        <v>0</v>
      </c>
      <c r="K259" t="str">
        <f t="shared" ref="K259:K322" si="4">IF(B259=J259,"Match","Mis Match")</f>
        <v>Match</v>
      </c>
    </row>
    <row r="260" spans="1:11" x14ac:dyDescent="0.35">
      <c r="A260" s="3" t="s">
        <v>1145</v>
      </c>
      <c r="B260" s="7">
        <v>640</v>
      </c>
      <c r="C260" t="s">
        <v>1204</v>
      </c>
      <c r="D260">
        <v>72</v>
      </c>
      <c r="G260" t="s">
        <v>738</v>
      </c>
      <c r="H260">
        <v>0</v>
      </c>
      <c r="J260">
        <f>IF(COUNTIF(Sheet4!A:A,A260)&gt;0,VLOOKUP(A260,Sheet4!A:B,2,FALSE),"NotFound")</f>
        <v>640</v>
      </c>
      <c r="K260" t="str">
        <f t="shared" si="4"/>
        <v>Match</v>
      </c>
    </row>
    <row r="261" spans="1:11" x14ac:dyDescent="0.35">
      <c r="A261" s="3" t="s">
        <v>1150</v>
      </c>
      <c r="B261" s="7">
        <v>1</v>
      </c>
      <c r="C261" t="s">
        <v>1245</v>
      </c>
      <c r="D261">
        <v>1</v>
      </c>
      <c r="G261" t="s">
        <v>755</v>
      </c>
      <c r="H261">
        <v>0</v>
      </c>
      <c r="J261">
        <f>IF(COUNTIF(Sheet4!A:A,A261)&gt;0,VLOOKUP(A261,Sheet4!A:B,2,FALSE),"NotFound")</f>
        <v>1</v>
      </c>
      <c r="K261" t="str">
        <f t="shared" si="4"/>
        <v>Match</v>
      </c>
    </row>
    <row r="262" spans="1:11" x14ac:dyDescent="0.35">
      <c r="A262" s="3" t="s">
        <v>1144</v>
      </c>
      <c r="B262" s="7">
        <v>639</v>
      </c>
      <c r="C262" t="s">
        <v>1245</v>
      </c>
      <c r="D262">
        <v>1</v>
      </c>
      <c r="G262" t="s">
        <v>749</v>
      </c>
      <c r="H262">
        <v>4776291</v>
      </c>
      <c r="J262">
        <f>IF(COUNTIF(Sheet4!A:A,A262)&gt;0,VLOOKUP(A262,Sheet4!A:B,2,FALSE),"NotFound")</f>
        <v>639</v>
      </c>
      <c r="K262" t="str">
        <f t="shared" si="4"/>
        <v>Match</v>
      </c>
    </row>
    <row r="263" spans="1:11" x14ac:dyDescent="0.35">
      <c r="A263" s="3" t="s">
        <v>1141</v>
      </c>
      <c r="B263" s="7">
        <v>640</v>
      </c>
      <c r="C263" t="s">
        <v>1205</v>
      </c>
      <c r="D263">
        <v>105</v>
      </c>
      <c r="G263" t="s">
        <v>760</v>
      </c>
      <c r="H263">
        <v>0</v>
      </c>
      <c r="J263">
        <f>IF(COUNTIF(Sheet4!A:A,A263)&gt;0,VLOOKUP(A263,Sheet4!A:B,2,FALSE),"NotFound")</f>
        <v>640</v>
      </c>
      <c r="K263" t="str">
        <f t="shared" si="4"/>
        <v>Match</v>
      </c>
    </row>
    <row r="264" spans="1:11" x14ac:dyDescent="0.35">
      <c r="A264" s="3" t="s">
        <v>1143</v>
      </c>
      <c r="B264" s="7">
        <v>639</v>
      </c>
      <c r="C264" t="s">
        <v>1246</v>
      </c>
      <c r="D264">
        <v>64</v>
      </c>
      <c r="G264" t="s">
        <v>790</v>
      </c>
      <c r="H264">
        <v>0</v>
      </c>
      <c r="J264">
        <f>IF(COUNTIF(Sheet4!A:A,A264)&gt;0,VLOOKUP(A264,Sheet4!A:B,2,FALSE),"NotFound")</f>
        <v>639</v>
      </c>
      <c r="K264" t="str">
        <f t="shared" si="4"/>
        <v>Match</v>
      </c>
    </row>
    <row r="265" spans="1:11" x14ac:dyDescent="0.35">
      <c r="A265" s="3" t="s">
        <v>1151</v>
      </c>
      <c r="B265" s="7">
        <v>0</v>
      </c>
      <c r="C265" t="s">
        <v>1246</v>
      </c>
      <c r="D265">
        <v>64</v>
      </c>
      <c r="G265" t="s">
        <v>774</v>
      </c>
      <c r="H265">
        <v>0</v>
      </c>
      <c r="J265">
        <f>IF(COUNTIF(Sheet4!A:A,A265)&gt;0,VLOOKUP(A265,Sheet4!A:B,2,FALSE),"NotFound")</f>
        <v>0</v>
      </c>
      <c r="K265" t="str">
        <f t="shared" si="4"/>
        <v>Match</v>
      </c>
    </row>
    <row r="266" spans="1:11" x14ac:dyDescent="0.35">
      <c r="A266" s="3" t="s">
        <v>1122</v>
      </c>
      <c r="B266" s="7">
        <v>0</v>
      </c>
      <c r="C266" t="s">
        <v>1267</v>
      </c>
      <c r="D266">
        <v>92</v>
      </c>
      <c r="G266" t="s">
        <v>769</v>
      </c>
      <c r="H266">
        <v>960</v>
      </c>
      <c r="J266">
        <f>IF(COUNTIF(Sheet4!A:A,A266)&gt;0,VLOOKUP(A266,Sheet4!A:B,2,FALSE),"NotFound")</f>
        <v>0</v>
      </c>
      <c r="K266" t="str">
        <f t="shared" si="4"/>
        <v>Match</v>
      </c>
    </row>
    <row r="267" spans="1:11" x14ac:dyDescent="0.35">
      <c r="A267" s="3" t="s">
        <v>1111</v>
      </c>
      <c r="B267" s="7">
        <v>0</v>
      </c>
      <c r="C267" t="s">
        <v>1267</v>
      </c>
      <c r="D267">
        <v>75</v>
      </c>
      <c r="G267" t="s">
        <v>769</v>
      </c>
      <c r="H267">
        <v>0</v>
      </c>
      <c r="J267">
        <f>IF(COUNTIF(Sheet4!A:A,A267)&gt;0,VLOOKUP(A267,Sheet4!A:B,2,FALSE),"NotFound")</f>
        <v>0</v>
      </c>
      <c r="K267" t="str">
        <f t="shared" si="4"/>
        <v>Match</v>
      </c>
    </row>
    <row r="268" spans="1:11" x14ac:dyDescent="0.35">
      <c r="A268" s="3" t="s">
        <v>912</v>
      </c>
      <c r="B268" s="7">
        <v>0</v>
      </c>
      <c r="C268" t="s">
        <v>1246</v>
      </c>
      <c r="D268">
        <v>64</v>
      </c>
      <c r="G268" t="s">
        <v>789</v>
      </c>
      <c r="H268">
        <v>0</v>
      </c>
      <c r="J268">
        <f>IF(COUNTIF(Sheet4!A:A,A268)&gt;0,VLOOKUP(A268,Sheet4!A:B,2,FALSE),"NotFound")</f>
        <v>0</v>
      </c>
      <c r="K268" t="str">
        <f t="shared" si="4"/>
        <v>Match</v>
      </c>
    </row>
    <row r="269" spans="1:11" x14ac:dyDescent="0.35">
      <c r="A269" s="3" t="s">
        <v>913</v>
      </c>
      <c r="B269" s="7">
        <v>0</v>
      </c>
      <c r="C269" t="s">
        <v>1208</v>
      </c>
      <c r="D269">
        <v>5</v>
      </c>
      <c r="G269" t="s">
        <v>796</v>
      </c>
      <c r="H269">
        <v>0</v>
      </c>
      <c r="J269">
        <f>IF(COUNTIF(Sheet4!A:A,A269)&gt;0,VLOOKUP(A269,Sheet4!A:B,2,FALSE),"NotFound")</f>
        <v>0</v>
      </c>
      <c r="K269" t="str">
        <f t="shared" si="4"/>
        <v>Match</v>
      </c>
    </row>
    <row r="270" spans="1:11" x14ac:dyDescent="0.35">
      <c r="A270" s="3" t="s">
        <v>649</v>
      </c>
      <c r="B270" s="7">
        <v>0</v>
      </c>
      <c r="C270" t="s">
        <v>1209</v>
      </c>
      <c r="D270">
        <v>91</v>
      </c>
      <c r="G270" t="s">
        <v>779</v>
      </c>
      <c r="H270">
        <v>0</v>
      </c>
      <c r="J270">
        <f>IF(COUNTIF(Sheet4!A:A,A270)&gt;0,VLOOKUP(A270,Sheet4!A:B,2,FALSE),"NotFound")</f>
        <v>0</v>
      </c>
      <c r="K270" t="str">
        <f t="shared" si="4"/>
        <v>Match</v>
      </c>
    </row>
    <row r="271" spans="1:11" x14ac:dyDescent="0.35">
      <c r="A271" s="3" t="s">
        <v>666</v>
      </c>
      <c r="B271" s="7">
        <v>42</v>
      </c>
      <c r="C271" t="s">
        <v>1209</v>
      </c>
      <c r="D271">
        <v>91</v>
      </c>
      <c r="G271" t="s">
        <v>792</v>
      </c>
      <c r="H271">
        <v>0</v>
      </c>
      <c r="J271">
        <f>IF(COUNTIF(Sheet4!A:A,A271)&gt;0,VLOOKUP(A271,Sheet4!A:B,2,FALSE),"NotFound")</f>
        <v>42</v>
      </c>
      <c r="K271" t="str">
        <f t="shared" si="4"/>
        <v>Match</v>
      </c>
    </row>
    <row r="272" spans="1:11" x14ac:dyDescent="0.35">
      <c r="A272" s="3" t="s">
        <v>943</v>
      </c>
      <c r="B272" s="7">
        <v>0</v>
      </c>
      <c r="C272" t="s">
        <v>1209</v>
      </c>
      <c r="D272">
        <v>91</v>
      </c>
      <c r="G272" t="s">
        <v>787</v>
      </c>
      <c r="H272">
        <v>0</v>
      </c>
      <c r="J272">
        <f>IF(COUNTIF(Sheet4!A:A,A272)&gt;0,VLOOKUP(A272,Sheet4!A:B,2,FALSE),"NotFound")</f>
        <v>0</v>
      </c>
      <c r="K272" t="str">
        <f t="shared" si="4"/>
        <v>Match</v>
      </c>
    </row>
    <row r="273" spans="1:11" x14ac:dyDescent="0.35">
      <c r="A273" s="3" t="s">
        <v>797</v>
      </c>
      <c r="B273" s="7">
        <v>0</v>
      </c>
      <c r="C273" t="s">
        <v>1209</v>
      </c>
      <c r="D273">
        <v>91</v>
      </c>
      <c r="G273" t="s">
        <v>788</v>
      </c>
      <c r="H273">
        <v>0</v>
      </c>
      <c r="J273">
        <f>IF(COUNTIF(Sheet4!A:A,A273)&gt;0,VLOOKUP(A273,Sheet4!A:B,2,FALSE),"NotFound")</f>
        <v>0</v>
      </c>
      <c r="K273" t="str">
        <f t="shared" si="4"/>
        <v>Match</v>
      </c>
    </row>
    <row r="274" spans="1:11" x14ac:dyDescent="0.35">
      <c r="A274" s="3" t="s">
        <v>1112</v>
      </c>
      <c r="B274" s="7">
        <v>0</v>
      </c>
      <c r="C274" t="s">
        <v>1209</v>
      </c>
      <c r="D274">
        <v>2</v>
      </c>
      <c r="G274" t="s">
        <v>779</v>
      </c>
      <c r="H274">
        <v>0</v>
      </c>
      <c r="J274">
        <f>IF(COUNTIF(Sheet4!A:A,A274)&gt;0,VLOOKUP(A274,Sheet4!A:B,2,FALSE),"NotFound")</f>
        <v>0</v>
      </c>
      <c r="K274" t="str">
        <f t="shared" si="4"/>
        <v>Match</v>
      </c>
    </row>
    <row r="275" spans="1:11" x14ac:dyDescent="0.35">
      <c r="A275" s="3" t="s">
        <v>1113</v>
      </c>
      <c r="B275" s="7">
        <v>0</v>
      </c>
      <c r="C275" t="s">
        <v>1212</v>
      </c>
      <c r="D275">
        <v>16</v>
      </c>
      <c r="G275" t="s">
        <v>814</v>
      </c>
      <c r="H275">
        <v>141</v>
      </c>
      <c r="J275">
        <f>IF(COUNTIF(Sheet4!A:A,A275)&gt;0,VLOOKUP(A275,Sheet4!A:B,2,FALSE),"NotFound")</f>
        <v>0</v>
      </c>
      <c r="K275" t="str">
        <f t="shared" si="4"/>
        <v>Match</v>
      </c>
    </row>
    <row r="276" spans="1:11" x14ac:dyDescent="0.35">
      <c r="A276" s="3" t="s">
        <v>950</v>
      </c>
      <c r="B276" s="7">
        <v>0</v>
      </c>
      <c r="C276" t="s">
        <v>1212</v>
      </c>
      <c r="D276">
        <v>16</v>
      </c>
      <c r="G276" t="s">
        <v>859</v>
      </c>
      <c r="H276">
        <v>0</v>
      </c>
      <c r="J276">
        <f>IF(COUNTIF(Sheet4!A:A,A276)&gt;0,VLOOKUP(A276,Sheet4!A:B,2,FALSE),"NotFound")</f>
        <v>0</v>
      </c>
      <c r="K276" t="str">
        <f t="shared" si="4"/>
        <v>Match</v>
      </c>
    </row>
    <row r="277" spans="1:11" x14ac:dyDescent="0.35">
      <c r="A277" s="3" t="s">
        <v>951</v>
      </c>
      <c r="B277" s="7">
        <v>0</v>
      </c>
      <c r="C277" t="s">
        <v>1212</v>
      </c>
      <c r="D277">
        <v>16</v>
      </c>
      <c r="G277" t="s">
        <v>850</v>
      </c>
      <c r="H277">
        <v>0</v>
      </c>
      <c r="J277">
        <f>IF(COUNTIF(Sheet4!A:A,A277)&gt;0,VLOOKUP(A277,Sheet4!A:B,2,FALSE),"NotFound")</f>
        <v>0</v>
      </c>
      <c r="K277" t="str">
        <f t="shared" si="4"/>
        <v>Match</v>
      </c>
    </row>
    <row r="278" spans="1:11" x14ac:dyDescent="0.35">
      <c r="A278" s="3" t="s">
        <v>949</v>
      </c>
      <c r="B278" s="7">
        <v>0</v>
      </c>
      <c r="C278" t="s">
        <v>1212</v>
      </c>
      <c r="D278">
        <v>16</v>
      </c>
      <c r="G278" t="s">
        <v>861</v>
      </c>
      <c r="H278">
        <v>0</v>
      </c>
      <c r="J278">
        <f>IF(COUNTIF(Sheet4!A:A,A278)&gt;0,VLOOKUP(A278,Sheet4!A:B,2,FALSE),"NotFound")</f>
        <v>0</v>
      </c>
      <c r="K278" t="str">
        <f t="shared" si="4"/>
        <v>Match</v>
      </c>
    </row>
    <row r="279" spans="1:11" x14ac:dyDescent="0.35">
      <c r="A279" s="3" t="s">
        <v>952</v>
      </c>
      <c r="B279" s="7">
        <v>0</v>
      </c>
      <c r="C279" t="s">
        <v>1212</v>
      </c>
      <c r="D279">
        <v>16</v>
      </c>
      <c r="G279" t="s">
        <v>848</v>
      </c>
      <c r="H279">
        <v>0</v>
      </c>
      <c r="J279">
        <f>IF(COUNTIF(Sheet4!A:A,A279)&gt;0,VLOOKUP(A279,Sheet4!A:B,2,FALSE),"NotFound")</f>
        <v>0</v>
      </c>
      <c r="K279" t="str">
        <f t="shared" si="4"/>
        <v>Match</v>
      </c>
    </row>
    <row r="280" spans="1:11" x14ac:dyDescent="0.35">
      <c r="A280" s="3" t="s">
        <v>953</v>
      </c>
      <c r="B280" s="7">
        <v>0</v>
      </c>
      <c r="C280" t="s">
        <v>1212</v>
      </c>
      <c r="D280">
        <v>16</v>
      </c>
      <c r="G280" t="s">
        <v>874</v>
      </c>
      <c r="H280">
        <v>0</v>
      </c>
      <c r="J280">
        <f>IF(COUNTIF(Sheet4!A:A,A280)&gt;0,VLOOKUP(A280,Sheet4!A:B,2,FALSE),"NotFound")</f>
        <v>0</v>
      </c>
      <c r="K280" t="str">
        <f t="shared" si="4"/>
        <v>Match</v>
      </c>
    </row>
    <row r="281" spans="1:11" x14ac:dyDescent="0.35">
      <c r="A281" s="3" t="s">
        <v>954</v>
      </c>
      <c r="B281" s="7">
        <v>0</v>
      </c>
      <c r="C281" t="s">
        <v>1212</v>
      </c>
      <c r="D281">
        <v>16</v>
      </c>
      <c r="G281" t="s">
        <v>884</v>
      </c>
      <c r="H281">
        <v>0</v>
      </c>
      <c r="J281">
        <f>IF(COUNTIF(Sheet4!A:A,A281)&gt;0,VLOOKUP(A281,Sheet4!A:B,2,FALSE),"NotFound")</f>
        <v>0</v>
      </c>
      <c r="K281" t="str">
        <f t="shared" si="4"/>
        <v>Match</v>
      </c>
    </row>
    <row r="282" spans="1:11" x14ac:dyDescent="0.35">
      <c r="A282" s="3" t="s">
        <v>956</v>
      </c>
      <c r="B282" s="7">
        <v>0</v>
      </c>
      <c r="C282" t="s">
        <v>1212</v>
      </c>
      <c r="D282">
        <v>16</v>
      </c>
      <c r="G282" t="s">
        <v>839</v>
      </c>
      <c r="H282">
        <v>0</v>
      </c>
      <c r="J282">
        <f>IF(COUNTIF(Sheet4!A:A,A282)&gt;0,VLOOKUP(A282,Sheet4!A:B,2,FALSE),"NotFound")</f>
        <v>0</v>
      </c>
      <c r="K282" t="str">
        <f t="shared" si="4"/>
        <v>Match</v>
      </c>
    </row>
    <row r="283" spans="1:11" x14ac:dyDescent="0.35">
      <c r="A283" s="3" t="s">
        <v>957</v>
      </c>
      <c r="B283" s="7">
        <v>0</v>
      </c>
      <c r="C283" t="s">
        <v>1212</v>
      </c>
      <c r="D283">
        <v>16</v>
      </c>
      <c r="G283" t="s">
        <v>888</v>
      </c>
      <c r="H283">
        <v>0</v>
      </c>
      <c r="J283">
        <f>IF(COUNTIF(Sheet4!A:A,A283)&gt;0,VLOOKUP(A283,Sheet4!A:B,2,FALSE),"NotFound")</f>
        <v>0</v>
      </c>
      <c r="K283" t="str">
        <f t="shared" si="4"/>
        <v>Match</v>
      </c>
    </row>
    <row r="284" spans="1:11" x14ac:dyDescent="0.35">
      <c r="A284" s="3" t="s">
        <v>955</v>
      </c>
      <c r="B284" s="7">
        <v>0</v>
      </c>
      <c r="C284" t="s">
        <v>1212</v>
      </c>
      <c r="D284">
        <v>16</v>
      </c>
      <c r="G284" t="s">
        <v>894</v>
      </c>
      <c r="H284">
        <v>0</v>
      </c>
      <c r="J284">
        <f>IF(COUNTIF(Sheet4!A:A,A284)&gt;0,VLOOKUP(A284,Sheet4!A:B,2,FALSE),"NotFound")</f>
        <v>0</v>
      </c>
      <c r="K284" t="str">
        <f t="shared" si="4"/>
        <v>Match</v>
      </c>
    </row>
    <row r="285" spans="1:11" x14ac:dyDescent="0.35">
      <c r="A285" s="3" t="s">
        <v>939</v>
      </c>
      <c r="B285" s="7">
        <v>0</v>
      </c>
      <c r="C285" t="s">
        <v>1212</v>
      </c>
      <c r="D285">
        <v>16</v>
      </c>
      <c r="G285" t="s">
        <v>845</v>
      </c>
      <c r="H285">
        <v>0</v>
      </c>
      <c r="J285">
        <f>IF(COUNTIF(Sheet4!A:A,A285)&gt;0,VLOOKUP(A285,Sheet4!A:B,2,FALSE),"NotFound")</f>
        <v>0</v>
      </c>
      <c r="K285" t="str">
        <f t="shared" si="4"/>
        <v>Match</v>
      </c>
    </row>
    <row r="286" spans="1:11" x14ac:dyDescent="0.35">
      <c r="A286" s="3" t="s">
        <v>923</v>
      </c>
      <c r="B286" s="7">
        <v>0</v>
      </c>
      <c r="C286" t="s">
        <v>1268</v>
      </c>
      <c r="D286">
        <v>73</v>
      </c>
      <c r="G286" t="s">
        <v>799</v>
      </c>
      <c r="H286">
        <v>0</v>
      </c>
      <c r="J286">
        <f>IF(COUNTIF(Sheet4!A:A,A286)&gt;0,VLOOKUP(A286,Sheet4!A:B,2,FALSE),"NotFound")</f>
        <v>0</v>
      </c>
      <c r="K286" t="str">
        <f t="shared" si="4"/>
        <v>Match</v>
      </c>
    </row>
    <row r="287" spans="1:11" x14ac:dyDescent="0.35">
      <c r="A287" s="3" t="s">
        <v>924</v>
      </c>
      <c r="B287" s="7">
        <v>0</v>
      </c>
      <c r="C287" t="s">
        <v>1219</v>
      </c>
      <c r="D287">
        <v>29</v>
      </c>
      <c r="G287" t="s">
        <v>920</v>
      </c>
      <c r="H287">
        <v>0</v>
      </c>
      <c r="J287">
        <f>IF(COUNTIF(Sheet4!A:A,A287)&gt;0,VLOOKUP(A287,Sheet4!A:B,2,FALSE),"NotFound")</f>
        <v>0</v>
      </c>
      <c r="K287" t="str">
        <f t="shared" si="4"/>
        <v>Match</v>
      </c>
    </row>
    <row r="288" spans="1:11" x14ac:dyDescent="0.35">
      <c r="A288" s="3" t="s">
        <v>925</v>
      </c>
      <c r="B288" s="7">
        <v>0</v>
      </c>
      <c r="C288" t="s">
        <v>1221</v>
      </c>
      <c r="D288">
        <v>63</v>
      </c>
      <c r="G288" t="s">
        <v>937</v>
      </c>
      <c r="H288">
        <v>0</v>
      </c>
      <c r="J288">
        <f>IF(COUNTIF(Sheet4!A:A,A288)&gt;0,VLOOKUP(A288,Sheet4!A:B,2,FALSE),"NotFound")</f>
        <v>0</v>
      </c>
      <c r="K288" t="str">
        <f t="shared" si="4"/>
        <v>Match</v>
      </c>
    </row>
    <row r="289" spans="1:11" x14ac:dyDescent="0.35">
      <c r="A289" s="3" t="s">
        <v>926</v>
      </c>
      <c r="B289" s="7">
        <v>0</v>
      </c>
      <c r="C289" t="s">
        <v>1250</v>
      </c>
      <c r="D289">
        <v>88</v>
      </c>
      <c r="G289" t="s">
        <v>955</v>
      </c>
      <c r="H289">
        <v>0</v>
      </c>
      <c r="J289">
        <f>IF(COUNTIF(Sheet4!A:A,A289)&gt;0,VLOOKUP(A289,Sheet4!A:B,2,FALSE),"NotFound")</f>
        <v>0</v>
      </c>
      <c r="K289" t="str">
        <f t="shared" si="4"/>
        <v>Match</v>
      </c>
    </row>
    <row r="290" spans="1:11" x14ac:dyDescent="0.35">
      <c r="A290" s="3" t="s">
        <v>927</v>
      </c>
      <c r="B290" s="7">
        <v>0</v>
      </c>
      <c r="C290" t="s">
        <v>1269</v>
      </c>
      <c r="D290">
        <v>89</v>
      </c>
      <c r="G290" t="s">
        <v>957</v>
      </c>
      <c r="H290">
        <v>0</v>
      </c>
      <c r="J290">
        <f>IF(COUNTIF(Sheet4!A:A,A290)&gt;0,VLOOKUP(A290,Sheet4!A:B,2,FALSE),"NotFound")</f>
        <v>0</v>
      </c>
      <c r="K290" t="str">
        <f t="shared" si="4"/>
        <v>Match</v>
      </c>
    </row>
    <row r="291" spans="1:11" x14ac:dyDescent="0.35">
      <c r="A291" s="3" t="s">
        <v>928</v>
      </c>
      <c r="B291" s="7">
        <v>0</v>
      </c>
      <c r="C291" t="s">
        <v>1269</v>
      </c>
      <c r="D291">
        <v>89</v>
      </c>
      <c r="G291" t="s">
        <v>956</v>
      </c>
      <c r="H291">
        <v>0</v>
      </c>
      <c r="J291">
        <f>IF(COUNTIF(Sheet4!A:A,A291)&gt;0,VLOOKUP(A291,Sheet4!A:B,2,FALSE),"NotFound")</f>
        <v>0</v>
      </c>
      <c r="K291" t="str">
        <f t="shared" si="4"/>
        <v>Match</v>
      </c>
    </row>
    <row r="292" spans="1:11" x14ac:dyDescent="0.35">
      <c r="A292" s="3" t="s">
        <v>940</v>
      </c>
      <c r="B292" s="7">
        <v>0</v>
      </c>
      <c r="C292" t="s">
        <v>1225</v>
      </c>
      <c r="D292">
        <v>90</v>
      </c>
      <c r="G292" t="s">
        <v>965</v>
      </c>
      <c r="H292">
        <v>0</v>
      </c>
      <c r="J292">
        <f>IF(COUNTIF(Sheet4!A:A,A292)&gt;0,VLOOKUP(A292,Sheet4!A:B,2,FALSE),"NotFound")</f>
        <v>0</v>
      </c>
      <c r="K292" t="str">
        <f t="shared" si="4"/>
        <v>Match</v>
      </c>
    </row>
    <row r="293" spans="1:11" x14ac:dyDescent="0.35">
      <c r="A293" s="3" t="s">
        <v>944</v>
      </c>
      <c r="B293" s="7">
        <v>0</v>
      </c>
      <c r="C293" t="s">
        <v>1225</v>
      </c>
      <c r="D293">
        <v>90</v>
      </c>
      <c r="G293" t="s">
        <v>972</v>
      </c>
      <c r="H293">
        <v>0</v>
      </c>
      <c r="J293">
        <f>IF(COUNTIF(Sheet4!A:A,A293)&gt;0,VLOOKUP(A293,Sheet4!A:B,2,FALSE),"NotFound")</f>
        <v>0</v>
      </c>
      <c r="K293" t="str">
        <f t="shared" si="4"/>
        <v>Match</v>
      </c>
    </row>
    <row r="294" spans="1:11" x14ac:dyDescent="0.35">
      <c r="A294" s="3" t="s">
        <v>945</v>
      </c>
      <c r="B294" s="7">
        <v>0</v>
      </c>
      <c r="C294" t="s">
        <v>1270</v>
      </c>
      <c r="D294">
        <v>18</v>
      </c>
      <c r="G294" t="s">
        <v>973</v>
      </c>
      <c r="H294">
        <v>0</v>
      </c>
      <c r="J294">
        <f>IF(COUNTIF(Sheet4!A:A,A294)&gt;0,VLOOKUP(A294,Sheet4!A:B,2,FALSE),"NotFound")</f>
        <v>0</v>
      </c>
      <c r="K294" t="str">
        <f t="shared" si="4"/>
        <v>Match</v>
      </c>
    </row>
    <row r="295" spans="1:11" x14ac:dyDescent="0.35">
      <c r="A295" s="3" t="s">
        <v>946</v>
      </c>
      <c r="B295" s="7">
        <v>0</v>
      </c>
      <c r="C295" t="s">
        <v>1226</v>
      </c>
      <c r="D295">
        <v>36</v>
      </c>
      <c r="G295" t="s">
        <v>977</v>
      </c>
      <c r="H295">
        <v>10719297</v>
      </c>
      <c r="J295">
        <f>IF(COUNTIF(Sheet4!A:A,A295)&gt;0,VLOOKUP(A295,Sheet4!A:B,2,FALSE),"NotFound")</f>
        <v>0</v>
      </c>
      <c r="K295" t="str">
        <f t="shared" si="4"/>
        <v>Match</v>
      </c>
    </row>
    <row r="296" spans="1:11" x14ac:dyDescent="0.35">
      <c r="A296" s="3" t="s">
        <v>947</v>
      </c>
      <c r="B296" s="7">
        <v>0</v>
      </c>
      <c r="C296" t="s">
        <v>1228</v>
      </c>
      <c r="D296">
        <v>15</v>
      </c>
      <c r="G296" t="s">
        <v>1023</v>
      </c>
      <c r="H296">
        <v>0</v>
      </c>
      <c r="J296">
        <f>IF(COUNTIF(Sheet4!A:A,A296)&gt;0,VLOOKUP(A296,Sheet4!A:B,2,FALSE),"NotFound")</f>
        <v>0</v>
      </c>
      <c r="K296" t="str">
        <f t="shared" si="4"/>
        <v>Match</v>
      </c>
    </row>
    <row r="297" spans="1:11" x14ac:dyDescent="0.35">
      <c r="A297" s="3" t="s">
        <v>941</v>
      </c>
      <c r="B297" s="7">
        <v>0</v>
      </c>
      <c r="C297" t="s">
        <v>1228</v>
      </c>
      <c r="D297">
        <v>15</v>
      </c>
      <c r="G297" t="s">
        <v>1024</v>
      </c>
      <c r="H297">
        <v>0</v>
      </c>
      <c r="J297">
        <f>IF(COUNTIF(Sheet4!A:A,A297)&gt;0,VLOOKUP(A297,Sheet4!A:B,2,FALSE),"NotFound")</f>
        <v>0</v>
      </c>
      <c r="K297" t="str">
        <f t="shared" si="4"/>
        <v>Match</v>
      </c>
    </row>
    <row r="298" spans="1:11" x14ac:dyDescent="0.35">
      <c r="A298" s="3" t="s">
        <v>929</v>
      </c>
      <c r="B298" s="7">
        <v>0</v>
      </c>
      <c r="C298" t="s">
        <v>1228</v>
      </c>
      <c r="D298">
        <v>15</v>
      </c>
      <c r="G298" t="s">
        <v>1048</v>
      </c>
      <c r="H298">
        <v>0</v>
      </c>
      <c r="J298">
        <f>IF(COUNTIF(Sheet4!A:A,A298)&gt;0,VLOOKUP(A298,Sheet4!A:B,2,FALSE),"NotFound")</f>
        <v>0</v>
      </c>
      <c r="K298" t="str">
        <f t="shared" si="4"/>
        <v>Match</v>
      </c>
    </row>
    <row r="299" spans="1:11" x14ac:dyDescent="0.35">
      <c r="A299" s="3" t="s">
        <v>930</v>
      </c>
      <c r="B299" s="7">
        <v>0</v>
      </c>
      <c r="C299" t="s">
        <v>1228</v>
      </c>
      <c r="D299">
        <v>15</v>
      </c>
      <c r="G299" t="s">
        <v>1052</v>
      </c>
      <c r="H299">
        <v>0</v>
      </c>
      <c r="J299">
        <f>IF(COUNTIF(Sheet4!A:A,A299)&gt;0,VLOOKUP(A299,Sheet4!A:B,2,FALSE),"NotFound")</f>
        <v>0</v>
      </c>
      <c r="K299" t="str">
        <f t="shared" si="4"/>
        <v>Match</v>
      </c>
    </row>
    <row r="300" spans="1:11" x14ac:dyDescent="0.35">
      <c r="A300" s="3" t="s">
        <v>942</v>
      </c>
      <c r="B300" s="7">
        <v>0</v>
      </c>
      <c r="C300" t="s">
        <v>1228</v>
      </c>
      <c r="D300">
        <v>15</v>
      </c>
      <c r="G300" t="s">
        <v>1055</v>
      </c>
      <c r="H300">
        <v>0</v>
      </c>
      <c r="J300">
        <f>IF(COUNTIF(Sheet4!A:A,A300)&gt;0,VLOOKUP(A300,Sheet4!A:B,2,FALSE),"NotFound")</f>
        <v>0</v>
      </c>
      <c r="K300" t="str">
        <f t="shared" si="4"/>
        <v>Match</v>
      </c>
    </row>
    <row r="301" spans="1:11" x14ac:dyDescent="0.35">
      <c r="A301" s="3" t="s">
        <v>931</v>
      </c>
      <c r="B301" s="7">
        <v>0</v>
      </c>
      <c r="C301" t="s">
        <v>1228</v>
      </c>
      <c r="D301">
        <v>15</v>
      </c>
      <c r="G301" t="s">
        <v>1017</v>
      </c>
      <c r="H301">
        <v>240</v>
      </c>
      <c r="J301">
        <f>IF(COUNTIF(Sheet4!A:A,A301)&gt;0,VLOOKUP(A301,Sheet4!A:B,2,FALSE),"NotFound")</f>
        <v>0</v>
      </c>
      <c r="K301" t="str">
        <f t="shared" si="4"/>
        <v>Match</v>
      </c>
    </row>
    <row r="302" spans="1:11" x14ac:dyDescent="0.35">
      <c r="A302" s="3" t="s">
        <v>932</v>
      </c>
      <c r="B302" s="7">
        <v>0</v>
      </c>
      <c r="C302" t="s">
        <v>1271</v>
      </c>
      <c r="D302">
        <v>45</v>
      </c>
      <c r="G302" t="s">
        <v>1065</v>
      </c>
      <c r="H302">
        <v>0</v>
      </c>
      <c r="J302">
        <f>IF(COUNTIF(Sheet4!A:A,A302)&gt;0,VLOOKUP(A302,Sheet4!A:B,2,FALSE),"NotFound")</f>
        <v>0</v>
      </c>
      <c r="K302" t="str">
        <f t="shared" si="4"/>
        <v>Match</v>
      </c>
    </row>
    <row r="303" spans="1:11" x14ac:dyDescent="0.35">
      <c r="A303" s="3" t="s">
        <v>933</v>
      </c>
      <c r="B303" s="7">
        <v>0</v>
      </c>
      <c r="C303" t="s">
        <v>1272</v>
      </c>
      <c r="D303">
        <v>49</v>
      </c>
      <c r="G303" t="s">
        <v>1069</v>
      </c>
      <c r="H303">
        <v>0</v>
      </c>
      <c r="J303">
        <f>IF(COUNTIF(Sheet4!A:A,A303)&gt;0,VLOOKUP(A303,Sheet4!A:B,2,FALSE),"NotFound")</f>
        <v>0</v>
      </c>
      <c r="K303" t="str">
        <f t="shared" si="4"/>
        <v>Match</v>
      </c>
    </row>
    <row r="304" spans="1:11" x14ac:dyDescent="0.35">
      <c r="A304" s="3" t="s">
        <v>934</v>
      </c>
      <c r="B304" s="7">
        <v>0</v>
      </c>
      <c r="C304" t="s">
        <v>1273</v>
      </c>
      <c r="D304">
        <v>77</v>
      </c>
      <c r="G304" t="s">
        <v>1078</v>
      </c>
      <c r="H304">
        <v>0</v>
      </c>
      <c r="J304">
        <f>IF(COUNTIF(Sheet4!A:A,A304)&gt;0,VLOOKUP(A304,Sheet4!A:B,2,FALSE),"NotFound")</f>
        <v>0</v>
      </c>
      <c r="K304" t="str">
        <f t="shared" si="4"/>
        <v>Match</v>
      </c>
    </row>
    <row r="305" spans="1:11" x14ac:dyDescent="0.35">
      <c r="A305" s="3" t="s">
        <v>935</v>
      </c>
      <c r="B305" s="7">
        <v>0</v>
      </c>
      <c r="C305" t="s">
        <v>1231</v>
      </c>
      <c r="D305">
        <v>14</v>
      </c>
      <c r="G305" t="s">
        <v>1089</v>
      </c>
      <c r="H305">
        <v>0</v>
      </c>
      <c r="J305">
        <f>IF(COUNTIF(Sheet4!A:A,A305)&gt;0,VLOOKUP(A305,Sheet4!A:B,2,FALSE),"NotFound")</f>
        <v>0</v>
      </c>
      <c r="K305" t="str">
        <f t="shared" si="4"/>
        <v>Match</v>
      </c>
    </row>
    <row r="306" spans="1:11" x14ac:dyDescent="0.35">
      <c r="A306" s="3" t="s">
        <v>936</v>
      </c>
      <c r="B306" s="7">
        <v>0</v>
      </c>
      <c r="C306" t="s">
        <v>1231</v>
      </c>
      <c r="D306">
        <v>14</v>
      </c>
      <c r="G306" t="s">
        <v>1084</v>
      </c>
      <c r="H306">
        <v>0</v>
      </c>
      <c r="J306">
        <f>IF(COUNTIF(Sheet4!A:A,A306)&gt;0,VLOOKUP(A306,Sheet4!A:B,2,FALSE),"NotFound")</f>
        <v>0</v>
      </c>
      <c r="K306" t="str">
        <f t="shared" si="4"/>
        <v>Match</v>
      </c>
    </row>
    <row r="307" spans="1:11" x14ac:dyDescent="0.35">
      <c r="A307" s="3" t="s">
        <v>937</v>
      </c>
      <c r="B307" s="7">
        <v>0</v>
      </c>
      <c r="C307" t="s">
        <v>1232</v>
      </c>
      <c r="D307">
        <v>62</v>
      </c>
      <c r="G307" t="s">
        <v>1102</v>
      </c>
      <c r="H307">
        <v>0</v>
      </c>
      <c r="J307">
        <f>IF(COUNTIF(Sheet4!A:A,A307)&gt;0,VLOOKUP(A307,Sheet4!A:B,2,FALSE),"NotFound")</f>
        <v>0</v>
      </c>
      <c r="K307" t="str">
        <f t="shared" si="4"/>
        <v>Match</v>
      </c>
    </row>
    <row r="308" spans="1:11" x14ac:dyDescent="0.35">
      <c r="A308" s="3" t="s">
        <v>938</v>
      </c>
      <c r="B308" s="7">
        <v>0</v>
      </c>
      <c r="C308" t="s">
        <v>1232</v>
      </c>
      <c r="D308">
        <v>62</v>
      </c>
      <c r="G308" t="s">
        <v>1103</v>
      </c>
      <c r="H308">
        <v>0</v>
      </c>
      <c r="J308">
        <f>IF(COUNTIF(Sheet4!A:A,A308)&gt;0,VLOOKUP(A308,Sheet4!A:B,2,FALSE),"NotFound")</f>
        <v>0</v>
      </c>
      <c r="K308" t="str">
        <f t="shared" si="4"/>
        <v>Match</v>
      </c>
    </row>
    <row r="309" spans="1:11" x14ac:dyDescent="0.35">
      <c r="A309" s="3" t="s">
        <v>948</v>
      </c>
      <c r="B309" s="7">
        <v>0</v>
      </c>
      <c r="C309" t="s">
        <v>1274</v>
      </c>
      <c r="D309">
        <v>81</v>
      </c>
      <c r="G309" t="s">
        <v>1107</v>
      </c>
      <c r="H309">
        <v>0</v>
      </c>
      <c r="J309">
        <f>IF(COUNTIF(Sheet4!A:A,A309)&gt;0,VLOOKUP(A309,Sheet4!A:B,2,FALSE),"NotFound")</f>
        <v>0</v>
      </c>
      <c r="K309" t="str">
        <f t="shared" si="4"/>
        <v>Match</v>
      </c>
    </row>
    <row r="310" spans="1:11" x14ac:dyDescent="0.35">
      <c r="A310" s="3" t="s">
        <v>981</v>
      </c>
      <c r="B310" s="7">
        <v>0</v>
      </c>
      <c r="C310" t="s">
        <v>1233</v>
      </c>
      <c r="D310">
        <v>66</v>
      </c>
      <c r="G310" t="s">
        <v>1111</v>
      </c>
      <c r="H310">
        <v>0</v>
      </c>
      <c r="J310">
        <f>IF(COUNTIF(Sheet4!A:A,A310)&gt;0,VLOOKUP(A310,Sheet4!A:B,2,FALSE),"NotFound")</f>
        <v>0</v>
      </c>
      <c r="K310" t="str">
        <f t="shared" si="4"/>
        <v>Match</v>
      </c>
    </row>
    <row r="311" spans="1:11" x14ac:dyDescent="0.35">
      <c r="A311" s="3" t="s">
        <v>1099</v>
      </c>
      <c r="B311" s="7">
        <v>0</v>
      </c>
      <c r="C311" t="s">
        <v>1233</v>
      </c>
      <c r="D311">
        <v>66</v>
      </c>
      <c r="G311" t="s">
        <v>1118</v>
      </c>
      <c r="H311">
        <v>0</v>
      </c>
      <c r="J311">
        <f>IF(COUNTIF(Sheet4!A:A,A311)&gt;0,VLOOKUP(A311,Sheet4!A:B,2,FALSE),"NotFound")</f>
        <v>0</v>
      </c>
      <c r="K311" t="str">
        <f t="shared" si="4"/>
        <v>Match</v>
      </c>
    </row>
    <row r="312" spans="1:11" x14ac:dyDescent="0.35">
      <c r="A312" s="3" t="s">
        <v>1097</v>
      </c>
      <c r="B312" s="7">
        <v>0</v>
      </c>
      <c r="C312" t="s">
        <v>1233</v>
      </c>
      <c r="D312">
        <v>66</v>
      </c>
      <c r="G312" t="s">
        <v>1116</v>
      </c>
      <c r="H312">
        <v>0</v>
      </c>
      <c r="J312">
        <f>IF(COUNTIF(Sheet4!A:A,A312)&gt;0,VLOOKUP(A312,Sheet4!A:B,2,FALSE),"NotFound")</f>
        <v>0</v>
      </c>
      <c r="K312" t="str">
        <f t="shared" si="4"/>
        <v>Match</v>
      </c>
    </row>
    <row r="313" spans="1:11" x14ac:dyDescent="0.35">
      <c r="A313" s="3" t="s">
        <v>1100</v>
      </c>
      <c r="B313" s="7">
        <v>0</v>
      </c>
      <c r="C313" t="s">
        <v>1236</v>
      </c>
      <c r="D313">
        <v>10</v>
      </c>
      <c r="G313" t="s">
        <v>1166</v>
      </c>
      <c r="H313">
        <v>0</v>
      </c>
      <c r="J313">
        <f>IF(COUNTIF(Sheet4!A:A,A313)&gt;0,VLOOKUP(A313,Sheet4!A:B,2,FALSE),"NotFound")</f>
        <v>0</v>
      </c>
      <c r="K313" t="str">
        <f t="shared" si="4"/>
        <v>Match</v>
      </c>
    </row>
    <row r="314" spans="1:11" x14ac:dyDescent="0.35">
      <c r="A314" s="3" t="s">
        <v>1104</v>
      </c>
      <c r="B314" s="7">
        <v>0</v>
      </c>
      <c r="C314" t="s">
        <v>1236</v>
      </c>
      <c r="D314">
        <v>10</v>
      </c>
      <c r="G314" t="s">
        <v>1162</v>
      </c>
      <c r="H314">
        <v>0</v>
      </c>
      <c r="J314">
        <f>IF(COUNTIF(Sheet4!A:A,A314)&gt;0,VLOOKUP(A314,Sheet4!A:B,2,FALSE),"NotFound")</f>
        <v>0</v>
      </c>
      <c r="K314" t="str">
        <f t="shared" si="4"/>
        <v>Match</v>
      </c>
    </row>
    <row r="315" spans="1:11" x14ac:dyDescent="0.35">
      <c r="A315" s="3" t="s">
        <v>1102</v>
      </c>
      <c r="B315" s="7">
        <v>0</v>
      </c>
      <c r="C315" t="s">
        <v>1236</v>
      </c>
      <c r="D315">
        <v>10</v>
      </c>
      <c r="G315" t="s">
        <v>1156</v>
      </c>
      <c r="H315">
        <v>0</v>
      </c>
      <c r="J315">
        <f>IF(COUNTIF(Sheet4!A:A,A315)&gt;0,VLOOKUP(A315,Sheet4!A:B,2,FALSE),"NotFound")</f>
        <v>0</v>
      </c>
      <c r="K315" t="str">
        <f t="shared" si="4"/>
        <v>Match</v>
      </c>
    </row>
    <row r="316" spans="1:11" x14ac:dyDescent="0.35">
      <c r="A316" s="3" t="s">
        <v>1095</v>
      </c>
      <c r="B316" s="7">
        <v>0</v>
      </c>
      <c r="C316" t="s">
        <v>1236</v>
      </c>
      <c r="D316">
        <v>10</v>
      </c>
      <c r="G316" t="s">
        <v>1160</v>
      </c>
      <c r="H316">
        <v>0</v>
      </c>
      <c r="J316">
        <f>IF(COUNTIF(Sheet4!A:A,A316)&gt;0,VLOOKUP(A316,Sheet4!A:B,2,FALSE),"NotFound")</f>
        <v>0</v>
      </c>
      <c r="K316" t="str">
        <f t="shared" si="4"/>
        <v>Match</v>
      </c>
    </row>
    <row r="317" spans="1:11" x14ac:dyDescent="0.35">
      <c r="A317" s="3" t="s">
        <v>1103</v>
      </c>
      <c r="B317" s="7">
        <v>0</v>
      </c>
      <c r="C317" t="s">
        <v>1275</v>
      </c>
      <c r="D317">
        <v>43</v>
      </c>
      <c r="G317" t="s">
        <v>1081</v>
      </c>
      <c r="H317">
        <v>0</v>
      </c>
      <c r="J317">
        <f>IF(COUNTIF(Sheet4!A:A,A317)&gt;0,VLOOKUP(A317,Sheet4!A:B,2,FALSE),"NotFound")</f>
        <v>0</v>
      </c>
      <c r="K317" t="str">
        <f t="shared" si="4"/>
        <v>Match</v>
      </c>
    </row>
    <row r="318" spans="1:11" x14ac:dyDescent="0.35">
      <c r="A318" s="3" t="s">
        <v>1098</v>
      </c>
      <c r="B318" s="7">
        <v>0</v>
      </c>
      <c r="C318" t="s">
        <v>1276</v>
      </c>
      <c r="D318">
        <v>7</v>
      </c>
      <c r="G318" t="s">
        <v>1187</v>
      </c>
      <c r="H318">
        <v>0</v>
      </c>
      <c r="J318">
        <f>IF(COUNTIF(Sheet4!A:A,A318)&gt;0,VLOOKUP(A318,Sheet4!A:B,2,FALSE),"NotFound")</f>
        <v>0</v>
      </c>
      <c r="K318" t="str">
        <f t="shared" si="4"/>
        <v>Match</v>
      </c>
    </row>
    <row r="319" spans="1:11" x14ac:dyDescent="0.35">
      <c r="A319" s="3" t="s">
        <v>1096</v>
      </c>
      <c r="B319" s="7">
        <v>0</v>
      </c>
      <c r="C319" t="s">
        <v>1277</v>
      </c>
      <c r="D319">
        <v>6</v>
      </c>
      <c r="G319" t="s">
        <v>1189</v>
      </c>
      <c r="H319">
        <v>0</v>
      </c>
      <c r="J319">
        <f>IF(COUNTIF(Sheet4!A:A,A319)&gt;0,VLOOKUP(A319,Sheet4!A:B,2,FALSE),"NotFound")</f>
        <v>0</v>
      </c>
      <c r="K319" t="str">
        <f t="shared" si="4"/>
        <v>Match</v>
      </c>
    </row>
    <row r="320" spans="1:11" x14ac:dyDescent="0.35">
      <c r="A320" s="3" t="s">
        <v>1105</v>
      </c>
      <c r="B320" s="7">
        <v>0</v>
      </c>
      <c r="C320" t="s">
        <v>1198</v>
      </c>
      <c r="D320">
        <v>100</v>
      </c>
      <c r="G320" t="s">
        <v>680</v>
      </c>
      <c r="H320">
        <v>0</v>
      </c>
      <c r="J320">
        <f>IF(COUNTIF(Sheet4!A:A,A320)&gt;0,VLOOKUP(A320,Sheet4!A:B,2,FALSE),"NotFound")</f>
        <v>0</v>
      </c>
      <c r="K320" t="str">
        <f t="shared" si="4"/>
        <v>Match</v>
      </c>
    </row>
    <row r="321" spans="1:11" x14ac:dyDescent="0.35">
      <c r="A321" s="3" t="s">
        <v>1106</v>
      </c>
      <c r="B321" s="7">
        <v>0</v>
      </c>
      <c r="C321" t="s">
        <v>1198</v>
      </c>
      <c r="D321">
        <v>100</v>
      </c>
      <c r="G321" t="s">
        <v>699</v>
      </c>
      <c r="H321">
        <v>1124091</v>
      </c>
      <c r="J321">
        <f>IF(COUNTIF(Sheet4!A:A,A321)&gt;0,VLOOKUP(A321,Sheet4!A:B,2,FALSE),"NotFound")</f>
        <v>0</v>
      </c>
      <c r="K321" t="str">
        <f t="shared" si="4"/>
        <v>Match</v>
      </c>
    </row>
    <row r="322" spans="1:11" x14ac:dyDescent="0.35">
      <c r="A322" s="3" t="s">
        <v>1094</v>
      </c>
      <c r="B322" s="7">
        <v>0</v>
      </c>
      <c r="C322" t="s">
        <v>1198</v>
      </c>
      <c r="D322">
        <v>100</v>
      </c>
      <c r="G322" t="s">
        <v>663</v>
      </c>
      <c r="H322">
        <v>19568</v>
      </c>
      <c r="J322">
        <f>IF(COUNTIF(Sheet4!A:A,A322)&gt;0,VLOOKUP(A322,Sheet4!A:B,2,FALSE),"NotFound")</f>
        <v>0</v>
      </c>
      <c r="K322" t="str">
        <f t="shared" si="4"/>
        <v>Match</v>
      </c>
    </row>
    <row r="323" spans="1:11" x14ac:dyDescent="0.35">
      <c r="A323" s="3" t="s">
        <v>1101</v>
      </c>
      <c r="B323" s="7">
        <v>0</v>
      </c>
      <c r="C323" t="s">
        <v>1198</v>
      </c>
      <c r="D323">
        <v>100</v>
      </c>
      <c r="G323" t="s">
        <v>668</v>
      </c>
      <c r="H323">
        <v>0</v>
      </c>
      <c r="J323">
        <f>IF(COUNTIF(Sheet4!A:A,A323)&gt;0,VLOOKUP(A323,Sheet4!A:B,2,FALSE),"NotFound")</f>
        <v>0</v>
      </c>
      <c r="K323" t="str">
        <f t="shared" ref="K323:K386" si="5">IF(B323=J323,"Match","Mis Match")</f>
        <v>Match</v>
      </c>
    </row>
    <row r="324" spans="1:11" x14ac:dyDescent="0.35">
      <c r="A324" s="3" t="s">
        <v>1064</v>
      </c>
      <c r="B324" s="7">
        <v>0</v>
      </c>
      <c r="C324" t="s">
        <v>1198</v>
      </c>
      <c r="D324">
        <v>100</v>
      </c>
      <c r="G324" t="s">
        <v>659</v>
      </c>
      <c r="H324">
        <v>19</v>
      </c>
      <c r="J324">
        <f>IF(COUNTIF(Sheet4!A:A,A324)&gt;0,VLOOKUP(A324,Sheet4!A:B,2,FALSE),"NotFound")</f>
        <v>0</v>
      </c>
      <c r="K324" t="str">
        <f t="shared" si="5"/>
        <v>Match</v>
      </c>
    </row>
    <row r="325" spans="1:11" x14ac:dyDescent="0.35">
      <c r="A325" s="3" t="s">
        <v>1022</v>
      </c>
      <c r="B325" s="7">
        <v>0</v>
      </c>
      <c r="C325" t="s">
        <v>1198</v>
      </c>
      <c r="D325">
        <v>100</v>
      </c>
      <c r="G325" t="s">
        <v>693</v>
      </c>
      <c r="H325">
        <v>0</v>
      </c>
      <c r="J325">
        <f>IF(COUNTIF(Sheet4!A:A,A325)&gt;0,VLOOKUP(A325,Sheet4!A:B,2,FALSE),"NotFound")</f>
        <v>0</v>
      </c>
      <c r="K325" t="str">
        <f t="shared" si="5"/>
        <v>Match</v>
      </c>
    </row>
    <row r="326" spans="1:11" x14ac:dyDescent="0.35">
      <c r="A326" s="3" t="s">
        <v>801</v>
      </c>
      <c r="B326" s="7">
        <v>0</v>
      </c>
      <c r="C326" t="s">
        <v>1198</v>
      </c>
      <c r="D326">
        <v>100</v>
      </c>
      <c r="G326" t="s">
        <v>671</v>
      </c>
      <c r="H326">
        <v>0</v>
      </c>
      <c r="J326">
        <f>IF(COUNTIF(Sheet4!A:A,A326)&gt;0,VLOOKUP(A326,Sheet4!A:B,2,FALSE),"NotFound")</f>
        <v>0</v>
      </c>
      <c r="K326" t="str">
        <f t="shared" si="5"/>
        <v>Match</v>
      </c>
    </row>
    <row r="327" spans="1:11" x14ac:dyDescent="0.35">
      <c r="A327" s="3" t="s">
        <v>799</v>
      </c>
      <c r="B327" s="7">
        <v>0</v>
      </c>
      <c r="C327" t="s">
        <v>1243</v>
      </c>
      <c r="D327">
        <v>13</v>
      </c>
      <c r="G327" t="s">
        <v>655</v>
      </c>
      <c r="H327">
        <v>0</v>
      </c>
      <c r="J327">
        <f>IF(COUNTIF(Sheet4!A:A,A327)&gt;0,VLOOKUP(A327,Sheet4!A:B,2,FALSE),"NotFound")</f>
        <v>0</v>
      </c>
      <c r="K327" t="str">
        <f t="shared" si="5"/>
        <v>Match</v>
      </c>
    </row>
    <row r="328" spans="1:11" x14ac:dyDescent="0.35">
      <c r="A328" s="3" t="s">
        <v>798</v>
      </c>
      <c r="B328" s="7">
        <v>0</v>
      </c>
      <c r="C328" t="s">
        <v>1201</v>
      </c>
      <c r="D328">
        <v>98</v>
      </c>
      <c r="G328" t="s">
        <v>716</v>
      </c>
      <c r="H328">
        <v>0</v>
      </c>
      <c r="J328">
        <f>IF(COUNTIF(Sheet4!A:A,A328)&gt;0,VLOOKUP(A328,Sheet4!A:B,2,FALSE),"NotFound")</f>
        <v>0</v>
      </c>
      <c r="K328" t="str">
        <f t="shared" si="5"/>
        <v>Match</v>
      </c>
    </row>
    <row r="329" spans="1:11" x14ac:dyDescent="0.35">
      <c r="A329" s="3" t="s">
        <v>1126</v>
      </c>
      <c r="B329" s="7">
        <v>0</v>
      </c>
      <c r="C329" t="s">
        <v>1201</v>
      </c>
      <c r="D329">
        <v>98</v>
      </c>
      <c r="G329" t="s">
        <v>712</v>
      </c>
      <c r="H329">
        <v>11861178</v>
      </c>
      <c r="J329">
        <f>IF(COUNTIF(Sheet4!A:A,A329)&gt;0,VLOOKUP(A329,Sheet4!A:B,2,FALSE),"NotFound")</f>
        <v>0</v>
      </c>
      <c r="K329" t="str">
        <f t="shared" si="5"/>
        <v>Match</v>
      </c>
    </row>
    <row r="330" spans="1:11" x14ac:dyDescent="0.35">
      <c r="A330" s="3" t="s">
        <v>1127</v>
      </c>
      <c r="B330" s="7">
        <v>0</v>
      </c>
      <c r="C330" t="s">
        <v>1201</v>
      </c>
      <c r="D330">
        <v>98</v>
      </c>
      <c r="G330" t="s">
        <v>721</v>
      </c>
      <c r="H330">
        <v>0</v>
      </c>
      <c r="J330">
        <f>IF(COUNTIF(Sheet4!A:A,A330)&gt;0,VLOOKUP(A330,Sheet4!A:B,2,FALSE),"NotFound")</f>
        <v>0</v>
      </c>
      <c r="K330" t="str">
        <f t="shared" si="5"/>
        <v>Match</v>
      </c>
    </row>
    <row r="331" spans="1:11" x14ac:dyDescent="0.35">
      <c r="A331" s="3" t="s">
        <v>1128</v>
      </c>
      <c r="B331" s="7">
        <v>0</v>
      </c>
      <c r="C331" t="s">
        <v>1204</v>
      </c>
      <c r="D331">
        <v>72</v>
      </c>
      <c r="G331" t="s">
        <v>741</v>
      </c>
      <c r="H331">
        <v>0</v>
      </c>
      <c r="J331">
        <f>IF(COUNTIF(Sheet4!A:A,A331)&gt;0,VLOOKUP(A331,Sheet4!A:B,2,FALSE),"NotFound")</f>
        <v>0</v>
      </c>
      <c r="K331" t="str">
        <f t="shared" si="5"/>
        <v>Match</v>
      </c>
    </row>
    <row r="332" spans="1:11" x14ac:dyDescent="0.35">
      <c r="A332" s="3" t="s">
        <v>1130</v>
      </c>
      <c r="B332" s="7">
        <v>0</v>
      </c>
      <c r="C332" t="s">
        <v>1245</v>
      </c>
      <c r="D332">
        <v>1</v>
      </c>
      <c r="G332" t="s">
        <v>753</v>
      </c>
      <c r="H332">
        <v>0</v>
      </c>
      <c r="J332">
        <f>IF(COUNTIF(Sheet4!A:A,A332)&gt;0,VLOOKUP(A332,Sheet4!A:B,2,FALSE),"NotFound")</f>
        <v>0</v>
      </c>
      <c r="K332" t="str">
        <f t="shared" si="5"/>
        <v>Match</v>
      </c>
    </row>
    <row r="333" spans="1:11" x14ac:dyDescent="0.35">
      <c r="A333" s="3" t="s">
        <v>1114</v>
      </c>
      <c r="B333" s="7">
        <v>0</v>
      </c>
      <c r="C333" t="s">
        <v>1245</v>
      </c>
      <c r="D333">
        <v>1</v>
      </c>
      <c r="G333" t="s">
        <v>758</v>
      </c>
      <c r="H333">
        <v>1335452</v>
      </c>
      <c r="J333">
        <f>IF(COUNTIF(Sheet4!A:A,A333)&gt;0,VLOOKUP(A333,Sheet4!A:B,2,FALSE),"NotFound")</f>
        <v>0</v>
      </c>
      <c r="K333" t="str">
        <f t="shared" si="5"/>
        <v>Match</v>
      </c>
    </row>
    <row r="334" spans="1:11" x14ac:dyDescent="0.35">
      <c r="A334" s="3" t="s">
        <v>1115</v>
      </c>
      <c r="B334" s="7">
        <v>0</v>
      </c>
      <c r="C334" t="s">
        <v>1205</v>
      </c>
      <c r="D334">
        <v>105</v>
      </c>
      <c r="G334" t="s">
        <v>759</v>
      </c>
      <c r="H334">
        <v>0</v>
      </c>
      <c r="J334">
        <f>IF(COUNTIF(Sheet4!A:A,A334)&gt;0,VLOOKUP(A334,Sheet4!A:B,2,FALSE),"NotFound")</f>
        <v>0</v>
      </c>
      <c r="K334" t="str">
        <f t="shared" si="5"/>
        <v>Match</v>
      </c>
    </row>
    <row r="335" spans="1:11" x14ac:dyDescent="0.35">
      <c r="A335" s="3" t="s">
        <v>982</v>
      </c>
      <c r="B335" s="7">
        <v>87300</v>
      </c>
      <c r="C335" t="s">
        <v>1206</v>
      </c>
      <c r="D335">
        <v>3</v>
      </c>
      <c r="G335" t="s">
        <v>764</v>
      </c>
      <c r="H335">
        <v>0</v>
      </c>
      <c r="J335">
        <f>IF(COUNTIF(Sheet4!A:A,A335)&gt;0,VLOOKUP(A335,Sheet4!A:B,2,FALSE),"NotFound")</f>
        <v>87300</v>
      </c>
      <c r="K335" t="str">
        <f t="shared" si="5"/>
        <v>Match</v>
      </c>
    </row>
    <row r="336" spans="1:11" x14ac:dyDescent="0.35">
      <c r="A336" s="3" t="s">
        <v>978</v>
      </c>
      <c r="B336" s="7">
        <v>89288</v>
      </c>
      <c r="C336" t="s">
        <v>1207</v>
      </c>
      <c r="D336">
        <v>106</v>
      </c>
      <c r="G336" t="s">
        <v>767</v>
      </c>
      <c r="H336">
        <v>1</v>
      </c>
      <c r="J336">
        <f>IF(COUNTIF(Sheet4!A:A,A336)&gt;0,VLOOKUP(A336,Sheet4!A:B,2,FALSE),"NotFound")</f>
        <v>89288</v>
      </c>
      <c r="K336" t="str">
        <f t="shared" si="5"/>
        <v>Match</v>
      </c>
    </row>
    <row r="337" spans="1:11" x14ac:dyDescent="0.35">
      <c r="A337" s="3" t="s">
        <v>980</v>
      </c>
      <c r="B337" s="7">
        <v>0</v>
      </c>
      <c r="C337" t="s">
        <v>1246</v>
      </c>
      <c r="D337">
        <v>64</v>
      </c>
      <c r="G337" t="s">
        <v>776</v>
      </c>
      <c r="H337">
        <v>0</v>
      </c>
      <c r="J337">
        <f>IF(COUNTIF(Sheet4!A:A,A337)&gt;0,VLOOKUP(A337,Sheet4!A:B,2,FALSE),"NotFound")</f>
        <v>0</v>
      </c>
      <c r="K337" t="str">
        <f t="shared" si="5"/>
        <v>Match</v>
      </c>
    </row>
    <row r="338" spans="1:11" x14ac:dyDescent="0.35">
      <c r="A338" s="3" t="s">
        <v>977</v>
      </c>
      <c r="B338" s="7">
        <v>13174395</v>
      </c>
      <c r="C338" t="s">
        <v>1246</v>
      </c>
      <c r="D338">
        <v>64</v>
      </c>
      <c r="G338" t="s">
        <v>778</v>
      </c>
      <c r="H338">
        <v>0</v>
      </c>
      <c r="J338">
        <f>IF(COUNTIF(Sheet4!A:A,A338)&gt;0,VLOOKUP(A338,Sheet4!A:B,2,FALSE),"NotFound")</f>
        <v>13174395</v>
      </c>
      <c r="K338" t="str">
        <f t="shared" si="5"/>
        <v>Match</v>
      </c>
    </row>
    <row r="339" spans="1:11" x14ac:dyDescent="0.35">
      <c r="A339" s="3" t="s">
        <v>979</v>
      </c>
      <c r="B339" s="7">
        <v>0</v>
      </c>
      <c r="C339" t="s">
        <v>1246</v>
      </c>
      <c r="D339">
        <v>64</v>
      </c>
      <c r="G339" t="s">
        <v>771</v>
      </c>
      <c r="H339">
        <v>0</v>
      </c>
      <c r="J339">
        <f>IF(COUNTIF(Sheet4!A:A,A339)&gt;0,VLOOKUP(A339,Sheet4!A:B,2,FALSE),"NotFound")</f>
        <v>0</v>
      </c>
      <c r="K339" t="str">
        <f t="shared" si="5"/>
        <v>Match</v>
      </c>
    </row>
    <row r="340" spans="1:11" x14ac:dyDescent="0.35">
      <c r="A340" s="3" t="s">
        <v>983</v>
      </c>
      <c r="B340" s="7">
        <v>3889350</v>
      </c>
      <c r="C340" t="s">
        <v>1246</v>
      </c>
      <c r="D340">
        <v>64</v>
      </c>
      <c r="G340" t="s">
        <v>780</v>
      </c>
      <c r="H340">
        <v>0</v>
      </c>
      <c r="J340">
        <f>IF(COUNTIF(Sheet4!A:A,A340)&gt;0,VLOOKUP(A340,Sheet4!A:B,2,FALSE),"NotFound")</f>
        <v>3889350</v>
      </c>
      <c r="K340" t="str">
        <f t="shared" si="5"/>
        <v>Match</v>
      </c>
    </row>
    <row r="341" spans="1:11" x14ac:dyDescent="0.35">
      <c r="A341" s="3" t="s">
        <v>695</v>
      </c>
      <c r="B341" s="7">
        <v>0</v>
      </c>
      <c r="C341" t="s">
        <v>1246</v>
      </c>
      <c r="D341">
        <v>64</v>
      </c>
      <c r="G341" t="s">
        <v>783</v>
      </c>
      <c r="H341">
        <v>0</v>
      </c>
      <c r="J341">
        <f>IF(COUNTIF(Sheet4!A:A,A341)&gt;0,VLOOKUP(A341,Sheet4!A:B,2,FALSE),"NotFound")</f>
        <v>0</v>
      </c>
      <c r="K341" t="str">
        <f t="shared" si="5"/>
        <v>Match</v>
      </c>
    </row>
    <row r="342" spans="1:11" x14ac:dyDescent="0.35">
      <c r="A342" s="3" t="s">
        <v>1124</v>
      </c>
      <c r="B342" s="7">
        <v>0</v>
      </c>
      <c r="C342" t="s">
        <v>1246</v>
      </c>
      <c r="D342">
        <v>64</v>
      </c>
      <c r="G342" t="s">
        <v>792</v>
      </c>
      <c r="H342">
        <v>0</v>
      </c>
      <c r="J342">
        <f>IF(COUNTIF(Sheet4!A:A,A342)&gt;0,VLOOKUP(A342,Sheet4!A:B,2,FALSE),"NotFound")</f>
        <v>0</v>
      </c>
      <c r="K342" t="str">
        <f t="shared" si="5"/>
        <v>Match</v>
      </c>
    </row>
    <row r="343" spans="1:11" x14ac:dyDescent="0.35">
      <c r="A343" s="3" t="s">
        <v>657</v>
      </c>
      <c r="B343" s="7">
        <v>892</v>
      </c>
      <c r="C343" t="s">
        <v>1246</v>
      </c>
      <c r="D343">
        <v>64</v>
      </c>
      <c r="G343" t="s">
        <v>777</v>
      </c>
      <c r="H343">
        <v>0</v>
      </c>
      <c r="J343">
        <f>IF(COUNTIF(Sheet4!A:A,A343)&gt;0,VLOOKUP(A343,Sheet4!A:B,2,FALSE),"NotFound")</f>
        <v>892</v>
      </c>
      <c r="K343" t="str">
        <f t="shared" si="5"/>
        <v>Match</v>
      </c>
    </row>
    <row r="344" spans="1:11" x14ac:dyDescent="0.35">
      <c r="A344" s="3" t="s">
        <v>653</v>
      </c>
      <c r="B344" s="7">
        <v>402580</v>
      </c>
      <c r="C344" t="s">
        <v>1246</v>
      </c>
      <c r="D344">
        <v>64</v>
      </c>
      <c r="G344" t="s">
        <v>785</v>
      </c>
      <c r="H344">
        <v>0</v>
      </c>
      <c r="J344">
        <f>IF(COUNTIF(Sheet4!A:A,A344)&gt;0,VLOOKUP(A344,Sheet4!A:B,2,FALSE),"NotFound")</f>
        <v>402580</v>
      </c>
      <c r="K344" t="str">
        <f t="shared" si="5"/>
        <v>Match</v>
      </c>
    </row>
    <row r="345" spans="1:11" x14ac:dyDescent="0.35">
      <c r="A345" s="3" t="s">
        <v>986</v>
      </c>
      <c r="B345" s="7">
        <v>27173</v>
      </c>
      <c r="C345" t="s">
        <v>1209</v>
      </c>
      <c r="D345">
        <v>91</v>
      </c>
      <c r="G345" t="s">
        <v>770</v>
      </c>
      <c r="H345">
        <v>3808639</v>
      </c>
      <c r="J345">
        <f>IF(COUNTIF(Sheet4!A:A,A345)&gt;0,VLOOKUP(A345,Sheet4!A:B,2,FALSE),"NotFound")</f>
        <v>27173</v>
      </c>
      <c r="K345" t="str">
        <f t="shared" si="5"/>
        <v>Match</v>
      </c>
    </row>
    <row r="346" spans="1:11" x14ac:dyDescent="0.35">
      <c r="A346" s="3" t="s">
        <v>988</v>
      </c>
      <c r="B346" s="7">
        <v>27173</v>
      </c>
      <c r="C346" t="s">
        <v>1209</v>
      </c>
      <c r="D346">
        <v>91</v>
      </c>
      <c r="G346" t="s">
        <v>771</v>
      </c>
      <c r="H346">
        <v>10047011</v>
      </c>
      <c r="J346">
        <f>IF(COUNTIF(Sheet4!A:A,A346)&gt;0,VLOOKUP(A346,Sheet4!A:B,2,FALSE),"NotFound")</f>
        <v>27173</v>
      </c>
      <c r="K346" t="str">
        <f t="shared" si="5"/>
        <v>Match</v>
      </c>
    </row>
    <row r="347" spans="1:11" x14ac:dyDescent="0.35">
      <c r="A347" s="3" t="s">
        <v>992</v>
      </c>
      <c r="B347" s="7">
        <v>9771</v>
      </c>
      <c r="C347" t="s">
        <v>1209</v>
      </c>
      <c r="D347">
        <v>91</v>
      </c>
      <c r="G347" t="s">
        <v>773</v>
      </c>
      <c r="H347">
        <v>0</v>
      </c>
      <c r="J347">
        <f>IF(COUNTIF(Sheet4!A:A,A347)&gt;0,VLOOKUP(A347,Sheet4!A:B,2,FALSE),"NotFound")</f>
        <v>9771</v>
      </c>
      <c r="K347" t="str">
        <f t="shared" si="5"/>
        <v>Match</v>
      </c>
    </row>
    <row r="348" spans="1:11" x14ac:dyDescent="0.35">
      <c r="A348" s="3" t="s">
        <v>1008</v>
      </c>
      <c r="B348" s="7">
        <v>8919</v>
      </c>
      <c r="C348" t="s">
        <v>1209</v>
      </c>
      <c r="D348">
        <v>91</v>
      </c>
      <c r="G348" t="s">
        <v>774</v>
      </c>
      <c r="H348">
        <v>0</v>
      </c>
      <c r="J348">
        <f>IF(COUNTIF(Sheet4!A:A,A348)&gt;0,VLOOKUP(A348,Sheet4!A:B,2,FALSE),"NotFound")</f>
        <v>8919</v>
      </c>
      <c r="K348" t="str">
        <f t="shared" si="5"/>
        <v>Match</v>
      </c>
    </row>
    <row r="349" spans="1:11" x14ac:dyDescent="0.35">
      <c r="A349" s="3" t="s">
        <v>1073</v>
      </c>
      <c r="B349" s="7">
        <v>100</v>
      </c>
      <c r="C349" t="s">
        <v>1209</v>
      </c>
      <c r="D349">
        <v>2</v>
      </c>
      <c r="G349" t="s">
        <v>778</v>
      </c>
      <c r="H349">
        <v>0</v>
      </c>
      <c r="J349">
        <f>IF(COUNTIF(Sheet4!A:A,A349)&gt;0,VLOOKUP(A349,Sheet4!A:B,2,FALSE),"NotFound")</f>
        <v>100</v>
      </c>
      <c r="K349" t="str">
        <f t="shared" si="5"/>
        <v>Match</v>
      </c>
    </row>
    <row r="350" spans="1:11" x14ac:dyDescent="0.35">
      <c r="A350" s="3" t="s">
        <v>1023</v>
      </c>
      <c r="B350" s="7">
        <v>0</v>
      </c>
      <c r="C350" t="s">
        <v>1209</v>
      </c>
      <c r="D350">
        <v>2</v>
      </c>
      <c r="G350" t="s">
        <v>792</v>
      </c>
      <c r="H350">
        <v>0</v>
      </c>
      <c r="J350">
        <f>IF(COUNTIF(Sheet4!A:A,A350)&gt;0,VLOOKUP(A350,Sheet4!A:B,2,FALSE),"NotFound")</f>
        <v>0</v>
      </c>
      <c r="K350" t="str">
        <f t="shared" si="5"/>
        <v>Match</v>
      </c>
    </row>
    <row r="351" spans="1:11" x14ac:dyDescent="0.35">
      <c r="A351" s="3" t="s">
        <v>1024</v>
      </c>
      <c r="B351" s="7">
        <v>0</v>
      </c>
      <c r="C351" t="s">
        <v>1209</v>
      </c>
      <c r="D351">
        <v>2</v>
      </c>
      <c r="G351" t="s">
        <v>788</v>
      </c>
      <c r="H351">
        <v>0</v>
      </c>
      <c r="J351">
        <f>IF(COUNTIF(Sheet4!A:A,A351)&gt;0,VLOOKUP(A351,Sheet4!A:B,2,FALSE),"NotFound")</f>
        <v>0</v>
      </c>
      <c r="K351" t="str">
        <f t="shared" si="5"/>
        <v>Match</v>
      </c>
    </row>
    <row r="352" spans="1:11" x14ac:dyDescent="0.35">
      <c r="A352" s="3" t="s">
        <v>1025</v>
      </c>
      <c r="B352" s="7">
        <v>0</v>
      </c>
      <c r="C352" t="s">
        <v>1212</v>
      </c>
      <c r="D352">
        <v>16</v>
      </c>
      <c r="G352" t="s">
        <v>829</v>
      </c>
      <c r="H352">
        <v>0</v>
      </c>
      <c r="J352">
        <f>IF(COUNTIF(Sheet4!A:A,A352)&gt;0,VLOOKUP(A352,Sheet4!A:B,2,FALSE),"NotFound")</f>
        <v>0</v>
      </c>
      <c r="K352" t="str">
        <f t="shared" si="5"/>
        <v>Match</v>
      </c>
    </row>
    <row r="353" spans="1:11" x14ac:dyDescent="0.35">
      <c r="A353" s="3" t="s">
        <v>1026</v>
      </c>
      <c r="B353" s="7">
        <v>0</v>
      </c>
      <c r="C353" t="s">
        <v>1212</v>
      </c>
      <c r="D353">
        <v>16</v>
      </c>
      <c r="G353" t="s">
        <v>811</v>
      </c>
      <c r="H353">
        <v>2</v>
      </c>
      <c r="J353">
        <f>IF(COUNTIF(Sheet4!A:A,A353)&gt;0,VLOOKUP(A353,Sheet4!A:B,2,FALSE),"NotFound")</f>
        <v>0</v>
      </c>
      <c r="K353" t="str">
        <f t="shared" si="5"/>
        <v>Match</v>
      </c>
    </row>
    <row r="354" spans="1:11" x14ac:dyDescent="0.35">
      <c r="A354" s="3" t="s">
        <v>1027</v>
      </c>
      <c r="B354" s="7">
        <v>0</v>
      </c>
      <c r="C354" t="s">
        <v>1212</v>
      </c>
      <c r="D354">
        <v>16</v>
      </c>
      <c r="G354" t="s">
        <v>868</v>
      </c>
      <c r="H354">
        <v>0</v>
      </c>
      <c r="J354">
        <f>IF(COUNTIF(Sheet4!A:A,A354)&gt;0,VLOOKUP(A354,Sheet4!A:B,2,FALSE),"NotFound")</f>
        <v>0</v>
      </c>
      <c r="K354" t="str">
        <f t="shared" si="5"/>
        <v>Match</v>
      </c>
    </row>
    <row r="355" spans="1:11" x14ac:dyDescent="0.35">
      <c r="A355" s="3" t="s">
        <v>1028</v>
      </c>
      <c r="B355" s="7">
        <v>0</v>
      </c>
      <c r="C355" t="s">
        <v>1212</v>
      </c>
      <c r="D355">
        <v>16</v>
      </c>
      <c r="G355" t="s">
        <v>871</v>
      </c>
      <c r="H355">
        <v>0</v>
      </c>
      <c r="J355">
        <f>IF(COUNTIF(Sheet4!A:A,A355)&gt;0,VLOOKUP(A355,Sheet4!A:B,2,FALSE),"NotFound")</f>
        <v>0</v>
      </c>
      <c r="K355" t="str">
        <f t="shared" si="5"/>
        <v>Match</v>
      </c>
    </row>
    <row r="356" spans="1:11" x14ac:dyDescent="0.35">
      <c r="A356" s="3" t="s">
        <v>1030</v>
      </c>
      <c r="B356" s="7">
        <v>0</v>
      </c>
      <c r="C356" t="s">
        <v>1212</v>
      </c>
      <c r="D356">
        <v>16</v>
      </c>
      <c r="G356" t="s">
        <v>875</v>
      </c>
      <c r="H356">
        <v>0</v>
      </c>
      <c r="J356">
        <f>IF(COUNTIF(Sheet4!A:A,A356)&gt;0,VLOOKUP(A356,Sheet4!A:B,2,FALSE),"NotFound")</f>
        <v>0</v>
      </c>
      <c r="K356" t="str">
        <f t="shared" si="5"/>
        <v>Match</v>
      </c>
    </row>
    <row r="357" spans="1:11" x14ac:dyDescent="0.35">
      <c r="A357" s="3" t="s">
        <v>1029</v>
      </c>
      <c r="B357" s="7">
        <v>0</v>
      </c>
      <c r="C357" t="s">
        <v>1212</v>
      </c>
      <c r="D357">
        <v>16</v>
      </c>
      <c r="G357" t="s">
        <v>823</v>
      </c>
      <c r="H357">
        <v>0</v>
      </c>
      <c r="J357">
        <f>IF(COUNTIF(Sheet4!A:A,A357)&gt;0,VLOOKUP(A357,Sheet4!A:B,2,FALSE),"NotFound")</f>
        <v>0</v>
      </c>
      <c r="K357" t="str">
        <f t="shared" si="5"/>
        <v>Match</v>
      </c>
    </row>
    <row r="358" spans="1:11" x14ac:dyDescent="0.35">
      <c r="A358" s="3" t="s">
        <v>1031</v>
      </c>
      <c r="B358" s="7">
        <v>0</v>
      </c>
      <c r="C358" t="s">
        <v>1212</v>
      </c>
      <c r="D358">
        <v>16</v>
      </c>
      <c r="G358" t="s">
        <v>841</v>
      </c>
      <c r="H358">
        <v>0</v>
      </c>
      <c r="J358">
        <f>IF(COUNTIF(Sheet4!A:A,A358)&gt;0,VLOOKUP(A358,Sheet4!A:B,2,FALSE),"NotFound")</f>
        <v>0</v>
      </c>
      <c r="K358" t="str">
        <f t="shared" si="5"/>
        <v>Match</v>
      </c>
    </row>
    <row r="359" spans="1:11" x14ac:dyDescent="0.35">
      <c r="A359" s="3" t="s">
        <v>1032</v>
      </c>
      <c r="B359" s="7">
        <v>0</v>
      </c>
      <c r="C359" t="s">
        <v>1212</v>
      </c>
      <c r="D359">
        <v>16</v>
      </c>
      <c r="G359" t="s">
        <v>842</v>
      </c>
      <c r="H359">
        <v>0</v>
      </c>
      <c r="J359">
        <f>IF(COUNTIF(Sheet4!A:A,A359)&gt;0,VLOOKUP(A359,Sheet4!A:B,2,FALSE),"NotFound")</f>
        <v>0</v>
      </c>
      <c r="K359" t="str">
        <f t="shared" si="5"/>
        <v>Match</v>
      </c>
    </row>
    <row r="360" spans="1:11" x14ac:dyDescent="0.35">
      <c r="A360" s="3" t="s">
        <v>1033</v>
      </c>
      <c r="B360" s="7">
        <v>0</v>
      </c>
      <c r="C360" t="s">
        <v>1221</v>
      </c>
      <c r="D360">
        <v>63</v>
      </c>
      <c r="G360" t="s">
        <v>930</v>
      </c>
      <c r="H360">
        <v>0</v>
      </c>
      <c r="J360">
        <f>IF(COUNTIF(Sheet4!A:A,A360)&gt;0,VLOOKUP(A360,Sheet4!A:B,2,FALSE),"NotFound")</f>
        <v>0</v>
      </c>
      <c r="K360" t="str">
        <f t="shared" si="5"/>
        <v>Match</v>
      </c>
    </row>
    <row r="361" spans="1:11" x14ac:dyDescent="0.35">
      <c r="A361" s="3" t="s">
        <v>1035</v>
      </c>
      <c r="B361" s="7">
        <v>0</v>
      </c>
      <c r="C361" t="s">
        <v>1278</v>
      </c>
      <c r="D361">
        <v>69</v>
      </c>
      <c r="G361" t="s">
        <v>941</v>
      </c>
      <c r="H361">
        <v>0</v>
      </c>
      <c r="J361">
        <f>IF(COUNTIF(Sheet4!A:A,A361)&gt;0,VLOOKUP(A361,Sheet4!A:B,2,FALSE),"NotFound")</f>
        <v>0</v>
      </c>
      <c r="K361" t="str">
        <f t="shared" si="5"/>
        <v>Match</v>
      </c>
    </row>
    <row r="362" spans="1:11" x14ac:dyDescent="0.35">
      <c r="A362" s="3" t="s">
        <v>1034</v>
      </c>
      <c r="B362" s="7">
        <v>0</v>
      </c>
      <c r="C362" t="s">
        <v>1223</v>
      </c>
      <c r="D362">
        <v>82</v>
      </c>
      <c r="G362" t="s">
        <v>948</v>
      </c>
      <c r="H362">
        <v>0</v>
      </c>
      <c r="J362">
        <f>IF(COUNTIF(Sheet4!A:A,A362)&gt;0,VLOOKUP(A362,Sheet4!A:B,2,FALSE),"NotFound")</f>
        <v>0</v>
      </c>
      <c r="K362" t="str">
        <f t="shared" si="5"/>
        <v>Match</v>
      </c>
    </row>
    <row r="363" spans="1:11" x14ac:dyDescent="0.35">
      <c r="A363" s="3" t="s">
        <v>1009</v>
      </c>
      <c r="B363" s="7">
        <v>0</v>
      </c>
      <c r="C363" t="s">
        <v>1224</v>
      </c>
      <c r="D363">
        <v>21</v>
      </c>
      <c r="G363" t="s">
        <v>958</v>
      </c>
      <c r="H363">
        <v>0</v>
      </c>
      <c r="J363">
        <f>IF(COUNTIF(Sheet4!A:A,A363)&gt;0,VLOOKUP(A363,Sheet4!A:B,2,FALSE),"NotFound")</f>
        <v>0</v>
      </c>
      <c r="K363" t="str">
        <f t="shared" si="5"/>
        <v>Match</v>
      </c>
    </row>
    <row r="364" spans="1:11" x14ac:dyDescent="0.35">
      <c r="A364" s="3" t="s">
        <v>1036</v>
      </c>
      <c r="B364" s="7">
        <v>0</v>
      </c>
      <c r="C364" t="s">
        <v>1225</v>
      </c>
      <c r="D364">
        <v>90</v>
      </c>
      <c r="G364" t="s">
        <v>967</v>
      </c>
      <c r="H364">
        <v>0</v>
      </c>
      <c r="J364">
        <f>IF(COUNTIF(Sheet4!A:A,A364)&gt;0,VLOOKUP(A364,Sheet4!A:B,2,FALSE),"NotFound")</f>
        <v>0</v>
      </c>
      <c r="K364" t="str">
        <f t="shared" si="5"/>
        <v>Match</v>
      </c>
    </row>
    <row r="365" spans="1:11" x14ac:dyDescent="0.35">
      <c r="A365" s="3" t="s">
        <v>1065</v>
      </c>
      <c r="B365" s="7">
        <v>0</v>
      </c>
      <c r="C365" t="s">
        <v>1225</v>
      </c>
      <c r="D365">
        <v>90</v>
      </c>
      <c r="G365" t="s">
        <v>970</v>
      </c>
      <c r="H365">
        <v>0</v>
      </c>
      <c r="J365">
        <f>IF(COUNTIF(Sheet4!A:A,A365)&gt;0,VLOOKUP(A365,Sheet4!A:B,2,FALSE),"NotFound")</f>
        <v>0</v>
      </c>
      <c r="K365" t="str">
        <f t="shared" si="5"/>
        <v>Match</v>
      </c>
    </row>
    <row r="366" spans="1:11" x14ac:dyDescent="0.35">
      <c r="A366" s="3" t="s">
        <v>1037</v>
      </c>
      <c r="B366" s="7">
        <v>0</v>
      </c>
      <c r="C366" t="s">
        <v>1251</v>
      </c>
      <c r="D366">
        <v>22</v>
      </c>
      <c r="G366" t="s">
        <v>974</v>
      </c>
      <c r="H366">
        <v>0</v>
      </c>
      <c r="J366">
        <f>IF(COUNTIF(Sheet4!A:A,A366)&gt;0,VLOOKUP(A366,Sheet4!A:B,2,FALSE),"NotFound")</f>
        <v>0</v>
      </c>
      <c r="K366" t="str">
        <f t="shared" si="5"/>
        <v>Match</v>
      </c>
    </row>
    <row r="367" spans="1:11" x14ac:dyDescent="0.35">
      <c r="A367" s="3" t="s">
        <v>1038</v>
      </c>
      <c r="B367" s="7">
        <v>0</v>
      </c>
      <c r="C367" t="s">
        <v>1226</v>
      </c>
      <c r="D367">
        <v>36</v>
      </c>
      <c r="G367" t="s">
        <v>982</v>
      </c>
      <c r="H367">
        <v>81723</v>
      </c>
      <c r="J367">
        <f>IF(COUNTIF(Sheet4!A:A,A367)&gt;0,VLOOKUP(A367,Sheet4!A:B,2,FALSE),"NotFound")</f>
        <v>0</v>
      </c>
      <c r="K367" t="str">
        <f t="shared" si="5"/>
        <v>Match</v>
      </c>
    </row>
    <row r="368" spans="1:11" x14ac:dyDescent="0.35">
      <c r="A368" s="3" t="s">
        <v>996</v>
      </c>
      <c r="B368" s="7">
        <v>240</v>
      </c>
      <c r="C368" t="s">
        <v>1226</v>
      </c>
      <c r="D368">
        <v>36</v>
      </c>
      <c r="G368" t="s">
        <v>981</v>
      </c>
      <c r="H368">
        <v>0</v>
      </c>
      <c r="J368">
        <f>IF(COUNTIF(Sheet4!A:A,A368)&gt;0,VLOOKUP(A368,Sheet4!A:B,2,FALSE),"NotFound")</f>
        <v>240</v>
      </c>
      <c r="K368" t="str">
        <f t="shared" si="5"/>
        <v>Match</v>
      </c>
    </row>
    <row r="369" spans="1:11" x14ac:dyDescent="0.35">
      <c r="A369" s="3" t="s">
        <v>1015</v>
      </c>
      <c r="B369" s="7">
        <v>336</v>
      </c>
      <c r="C369" t="s">
        <v>1228</v>
      </c>
      <c r="D369">
        <v>15</v>
      </c>
      <c r="G369" t="s">
        <v>1029</v>
      </c>
      <c r="H369">
        <v>0</v>
      </c>
      <c r="J369">
        <f>IF(COUNTIF(Sheet4!A:A,A369)&gt;0,VLOOKUP(A369,Sheet4!A:B,2,FALSE),"NotFound")</f>
        <v>336</v>
      </c>
      <c r="K369" t="str">
        <f t="shared" si="5"/>
        <v>Match</v>
      </c>
    </row>
    <row r="370" spans="1:11" x14ac:dyDescent="0.35">
      <c r="A370" s="3" t="s">
        <v>1039</v>
      </c>
      <c r="B370" s="7">
        <v>0</v>
      </c>
      <c r="C370" t="s">
        <v>1228</v>
      </c>
      <c r="D370">
        <v>15</v>
      </c>
      <c r="G370" t="s">
        <v>1033</v>
      </c>
      <c r="H370">
        <v>0</v>
      </c>
      <c r="J370">
        <f>IF(COUNTIF(Sheet4!A:A,A370)&gt;0,VLOOKUP(A370,Sheet4!A:B,2,FALSE),"NotFound")</f>
        <v>0</v>
      </c>
      <c r="K370" t="str">
        <f t="shared" si="5"/>
        <v>Match</v>
      </c>
    </row>
    <row r="371" spans="1:11" x14ac:dyDescent="0.35">
      <c r="A371" s="3" t="s">
        <v>1004</v>
      </c>
      <c r="B371" s="7">
        <v>68663</v>
      </c>
      <c r="C371" t="s">
        <v>1228</v>
      </c>
      <c r="D371">
        <v>15</v>
      </c>
      <c r="G371" t="s">
        <v>1040</v>
      </c>
      <c r="H371">
        <v>0</v>
      </c>
      <c r="J371">
        <f>IF(COUNTIF(Sheet4!A:A,A371)&gt;0,VLOOKUP(A371,Sheet4!A:B,2,FALSE),"NotFound")</f>
        <v>68663</v>
      </c>
      <c r="K371" t="str">
        <f t="shared" si="5"/>
        <v>Match</v>
      </c>
    </row>
    <row r="372" spans="1:11" x14ac:dyDescent="0.35">
      <c r="A372" s="3" t="s">
        <v>987</v>
      </c>
      <c r="B372" s="7">
        <v>36262</v>
      </c>
      <c r="C372" t="s">
        <v>1228</v>
      </c>
      <c r="D372">
        <v>15</v>
      </c>
      <c r="G372" t="s">
        <v>998</v>
      </c>
      <c r="H372">
        <v>8906</v>
      </c>
      <c r="J372">
        <f>IF(COUNTIF(Sheet4!A:A,A372)&gt;0,VLOOKUP(A372,Sheet4!A:B,2,FALSE),"NotFound")</f>
        <v>36262</v>
      </c>
      <c r="K372" t="str">
        <f t="shared" si="5"/>
        <v>Match</v>
      </c>
    </row>
    <row r="373" spans="1:11" x14ac:dyDescent="0.35">
      <c r="A373" s="3" t="s">
        <v>1074</v>
      </c>
      <c r="B373" s="7">
        <v>0</v>
      </c>
      <c r="C373" t="s">
        <v>1228</v>
      </c>
      <c r="D373">
        <v>15</v>
      </c>
      <c r="G373" t="s">
        <v>1047</v>
      </c>
      <c r="H373">
        <v>0</v>
      </c>
      <c r="J373">
        <f>IF(COUNTIF(Sheet4!A:A,A373)&gt;0,VLOOKUP(A373,Sheet4!A:B,2,FALSE),"NotFound")</f>
        <v>0</v>
      </c>
      <c r="K373" t="str">
        <f t="shared" si="5"/>
        <v>Match</v>
      </c>
    </row>
    <row r="374" spans="1:11" x14ac:dyDescent="0.35">
      <c r="A374" s="3" t="s">
        <v>1072</v>
      </c>
      <c r="B374" s="7">
        <v>0</v>
      </c>
      <c r="C374" t="s">
        <v>1228</v>
      </c>
      <c r="D374">
        <v>15</v>
      </c>
      <c r="G374" t="s">
        <v>1049</v>
      </c>
      <c r="H374">
        <v>0</v>
      </c>
      <c r="J374">
        <f>IF(COUNTIF(Sheet4!A:A,A374)&gt;0,VLOOKUP(A374,Sheet4!A:B,2,FALSE),"NotFound")</f>
        <v>0</v>
      </c>
      <c r="K374" t="str">
        <f t="shared" si="5"/>
        <v>Match</v>
      </c>
    </row>
    <row r="375" spans="1:11" x14ac:dyDescent="0.35">
      <c r="A375" s="3" t="s">
        <v>1067</v>
      </c>
      <c r="B375" s="7">
        <v>0</v>
      </c>
      <c r="C375" t="s">
        <v>1228</v>
      </c>
      <c r="D375">
        <v>15</v>
      </c>
      <c r="G375" t="s">
        <v>1053</v>
      </c>
      <c r="H375">
        <v>0</v>
      </c>
      <c r="J375">
        <f>IF(COUNTIF(Sheet4!A:A,A375)&gt;0,VLOOKUP(A375,Sheet4!A:B,2,FALSE),"NotFound")</f>
        <v>0</v>
      </c>
      <c r="K375" t="str">
        <f t="shared" si="5"/>
        <v>Match</v>
      </c>
    </row>
    <row r="376" spans="1:11" x14ac:dyDescent="0.35">
      <c r="A376" s="3" t="s">
        <v>1019</v>
      </c>
      <c r="B376" s="7">
        <v>1</v>
      </c>
      <c r="C376" t="s">
        <v>1228</v>
      </c>
      <c r="D376">
        <v>15</v>
      </c>
      <c r="G376" t="s">
        <v>1020</v>
      </c>
      <c r="H376">
        <v>0</v>
      </c>
      <c r="J376">
        <f>IF(COUNTIF(Sheet4!A:A,A376)&gt;0,VLOOKUP(A376,Sheet4!A:B,2,FALSE),"NotFound")</f>
        <v>1</v>
      </c>
      <c r="K376" t="str">
        <f t="shared" si="5"/>
        <v>Match</v>
      </c>
    </row>
    <row r="377" spans="1:11" x14ac:dyDescent="0.35">
      <c r="A377" s="3" t="s">
        <v>1040</v>
      </c>
      <c r="B377" s="7">
        <v>0</v>
      </c>
      <c r="C377" t="s">
        <v>1228</v>
      </c>
      <c r="D377">
        <v>15</v>
      </c>
      <c r="G377" t="s">
        <v>1021</v>
      </c>
      <c r="H377">
        <v>0</v>
      </c>
      <c r="J377">
        <f>IF(COUNTIF(Sheet4!A:A,A377)&gt;0,VLOOKUP(A377,Sheet4!A:B,2,FALSE),"NotFound")</f>
        <v>0</v>
      </c>
      <c r="K377" t="str">
        <f t="shared" si="5"/>
        <v>Match</v>
      </c>
    </row>
    <row r="378" spans="1:11" x14ac:dyDescent="0.35">
      <c r="A378" s="3" t="s">
        <v>1041</v>
      </c>
      <c r="B378" s="7">
        <v>0</v>
      </c>
      <c r="C378" t="s">
        <v>1228</v>
      </c>
      <c r="D378">
        <v>15</v>
      </c>
      <c r="G378" t="s">
        <v>1007</v>
      </c>
      <c r="H378">
        <v>0</v>
      </c>
      <c r="J378">
        <f>IF(COUNTIF(Sheet4!A:A,A378)&gt;0,VLOOKUP(A378,Sheet4!A:B,2,FALSE),"NotFound")</f>
        <v>0</v>
      </c>
      <c r="K378" t="str">
        <f t="shared" si="5"/>
        <v>Match</v>
      </c>
    </row>
    <row r="379" spans="1:11" x14ac:dyDescent="0.35">
      <c r="A379" s="3" t="s">
        <v>997</v>
      </c>
      <c r="B379" s="7">
        <v>0</v>
      </c>
      <c r="C379" t="s">
        <v>1279</v>
      </c>
      <c r="D379">
        <v>50</v>
      </c>
      <c r="G379" t="s">
        <v>1070</v>
      </c>
      <c r="H379">
        <v>0</v>
      </c>
      <c r="J379">
        <f>IF(COUNTIF(Sheet4!A:A,A379)&gt;0,VLOOKUP(A379,Sheet4!A:B,2,FALSE),"NotFound")</f>
        <v>0</v>
      </c>
      <c r="K379" t="str">
        <f t="shared" si="5"/>
        <v>Match</v>
      </c>
    </row>
    <row r="380" spans="1:11" x14ac:dyDescent="0.35">
      <c r="A380" s="3" t="s">
        <v>1001</v>
      </c>
      <c r="B380" s="7">
        <v>0</v>
      </c>
      <c r="C380" t="s">
        <v>1280</v>
      </c>
      <c r="D380">
        <v>52</v>
      </c>
      <c r="G380" t="s">
        <v>1073</v>
      </c>
      <c r="H380">
        <v>100</v>
      </c>
      <c r="J380">
        <f>IF(COUNTIF(Sheet4!A:A,A380)&gt;0,VLOOKUP(A380,Sheet4!A:B,2,FALSE),"NotFound")</f>
        <v>0</v>
      </c>
      <c r="K380" t="str">
        <f t="shared" si="5"/>
        <v>Match</v>
      </c>
    </row>
    <row r="381" spans="1:11" x14ac:dyDescent="0.35">
      <c r="A381" s="3" t="s">
        <v>1000</v>
      </c>
      <c r="B381" s="7">
        <v>5125</v>
      </c>
      <c r="C381" t="s">
        <v>1281</v>
      </c>
      <c r="D381">
        <v>79</v>
      </c>
      <c r="G381" t="s">
        <v>1076</v>
      </c>
      <c r="H381">
        <v>0</v>
      </c>
      <c r="J381">
        <f>IF(COUNTIF(Sheet4!A:A,A381)&gt;0,VLOOKUP(A381,Sheet4!A:B,2,FALSE),"NotFound")</f>
        <v>5125</v>
      </c>
      <c r="K381" t="str">
        <f t="shared" si="5"/>
        <v>Match</v>
      </c>
    </row>
    <row r="382" spans="1:11" x14ac:dyDescent="0.35">
      <c r="A382" s="3" t="s">
        <v>984</v>
      </c>
      <c r="B382" s="7">
        <v>6759</v>
      </c>
      <c r="C382" t="s">
        <v>1231</v>
      </c>
      <c r="D382">
        <v>14</v>
      </c>
      <c r="G382" t="s">
        <v>1083</v>
      </c>
      <c r="H382">
        <v>2043</v>
      </c>
      <c r="J382">
        <f>IF(COUNTIF(Sheet4!A:A,A382)&gt;0,VLOOKUP(A382,Sheet4!A:B,2,FALSE),"NotFound")</f>
        <v>6759</v>
      </c>
      <c r="K382" t="str">
        <f t="shared" si="5"/>
        <v>Match</v>
      </c>
    </row>
    <row r="383" spans="1:11" x14ac:dyDescent="0.35">
      <c r="A383" s="3" t="s">
        <v>998</v>
      </c>
      <c r="B383" s="7">
        <v>8906</v>
      </c>
      <c r="C383" t="s">
        <v>1232</v>
      </c>
      <c r="D383">
        <v>62</v>
      </c>
      <c r="G383" t="s">
        <v>1094</v>
      </c>
      <c r="H383">
        <v>0</v>
      </c>
      <c r="J383">
        <f>IF(COUNTIF(Sheet4!A:A,A383)&gt;0,VLOOKUP(A383,Sheet4!A:B,2,FALSE),"NotFound")</f>
        <v>8906</v>
      </c>
      <c r="K383" t="str">
        <f t="shared" si="5"/>
        <v>Match</v>
      </c>
    </row>
    <row r="384" spans="1:11" x14ac:dyDescent="0.35">
      <c r="A384" s="3" t="s">
        <v>991</v>
      </c>
      <c r="B384" s="7">
        <v>62433</v>
      </c>
      <c r="C384" t="s">
        <v>1274</v>
      </c>
      <c r="D384">
        <v>81</v>
      </c>
      <c r="G384" t="s">
        <v>1108</v>
      </c>
      <c r="H384">
        <v>0</v>
      </c>
      <c r="J384">
        <f>IF(COUNTIF(Sheet4!A:A,A384)&gt;0,VLOOKUP(A384,Sheet4!A:B,2,FALSE),"NotFound")</f>
        <v>62433</v>
      </c>
      <c r="K384" t="str">
        <f t="shared" si="5"/>
        <v>Match</v>
      </c>
    </row>
    <row r="385" spans="1:11" x14ac:dyDescent="0.35">
      <c r="A385" s="3" t="s">
        <v>1042</v>
      </c>
      <c r="B385" s="7">
        <v>0</v>
      </c>
      <c r="C385" t="s">
        <v>1233</v>
      </c>
      <c r="D385">
        <v>66</v>
      </c>
      <c r="G385" t="s">
        <v>1119</v>
      </c>
      <c r="H385">
        <v>0</v>
      </c>
      <c r="J385">
        <f>IF(COUNTIF(Sheet4!A:A,A385)&gt;0,VLOOKUP(A385,Sheet4!A:B,2,FALSE),"NotFound")</f>
        <v>0</v>
      </c>
      <c r="K385" t="str">
        <f t="shared" si="5"/>
        <v>Match</v>
      </c>
    </row>
    <row r="386" spans="1:11" x14ac:dyDescent="0.35">
      <c r="A386" s="3" t="s">
        <v>1070</v>
      </c>
      <c r="B386" s="7">
        <v>0</v>
      </c>
      <c r="C386" t="s">
        <v>1266</v>
      </c>
      <c r="D386">
        <v>71</v>
      </c>
      <c r="G386" t="s">
        <v>1121</v>
      </c>
      <c r="H386">
        <v>0</v>
      </c>
      <c r="J386">
        <f>IF(COUNTIF(Sheet4!A:A,A386)&gt;0,VLOOKUP(A386,Sheet4!A:B,2,FALSE),"NotFound")</f>
        <v>0</v>
      </c>
      <c r="K386" t="str">
        <f t="shared" si="5"/>
        <v>Match</v>
      </c>
    </row>
    <row r="387" spans="1:11" x14ac:dyDescent="0.35">
      <c r="A387" s="3" t="s">
        <v>1071</v>
      </c>
      <c r="B387" s="7">
        <v>0</v>
      </c>
      <c r="C387" t="s">
        <v>1234</v>
      </c>
      <c r="D387">
        <v>12</v>
      </c>
      <c r="G387" t="s">
        <v>1129</v>
      </c>
      <c r="H387">
        <v>0</v>
      </c>
      <c r="J387">
        <f>IF(COUNTIF(Sheet4!A:A,A387)&gt;0,VLOOKUP(A387,Sheet4!A:B,2,FALSE),"NotFound")</f>
        <v>0</v>
      </c>
      <c r="K387" t="str">
        <f t="shared" ref="K387:K450" si="6">IF(B387=J387,"Match","Mis Match")</f>
        <v>Match</v>
      </c>
    </row>
    <row r="388" spans="1:11" x14ac:dyDescent="0.35">
      <c r="A388" s="3" t="s">
        <v>1068</v>
      </c>
      <c r="B388" s="7">
        <v>0</v>
      </c>
      <c r="C388" t="s">
        <v>1234</v>
      </c>
      <c r="D388">
        <v>12</v>
      </c>
      <c r="G388" t="s">
        <v>1125</v>
      </c>
      <c r="H388">
        <v>0</v>
      </c>
      <c r="J388">
        <f>IF(COUNTIF(Sheet4!A:A,A388)&gt;0,VLOOKUP(A388,Sheet4!A:B,2,FALSE),"NotFound")</f>
        <v>0</v>
      </c>
      <c r="K388" t="str">
        <f t="shared" si="6"/>
        <v>Match</v>
      </c>
    </row>
    <row r="389" spans="1:11" x14ac:dyDescent="0.35">
      <c r="A389" s="3" t="s">
        <v>1043</v>
      </c>
      <c r="B389" s="7">
        <v>0</v>
      </c>
      <c r="C389" t="s">
        <v>1234</v>
      </c>
      <c r="D389">
        <v>12</v>
      </c>
      <c r="G389" t="s">
        <v>1123</v>
      </c>
      <c r="H389">
        <v>0</v>
      </c>
      <c r="J389">
        <f>IF(COUNTIF(Sheet4!A:A,A389)&gt;0,VLOOKUP(A389,Sheet4!A:B,2,FALSE),"NotFound")</f>
        <v>0</v>
      </c>
      <c r="K389" t="str">
        <f t="shared" si="6"/>
        <v>Match</v>
      </c>
    </row>
    <row r="390" spans="1:11" x14ac:dyDescent="0.35">
      <c r="A390" s="3" t="s">
        <v>1069</v>
      </c>
      <c r="B390" s="7">
        <v>0</v>
      </c>
      <c r="C390" t="s">
        <v>1254</v>
      </c>
      <c r="D390">
        <v>56</v>
      </c>
      <c r="G390" t="s">
        <v>1137</v>
      </c>
      <c r="H390">
        <v>0</v>
      </c>
      <c r="J390">
        <f>IF(COUNTIF(Sheet4!A:A,A390)&gt;0,VLOOKUP(A390,Sheet4!A:B,2,FALSE),"NotFound")</f>
        <v>0</v>
      </c>
      <c r="K390" t="str">
        <f t="shared" si="6"/>
        <v>Match</v>
      </c>
    </row>
    <row r="391" spans="1:11" x14ac:dyDescent="0.35">
      <c r="A391" s="3" t="s">
        <v>1066</v>
      </c>
      <c r="B391" s="7">
        <v>0</v>
      </c>
      <c r="C391" t="s">
        <v>1254</v>
      </c>
      <c r="D391">
        <v>56</v>
      </c>
      <c r="G391" t="s">
        <v>1136</v>
      </c>
      <c r="H391">
        <v>0</v>
      </c>
      <c r="J391">
        <f>IF(COUNTIF(Sheet4!A:A,A391)&gt;0,VLOOKUP(A391,Sheet4!A:B,2,FALSE),"NotFound")</f>
        <v>0</v>
      </c>
      <c r="K391" t="str">
        <f t="shared" si="6"/>
        <v>Match</v>
      </c>
    </row>
    <row r="392" spans="1:11" x14ac:dyDescent="0.35">
      <c r="A392" s="3" t="s">
        <v>1119</v>
      </c>
      <c r="B392" s="7">
        <v>0</v>
      </c>
      <c r="C392" t="s">
        <v>1235</v>
      </c>
      <c r="D392">
        <v>11</v>
      </c>
      <c r="G392" t="s">
        <v>1148</v>
      </c>
      <c r="H392">
        <v>640</v>
      </c>
      <c r="J392">
        <f>IF(COUNTIF(Sheet4!A:A,A392)&gt;0,VLOOKUP(A392,Sheet4!A:B,2,FALSE),"NotFound")</f>
        <v>0</v>
      </c>
      <c r="K392" t="str">
        <f t="shared" si="6"/>
        <v>Match</v>
      </c>
    </row>
    <row r="393" spans="1:11" x14ac:dyDescent="0.35">
      <c r="A393" s="3" t="s">
        <v>1116</v>
      </c>
      <c r="B393" s="7">
        <v>0</v>
      </c>
      <c r="C393" t="s">
        <v>1235</v>
      </c>
      <c r="D393">
        <v>11</v>
      </c>
      <c r="G393" t="s">
        <v>1138</v>
      </c>
      <c r="H393">
        <v>0</v>
      </c>
      <c r="J393">
        <f>IF(COUNTIF(Sheet4!A:A,A393)&gt;0,VLOOKUP(A393,Sheet4!A:B,2,FALSE),"NotFound")</f>
        <v>0</v>
      </c>
      <c r="K393" t="str">
        <f t="shared" si="6"/>
        <v>Match</v>
      </c>
    </row>
    <row r="394" spans="1:11" x14ac:dyDescent="0.35">
      <c r="A394" s="3" t="s">
        <v>1117</v>
      </c>
      <c r="B394" s="7">
        <v>0</v>
      </c>
      <c r="C394" t="s">
        <v>1235</v>
      </c>
      <c r="D394">
        <v>11</v>
      </c>
      <c r="G394" t="s">
        <v>1139</v>
      </c>
      <c r="H394">
        <v>0</v>
      </c>
      <c r="J394">
        <f>IF(COUNTIF(Sheet4!A:A,A394)&gt;0,VLOOKUP(A394,Sheet4!A:B,2,FALSE),"NotFound")</f>
        <v>0</v>
      </c>
      <c r="K394" t="str">
        <f t="shared" si="6"/>
        <v>Match</v>
      </c>
    </row>
    <row r="395" spans="1:11" x14ac:dyDescent="0.35">
      <c r="A395" s="3" t="s">
        <v>1118</v>
      </c>
      <c r="B395" s="7">
        <v>0</v>
      </c>
      <c r="C395" t="s">
        <v>1236</v>
      </c>
      <c r="D395">
        <v>10</v>
      </c>
      <c r="G395" t="s">
        <v>1161</v>
      </c>
      <c r="H395">
        <v>0</v>
      </c>
      <c r="J395">
        <f>IF(COUNTIF(Sheet4!A:A,A395)&gt;0,VLOOKUP(A395,Sheet4!A:B,2,FALSE),"NotFound")</f>
        <v>0</v>
      </c>
      <c r="K395" t="str">
        <f t="shared" si="6"/>
        <v>Match</v>
      </c>
    </row>
    <row r="396" spans="1:11" x14ac:dyDescent="0.35">
      <c r="A396" s="3" t="s">
        <v>1075</v>
      </c>
      <c r="B396" s="7">
        <v>0</v>
      </c>
      <c r="C396" t="s">
        <v>1236</v>
      </c>
      <c r="D396">
        <v>10</v>
      </c>
      <c r="G396" t="s">
        <v>1165</v>
      </c>
      <c r="H396">
        <v>0</v>
      </c>
      <c r="J396">
        <f>IF(COUNTIF(Sheet4!A:A,A396)&gt;0,VLOOKUP(A396,Sheet4!A:B,2,FALSE),"NotFound")</f>
        <v>0</v>
      </c>
      <c r="K396" t="str">
        <f t="shared" si="6"/>
        <v>Match</v>
      </c>
    </row>
    <row r="397" spans="1:11" x14ac:dyDescent="0.35">
      <c r="A397" s="3" t="s">
        <v>1076</v>
      </c>
      <c r="B397" s="7">
        <v>0</v>
      </c>
      <c r="C397" t="s">
        <v>1236</v>
      </c>
      <c r="D397">
        <v>10</v>
      </c>
      <c r="G397" t="s">
        <v>1173</v>
      </c>
      <c r="H397">
        <v>0</v>
      </c>
      <c r="J397">
        <f>IF(COUNTIF(Sheet4!A:A,A397)&gt;0,VLOOKUP(A397,Sheet4!A:B,2,FALSE),"NotFound")</f>
        <v>0</v>
      </c>
      <c r="K397" t="str">
        <f t="shared" si="6"/>
        <v>Match</v>
      </c>
    </row>
    <row r="398" spans="1:11" x14ac:dyDescent="0.35">
      <c r="A398" s="3" t="s">
        <v>1077</v>
      </c>
      <c r="B398" s="7">
        <v>0</v>
      </c>
      <c r="C398" t="s">
        <v>1236</v>
      </c>
      <c r="D398">
        <v>10</v>
      </c>
      <c r="G398" t="s">
        <v>1154</v>
      </c>
      <c r="H398">
        <v>0</v>
      </c>
      <c r="J398">
        <f>IF(COUNTIF(Sheet4!A:A,A398)&gt;0,VLOOKUP(A398,Sheet4!A:B,2,FALSE),"NotFound")</f>
        <v>0</v>
      </c>
      <c r="K398" t="str">
        <f t="shared" si="6"/>
        <v>Match</v>
      </c>
    </row>
    <row r="399" spans="1:11" x14ac:dyDescent="0.35">
      <c r="A399" s="3" t="s">
        <v>1078</v>
      </c>
      <c r="B399" s="7">
        <v>0</v>
      </c>
      <c r="C399" t="s">
        <v>1241</v>
      </c>
      <c r="D399">
        <v>93</v>
      </c>
      <c r="G399" t="s">
        <v>654</v>
      </c>
      <c r="H399">
        <v>26515</v>
      </c>
      <c r="J399">
        <f>IF(COUNTIF(Sheet4!A:A,A399)&gt;0,VLOOKUP(A399,Sheet4!A:B,2,FALSE),"NotFound")</f>
        <v>0</v>
      </c>
      <c r="K399" t="str">
        <f t="shared" si="6"/>
        <v>Match</v>
      </c>
    </row>
    <row r="400" spans="1:11" x14ac:dyDescent="0.35">
      <c r="A400" s="3" t="s">
        <v>1079</v>
      </c>
      <c r="B400" s="7">
        <v>0</v>
      </c>
      <c r="C400" t="s">
        <v>1198</v>
      </c>
      <c r="D400">
        <v>100</v>
      </c>
      <c r="G400" t="s">
        <v>697</v>
      </c>
      <c r="H400">
        <v>566074</v>
      </c>
      <c r="J400">
        <f>IF(COUNTIF(Sheet4!A:A,A400)&gt;0,VLOOKUP(A400,Sheet4!A:B,2,FALSE),"NotFound")</f>
        <v>0</v>
      </c>
      <c r="K400" t="str">
        <f t="shared" si="6"/>
        <v>Match</v>
      </c>
    </row>
    <row r="401" spans="1:11" x14ac:dyDescent="0.35">
      <c r="A401" s="3" t="s">
        <v>1080</v>
      </c>
      <c r="B401" s="7">
        <v>0</v>
      </c>
      <c r="C401" t="s">
        <v>1198</v>
      </c>
      <c r="D401">
        <v>100</v>
      </c>
      <c r="G401" t="s">
        <v>691</v>
      </c>
      <c r="H401">
        <v>0</v>
      </c>
      <c r="J401">
        <f>IF(COUNTIF(Sheet4!A:A,A401)&gt;0,VLOOKUP(A401,Sheet4!A:B,2,FALSE),"NotFound")</f>
        <v>0</v>
      </c>
      <c r="K401" t="str">
        <f t="shared" si="6"/>
        <v>Match</v>
      </c>
    </row>
    <row r="402" spans="1:11" x14ac:dyDescent="0.35">
      <c r="A402" s="3" t="s">
        <v>1044</v>
      </c>
      <c r="B402" s="7">
        <v>0</v>
      </c>
      <c r="C402" t="s">
        <v>1199</v>
      </c>
      <c r="D402">
        <v>42</v>
      </c>
      <c r="G402" t="s">
        <v>657</v>
      </c>
      <c r="H402">
        <v>0</v>
      </c>
      <c r="J402">
        <f>IF(COUNTIF(Sheet4!A:A,A402)&gt;0,VLOOKUP(A402,Sheet4!A:B,2,FALSE),"NotFound")</f>
        <v>0</v>
      </c>
      <c r="K402" t="str">
        <f t="shared" si="6"/>
        <v>Match</v>
      </c>
    </row>
    <row r="403" spans="1:11" x14ac:dyDescent="0.35">
      <c r="A403" s="3" t="s">
        <v>1045</v>
      </c>
      <c r="B403" s="7">
        <v>0</v>
      </c>
      <c r="C403" t="s">
        <v>1282</v>
      </c>
      <c r="D403">
        <v>99</v>
      </c>
      <c r="G403" t="s">
        <v>703</v>
      </c>
      <c r="H403">
        <v>0</v>
      </c>
      <c r="J403">
        <f>IF(COUNTIF(Sheet4!A:A,A403)&gt;0,VLOOKUP(A403,Sheet4!A:B,2,FALSE),"NotFound")</f>
        <v>0</v>
      </c>
      <c r="K403" t="str">
        <f t="shared" si="6"/>
        <v>Match</v>
      </c>
    </row>
    <row r="404" spans="1:11" x14ac:dyDescent="0.35">
      <c r="A404" s="3" t="s">
        <v>1051</v>
      </c>
      <c r="B404" s="7">
        <v>0</v>
      </c>
      <c r="C404" t="s">
        <v>1200</v>
      </c>
      <c r="D404">
        <v>97</v>
      </c>
      <c r="G404" t="s">
        <v>705</v>
      </c>
      <c r="H404">
        <v>0</v>
      </c>
      <c r="J404">
        <f>IF(COUNTIF(Sheet4!A:A,A404)&gt;0,VLOOKUP(A404,Sheet4!A:B,2,FALSE),"NotFound")</f>
        <v>0</v>
      </c>
      <c r="K404" t="str">
        <f t="shared" si="6"/>
        <v>Match</v>
      </c>
    </row>
    <row r="405" spans="1:11" x14ac:dyDescent="0.35">
      <c r="A405" s="3" t="s">
        <v>1046</v>
      </c>
      <c r="B405" s="7">
        <v>0</v>
      </c>
      <c r="C405" t="s">
        <v>1201</v>
      </c>
      <c r="D405">
        <v>98</v>
      </c>
      <c r="G405" t="s">
        <v>714</v>
      </c>
      <c r="H405">
        <v>0</v>
      </c>
      <c r="J405">
        <f>IF(COUNTIF(Sheet4!A:A,A405)&gt;0,VLOOKUP(A405,Sheet4!A:B,2,FALSE),"NotFound")</f>
        <v>0</v>
      </c>
      <c r="K405" t="str">
        <f t="shared" si="6"/>
        <v>Match</v>
      </c>
    </row>
    <row r="406" spans="1:11" x14ac:dyDescent="0.35">
      <c r="A406" s="3" t="s">
        <v>1047</v>
      </c>
      <c r="B406" s="7">
        <v>0</v>
      </c>
      <c r="C406" t="s">
        <v>1202</v>
      </c>
      <c r="D406">
        <v>104</v>
      </c>
      <c r="G406" t="s">
        <v>727</v>
      </c>
      <c r="H406">
        <v>0</v>
      </c>
      <c r="J406">
        <f>IF(COUNTIF(Sheet4!A:A,A406)&gt;0,VLOOKUP(A406,Sheet4!A:B,2,FALSE),"NotFound")</f>
        <v>0</v>
      </c>
      <c r="K406" t="str">
        <f t="shared" si="6"/>
        <v>Match</v>
      </c>
    </row>
    <row r="407" spans="1:11" x14ac:dyDescent="0.35">
      <c r="A407" s="3" t="s">
        <v>1048</v>
      </c>
      <c r="B407" s="7">
        <v>0</v>
      </c>
      <c r="C407" t="s">
        <v>1203</v>
      </c>
      <c r="D407">
        <v>96</v>
      </c>
      <c r="G407" t="s">
        <v>735</v>
      </c>
      <c r="H407">
        <v>1500586</v>
      </c>
      <c r="J407">
        <f>IF(COUNTIF(Sheet4!A:A,A407)&gt;0,VLOOKUP(A407,Sheet4!A:B,2,FALSE),"NotFound")</f>
        <v>0</v>
      </c>
      <c r="K407" t="str">
        <f t="shared" si="6"/>
        <v>Match</v>
      </c>
    </row>
    <row r="408" spans="1:11" x14ac:dyDescent="0.35">
      <c r="A408" s="3" t="s">
        <v>1049</v>
      </c>
      <c r="B408" s="7">
        <v>0</v>
      </c>
      <c r="C408" t="s">
        <v>1204</v>
      </c>
      <c r="D408">
        <v>72</v>
      </c>
      <c r="G408" t="s">
        <v>747</v>
      </c>
      <c r="H408">
        <v>0</v>
      </c>
      <c r="J408">
        <f>IF(COUNTIF(Sheet4!A:A,A408)&gt;0,VLOOKUP(A408,Sheet4!A:B,2,FALSE),"NotFound")</f>
        <v>0</v>
      </c>
      <c r="K408" t="str">
        <f t="shared" si="6"/>
        <v>Match</v>
      </c>
    </row>
    <row r="409" spans="1:11" x14ac:dyDescent="0.35">
      <c r="A409" s="3" t="s">
        <v>1050</v>
      </c>
      <c r="B409" s="7">
        <v>0</v>
      </c>
      <c r="C409" t="s">
        <v>1245</v>
      </c>
      <c r="D409">
        <v>1</v>
      </c>
      <c r="G409" t="s">
        <v>754</v>
      </c>
      <c r="H409">
        <v>0</v>
      </c>
      <c r="J409">
        <f>IF(COUNTIF(Sheet4!A:A,A409)&gt;0,VLOOKUP(A409,Sheet4!A:B,2,FALSE),"NotFound")</f>
        <v>0</v>
      </c>
      <c r="K409" t="str">
        <f t="shared" si="6"/>
        <v>Match</v>
      </c>
    </row>
    <row r="410" spans="1:11" x14ac:dyDescent="0.35">
      <c r="A410" s="3" t="s">
        <v>958</v>
      </c>
      <c r="B410" s="7">
        <v>0</v>
      </c>
      <c r="C410" t="s">
        <v>1245</v>
      </c>
      <c r="D410">
        <v>1</v>
      </c>
      <c r="G410" t="s">
        <v>756</v>
      </c>
      <c r="H410">
        <v>0</v>
      </c>
      <c r="J410">
        <f>IF(COUNTIF(Sheet4!A:A,A410)&gt;0,VLOOKUP(A410,Sheet4!A:B,2,FALSE),"NotFound")</f>
        <v>0</v>
      </c>
      <c r="K410" t="str">
        <f t="shared" si="6"/>
        <v>Match</v>
      </c>
    </row>
    <row r="411" spans="1:11" x14ac:dyDescent="0.35">
      <c r="A411" s="3" t="s">
        <v>960</v>
      </c>
      <c r="B411" s="7">
        <v>0</v>
      </c>
      <c r="C411" t="s">
        <v>1246</v>
      </c>
      <c r="D411">
        <v>64</v>
      </c>
      <c r="G411" t="s">
        <v>791</v>
      </c>
      <c r="H411">
        <v>0</v>
      </c>
      <c r="J411">
        <f>IF(COUNTIF(Sheet4!A:A,A411)&gt;0,VLOOKUP(A411,Sheet4!A:B,2,FALSE),"NotFound")</f>
        <v>0</v>
      </c>
      <c r="K411" t="str">
        <f t="shared" si="6"/>
        <v>Match</v>
      </c>
    </row>
    <row r="412" spans="1:11" x14ac:dyDescent="0.35">
      <c r="A412" s="3" t="s">
        <v>959</v>
      </c>
      <c r="B412" s="7">
        <v>0</v>
      </c>
      <c r="C412" t="s">
        <v>1246</v>
      </c>
      <c r="D412">
        <v>64</v>
      </c>
      <c r="G412" t="s">
        <v>779</v>
      </c>
      <c r="H412">
        <v>0</v>
      </c>
      <c r="J412">
        <f>IF(COUNTIF(Sheet4!A:A,A412)&gt;0,VLOOKUP(A412,Sheet4!A:B,2,FALSE),"NotFound")</f>
        <v>0</v>
      </c>
      <c r="K412" t="str">
        <f t="shared" si="6"/>
        <v>Match</v>
      </c>
    </row>
    <row r="413" spans="1:11" x14ac:dyDescent="0.35">
      <c r="A413" s="3" t="s">
        <v>964</v>
      </c>
      <c r="B413" s="7">
        <v>0</v>
      </c>
      <c r="C413" t="s">
        <v>1246</v>
      </c>
      <c r="D413">
        <v>64</v>
      </c>
      <c r="G413" t="s">
        <v>788</v>
      </c>
      <c r="H413">
        <v>0</v>
      </c>
      <c r="J413">
        <f>IF(COUNTIF(Sheet4!A:A,A413)&gt;0,VLOOKUP(A413,Sheet4!A:B,2,FALSE),"NotFound")</f>
        <v>0</v>
      </c>
      <c r="K413" t="str">
        <f t="shared" si="6"/>
        <v>Match</v>
      </c>
    </row>
    <row r="414" spans="1:11" x14ac:dyDescent="0.35">
      <c r="A414" s="3" t="s">
        <v>965</v>
      </c>
      <c r="B414" s="7">
        <v>0</v>
      </c>
      <c r="C414" t="s">
        <v>1246</v>
      </c>
      <c r="D414">
        <v>64</v>
      </c>
      <c r="G414" t="s">
        <v>775</v>
      </c>
      <c r="H414">
        <v>0</v>
      </c>
      <c r="J414">
        <f>IF(COUNTIF(Sheet4!A:A,A414)&gt;0,VLOOKUP(A414,Sheet4!A:B,2,FALSE),"NotFound")</f>
        <v>0</v>
      </c>
      <c r="K414" t="str">
        <f t="shared" si="6"/>
        <v>Match</v>
      </c>
    </row>
    <row r="415" spans="1:11" x14ac:dyDescent="0.35">
      <c r="A415" s="3" t="s">
        <v>961</v>
      </c>
      <c r="B415" s="7">
        <v>0</v>
      </c>
      <c r="C415" t="s">
        <v>1208</v>
      </c>
      <c r="D415">
        <v>5</v>
      </c>
      <c r="G415" t="s">
        <v>794</v>
      </c>
      <c r="H415">
        <v>0</v>
      </c>
      <c r="J415">
        <f>IF(COUNTIF(Sheet4!A:A,A415)&gt;0,VLOOKUP(A415,Sheet4!A:B,2,FALSE),"NotFound")</f>
        <v>0</v>
      </c>
      <c r="K415" t="str">
        <f t="shared" si="6"/>
        <v>Match</v>
      </c>
    </row>
    <row r="416" spans="1:11" x14ac:dyDescent="0.35">
      <c r="A416" s="3" t="s">
        <v>974</v>
      </c>
      <c r="B416" s="7">
        <v>0</v>
      </c>
      <c r="C416" t="s">
        <v>1209</v>
      </c>
      <c r="D416">
        <v>91</v>
      </c>
      <c r="G416" t="s">
        <v>781</v>
      </c>
      <c r="H416">
        <v>0</v>
      </c>
      <c r="J416">
        <f>IF(COUNTIF(Sheet4!A:A,A416)&gt;0,VLOOKUP(A416,Sheet4!A:B,2,FALSE),"NotFound")</f>
        <v>0</v>
      </c>
      <c r="K416" t="str">
        <f t="shared" si="6"/>
        <v>Match</v>
      </c>
    </row>
    <row r="417" spans="1:11" x14ac:dyDescent="0.35">
      <c r="A417" s="3" t="s">
        <v>962</v>
      </c>
      <c r="B417" s="7">
        <v>0</v>
      </c>
      <c r="C417" t="s">
        <v>1209</v>
      </c>
      <c r="D417">
        <v>91</v>
      </c>
      <c r="G417" t="s">
        <v>793</v>
      </c>
      <c r="H417">
        <v>10047011</v>
      </c>
      <c r="J417">
        <f>IF(COUNTIF(Sheet4!A:A,A417)&gt;0,VLOOKUP(A417,Sheet4!A:B,2,FALSE),"NotFound")</f>
        <v>0</v>
      </c>
      <c r="K417" t="str">
        <f t="shared" si="6"/>
        <v>Match</v>
      </c>
    </row>
    <row r="418" spans="1:11" x14ac:dyDescent="0.35">
      <c r="A418" s="3" t="s">
        <v>975</v>
      </c>
      <c r="B418" s="7">
        <v>0</v>
      </c>
      <c r="C418" t="s">
        <v>1209</v>
      </c>
      <c r="D418">
        <v>2</v>
      </c>
      <c r="G418" t="s">
        <v>781</v>
      </c>
      <c r="H418">
        <v>0</v>
      </c>
      <c r="J418">
        <f>IF(COUNTIF(Sheet4!A:A,A418)&gt;0,VLOOKUP(A418,Sheet4!A:B,2,FALSE),"NotFound")</f>
        <v>0</v>
      </c>
      <c r="K418" t="str">
        <f t="shared" si="6"/>
        <v>Match</v>
      </c>
    </row>
    <row r="419" spans="1:11" x14ac:dyDescent="0.35">
      <c r="A419" s="3" t="s">
        <v>966</v>
      </c>
      <c r="B419" s="7">
        <v>0</v>
      </c>
      <c r="C419" t="s">
        <v>1209</v>
      </c>
      <c r="D419">
        <v>2</v>
      </c>
      <c r="G419" t="s">
        <v>784</v>
      </c>
      <c r="H419">
        <v>0</v>
      </c>
      <c r="J419">
        <f>IF(COUNTIF(Sheet4!A:A,A419)&gt;0,VLOOKUP(A419,Sheet4!A:B,2,FALSE),"NotFound")</f>
        <v>0</v>
      </c>
      <c r="K419" t="str">
        <f t="shared" si="6"/>
        <v>Match</v>
      </c>
    </row>
    <row r="420" spans="1:11" x14ac:dyDescent="0.35">
      <c r="A420" s="3" t="s">
        <v>967</v>
      </c>
      <c r="B420" s="7">
        <v>0</v>
      </c>
      <c r="C420" t="s">
        <v>1212</v>
      </c>
      <c r="D420">
        <v>16</v>
      </c>
      <c r="G420" t="s">
        <v>818</v>
      </c>
      <c r="H420">
        <v>0</v>
      </c>
      <c r="J420">
        <f>IF(COUNTIF(Sheet4!A:A,A420)&gt;0,VLOOKUP(A420,Sheet4!A:B,2,FALSE),"NotFound")</f>
        <v>0</v>
      </c>
      <c r="K420" t="str">
        <f t="shared" si="6"/>
        <v>Match</v>
      </c>
    </row>
    <row r="421" spans="1:11" x14ac:dyDescent="0.35">
      <c r="A421" s="3" t="s">
        <v>968</v>
      </c>
      <c r="B421" s="7">
        <v>0</v>
      </c>
      <c r="C421" t="s">
        <v>1212</v>
      </c>
      <c r="D421">
        <v>16</v>
      </c>
      <c r="G421" t="s">
        <v>813</v>
      </c>
      <c r="H421">
        <v>0</v>
      </c>
      <c r="J421">
        <f>IF(COUNTIF(Sheet4!A:A,A421)&gt;0,VLOOKUP(A421,Sheet4!A:B,2,FALSE),"NotFound")</f>
        <v>0</v>
      </c>
      <c r="K421" t="str">
        <f t="shared" si="6"/>
        <v>Match</v>
      </c>
    </row>
    <row r="422" spans="1:11" x14ac:dyDescent="0.35">
      <c r="A422" s="3" t="s">
        <v>969</v>
      </c>
      <c r="B422" s="7">
        <v>0</v>
      </c>
      <c r="C422" t="s">
        <v>1212</v>
      </c>
      <c r="D422">
        <v>16</v>
      </c>
      <c r="G422" t="s">
        <v>863</v>
      </c>
      <c r="H422">
        <v>0</v>
      </c>
      <c r="J422">
        <f>IF(COUNTIF(Sheet4!A:A,A422)&gt;0,VLOOKUP(A422,Sheet4!A:B,2,FALSE),"NotFound")</f>
        <v>0</v>
      </c>
      <c r="K422" t="str">
        <f t="shared" si="6"/>
        <v>Match</v>
      </c>
    </row>
    <row r="423" spans="1:11" x14ac:dyDescent="0.35">
      <c r="A423" s="3" t="s">
        <v>970</v>
      </c>
      <c r="B423" s="7">
        <v>0</v>
      </c>
      <c r="C423" t="s">
        <v>1212</v>
      </c>
      <c r="D423">
        <v>16</v>
      </c>
      <c r="G423" t="s">
        <v>849</v>
      </c>
      <c r="H423">
        <v>0</v>
      </c>
      <c r="J423">
        <f>IF(COUNTIF(Sheet4!A:A,A423)&gt;0,VLOOKUP(A423,Sheet4!A:B,2,FALSE),"NotFound")</f>
        <v>0</v>
      </c>
      <c r="K423" t="str">
        <f t="shared" si="6"/>
        <v>Match</v>
      </c>
    </row>
    <row r="424" spans="1:11" x14ac:dyDescent="0.35">
      <c r="A424" s="3" t="s">
        <v>971</v>
      </c>
      <c r="B424" s="7">
        <v>0</v>
      </c>
      <c r="C424" t="s">
        <v>1212</v>
      </c>
      <c r="D424">
        <v>16</v>
      </c>
      <c r="G424" t="s">
        <v>824</v>
      </c>
      <c r="H424">
        <v>0</v>
      </c>
      <c r="J424">
        <f>IF(COUNTIF(Sheet4!A:A,A424)&gt;0,VLOOKUP(A424,Sheet4!A:B,2,FALSE),"NotFound")</f>
        <v>0</v>
      </c>
      <c r="K424" t="str">
        <f t="shared" si="6"/>
        <v>Match</v>
      </c>
    </row>
    <row r="425" spans="1:11" x14ac:dyDescent="0.35">
      <c r="A425" s="3" t="s">
        <v>972</v>
      </c>
      <c r="B425" s="7">
        <v>0</v>
      </c>
      <c r="C425" t="s">
        <v>1212</v>
      </c>
      <c r="D425">
        <v>16</v>
      </c>
      <c r="G425" t="s">
        <v>821</v>
      </c>
      <c r="H425">
        <v>3</v>
      </c>
      <c r="J425">
        <f>IF(COUNTIF(Sheet4!A:A,A425)&gt;0,VLOOKUP(A425,Sheet4!A:B,2,FALSE),"NotFound")</f>
        <v>0</v>
      </c>
      <c r="K425" t="str">
        <f t="shared" si="6"/>
        <v>Match</v>
      </c>
    </row>
    <row r="426" spans="1:11" x14ac:dyDescent="0.35">
      <c r="A426" s="3" t="s">
        <v>1171</v>
      </c>
      <c r="B426" s="7">
        <v>0</v>
      </c>
      <c r="C426" t="s">
        <v>1212</v>
      </c>
      <c r="D426">
        <v>16</v>
      </c>
      <c r="G426" t="s">
        <v>873</v>
      </c>
      <c r="H426">
        <v>0</v>
      </c>
      <c r="J426">
        <f>IF(COUNTIF(Sheet4!A:A,A426)&gt;0,VLOOKUP(A426,Sheet4!A:B,2,FALSE),"NotFound")</f>
        <v>0</v>
      </c>
      <c r="K426" t="str">
        <f t="shared" si="6"/>
        <v>Match</v>
      </c>
    </row>
    <row r="427" spans="1:11" x14ac:dyDescent="0.35">
      <c r="A427" s="3" t="s">
        <v>1172</v>
      </c>
      <c r="B427" s="7">
        <v>0</v>
      </c>
      <c r="C427" t="s">
        <v>1212</v>
      </c>
      <c r="D427">
        <v>16</v>
      </c>
      <c r="G427" t="s">
        <v>833</v>
      </c>
      <c r="H427">
        <v>2</v>
      </c>
      <c r="J427">
        <f>IF(COUNTIF(Sheet4!A:A,A427)&gt;0,VLOOKUP(A427,Sheet4!A:B,2,FALSE),"NotFound")</f>
        <v>0</v>
      </c>
      <c r="K427" t="str">
        <f t="shared" si="6"/>
        <v>Match</v>
      </c>
    </row>
    <row r="428" spans="1:11" x14ac:dyDescent="0.35">
      <c r="A428" s="3" t="s">
        <v>1162</v>
      </c>
      <c r="B428" s="7">
        <v>0</v>
      </c>
      <c r="C428" t="s">
        <v>1212</v>
      </c>
      <c r="D428">
        <v>16</v>
      </c>
      <c r="G428" t="s">
        <v>885</v>
      </c>
      <c r="H428">
        <v>0</v>
      </c>
      <c r="J428">
        <f>IF(COUNTIF(Sheet4!A:A,A428)&gt;0,VLOOKUP(A428,Sheet4!A:B,2,FALSE),"NotFound")</f>
        <v>0</v>
      </c>
      <c r="K428" t="str">
        <f t="shared" si="6"/>
        <v>Match</v>
      </c>
    </row>
    <row r="429" spans="1:11" x14ac:dyDescent="0.35">
      <c r="A429" s="3" t="s">
        <v>1167</v>
      </c>
      <c r="B429" s="7">
        <v>0</v>
      </c>
      <c r="C429" t="s">
        <v>1212</v>
      </c>
      <c r="D429">
        <v>16</v>
      </c>
      <c r="G429" t="s">
        <v>887</v>
      </c>
      <c r="H429">
        <v>0</v>
      </c>
      <c r="J429">
        <f>IF(COUNTIF(Sheet4!A:A,A429)&gt;0,VLOOKUP(A429,Sheet4!A:B,2,FALSE),"NotFound")</f>
        <v>0</v>
      </c>
      <c r="K429" t="str">
        <f t="shared" si="6"/>
        <v>Match</v>
      </c>
    </row>
    <row r="430" spans="1:11" x14ac:dyDescent="0.35">
      <c r="A430" s="3" t="s">
        <v>1164</v>
      </c>
      <c r="B430" s="7">
        <v>0</v>
      </c>
      <c r="C430" t="s">
        <v>1212</v>
      </c>
      <c r="D430">
        <v>16</v>
      </c>
      <c r="G430" t="s">
        <v>897</v>
      </c>
      <c r="H430">
        <v>0</v>
      </c>
      <c r="J430">
        <f>IF(COUNTIF(Sheet4!A:A,A430)&gt;0,VLOOKUP(A430,Sheet4!A:B,2,FALSE),"NotFound")</f>
        <v>0</v>
      </c>
      <c r="K430" t="str">
        <f t="shared" si="6"/>
        <v>Match</v>
      </c>
    </row>
    <row r="431" spans="1:11" x14ac:dyDescent="0.35">
      <c r="A431" s="3" t="s">
        <v>1163</v>
      </c>
      <c r="B431" s="7">
        <v>0</v>
      </c>
      <c r="C431" t="s">
        <v>1212</v>
      </c>
      <c r="D431">
        <v>16</v>
      </c>
      <c r="G431" t="s">
        <v>903</v>
      </c>
      <c r="H431">
        <v>0</v>
      </c>
      <c r="J431">
        <f>IF(COUNTIF(Sheet4!A:A,A431)&gt;0,VLOOKUP(A431,Sheet4!A:B,2,FALSE),"NotFound")</f>
        <v>0</v>
      </c>
      <c r="K431" t="str">
        <f t="shared" si="6"/>
        <v>Match</v>
      </c>
    </row>
    <row r="432" spans="1:11" x14ac:dyDescent="0.35">
      <c r="A432" s="3" t="s">
        <v>1169</v>
      </c>
      <c r="B432" s="7">
        <v>0</v>
      </c>
      <c r="C432" t="s">
        <v>1268</v>
      </c>
      <c r="D432">
        <v>73</v>
      </c>
      <c r="G432" t="s">
        <v>798</v>
      </c>
      <c r="H432">
        <v>0</v>
      </c>
      <c r="J432">
        <f>IF(COUNTIF(Sheet4!A:A,A432)&gt;0,VLOOKUP(A432,Sheet4!A:B,2,FALSE),"NotFound")</f>
        <v>0</v>
      </c>
      <c r="K432" t="str">
        <f t="shared" si="6"/>
        <v>Match</v>
      </c>
    </row>
    <row r="433" spans="1:11" x14ac:dyDescent="0.35">
      <c r="A433" s="3" t="s">
        <v>1157</v>
      </c>
      <c r="B433" s="7">
        <v>0</v>
      </c>
      <c r="C433" t="s">
        <v>1283</v>
      </c>
      <c r="D433">
        <v>25</v>
      </c>
      <c r="G433" t="s">
        <v>918</v>
      </c>
      <c r="H433">
        <v>0</v>
      </c>
      <c r="J433">
        <f>IF(COUNTIF(Sheet4!A:A,A433)&gt;0,VLOOKUP(A433,Sheet4!A:B,2,FALSE),"NotFound")</f>
        <v>0</v>
      </c>
      <c r="K433" t="str">
        <f t="shared" si="6"/>
        <v>Match</v>
      </c>
    </row>
    <row r="434" spans="1:11" x14ac:dyDescent="0.35">
      <c r="A434" s="3" t="s">
        <v>1156</v>
      </c>
      <c r="B434" s="7">
        <v>0</v>
      </c>
      <c r="C434" t="s">
        <v>1220</v>
      </c>
      <c r="D434">
        <v>17</v>
      </c>
      <c r="G434" t="s">
        <v>928</v>
      </c>
      <c r="H434">
        <v>0</v>
      </c>
      <c r="J434">
        <f>IF(COUNTIF(Sheet4!A:A,A434)&gt;0,VLOOKUP(A434,Sheet4!A:B,2,FALSE),"NotFound")</f>
        <v>0</v>
      </c>
      <c r="K434" t="str">
        <f t="shared" si="6"/>
        <v>Match</v>
      </c>
    </row>
    <row r="435" spans="1:11" x14ac:dyDescent="0.35">
      <c r="A435" s="3" t="s">
        <v>1158</v>
      </c>
      <c r="B435" s="7">
        <v>0</v>
      </c>
      <c r="C435" t="s">
        <v>1284</v>
      </c>
      <c r="D435">
        <v>68</v>
      </c>
      <c r="G435" t="s">
        <v>942</v>
      </c>
      <c r="H435">
        <v>0</v>
      </c>
      <c r="J435">
        <f>IF(COUNTIF(Sheet4!A:A,A435)&gt;0,VLOOKUP(A435,Sheet4!A:B,2,FALSE),"NotFound")</f>
        <v>0</v>
      </c>
      <c r="K435" t="str">
        <f t="shared" si="6"/>
        <v>Match</v>
      </c>
    </row>
    <row r="436" spans="1:11" x14ac:dyDescent="0.35">
      <c r="A436" s="3" t="s">
        <v>1174</v>
      </c>
      <c r="B436" s="7">
        <v>0</v>
      </c>
      <c r="C436" t="s">
        <v>1223</v>
      </c>
      <c r="D436">
        <v>82</v>
      </c>
      <c r="G436" t="s">
        <v>947</v>
      </c>
      <c r="H436">
        <v>0</v>
      </c>
      <c r="J436">
        <f>IF(COUNTIF(Sheet4!A:A,A436)&gt;0,VLOOKUP(A436,Sheet4!A:B,2,FALSE),"NotFound")</f>
        <v>0</v>
      </c>
      <c r="K436" t="str">
        <f t="shared" si="6"/>
        <v>Match</v>
      </c>
    </row>
    <row r="437" spans="1:11" x14ac:dyDescent="0.35">
      <c r="A437" s="3" t="s">
        <v>1168</v>
      </c>
      <c r="B437" s="7">
        <v>0</v>
      </c>
      <c r="C437" t="s">
        <v>1250</v>
      </c>
      <c r="D437">
        <v>88</v>
      </c>
      <c r="G437" t="s">
        <v>951</v>
      </c>
      <c r="H437">
        <v>0</v>
      </c>
      <c r="J437">
        <f>IF(COUNTIF(Sheet4!A:A,A437)&gt;0,VLOOKUP(A437,Sheet4!A:B,2,FALSE),"NotFound")</f>
        <v>0</v>
      </c>
      <c r="K437" t="str">
        <f t="shared" si="6"/>
        <v>Match</v>
      </c>
    </row>
    <row r="438" spans="1:11" x14ac:dyDescent="0.35">
      <c r="A438" s="3" t="s">
        <v>744</v>
      </c>
      <c r="B438" s="7">
        <v>0</v>
      </c>
      <c r="C438" t="s">
        <v>1225</v>
      </c>
      <c r="D438">
        <v>90</v>
      </c>
      <c r="G438" t="s">
        <v>968</v>
      </c>
      <c r="H438">
        <v>0</v>
      </c>
      <c r="J438">
        <f>IF(COUNTIF(Sheet4!A:A,A438)&gt;0,VLOOKUP(A438,Sheet4!A:B,2,FALSE),"NotFound")</f>
        <v>0</v>
      </c>
      <c r="K438" t="str">
        <f t="shared" si="6"/>
        <v>Match</v>
      </c>
    </row>
    <row r="439" spans="1:11" x14ac:dyDescent="0.35">
      <c r="A439" s="3" t="s">
        <v>1173</v>
      </c>
      <c r="B439" s="7">
        <v>0</v>
      </c>
      <c r="C439" t="s">
        <v>1285</v>
      </c>
      <c r="D439">
        <v>20</v>
      </c>
      <c r="G439" t="s">
        <v>976</v>
      </c>
      <c r="H439">
        <v>0</v>
      </c>
      <c r="J439">
        <f>IF(COUNTIF(Sheet4!A:A,A439)&gt;0,VLOOKUP(A439,Sheet4!A:B,2,FALSE),"NotFound")</f>
        <v>0</v>
      </c>
      <c r="K439" t="str">
        <f t="shared" si="6"/>
        <v>Match</v>
      </c>
    </row>
    <row r="440" spans="1:11" x14ac:dyDescent="0.35">
      <c r="A440" s="3" t="s">
        <v>1161</v>
      </c>
      <c r="B440" s="7">
        <v>0</v>
      </c>
      <c r="C440" t="s">
        <v>1226</v>
      </c>
      <c r="D440">
        <v>38</v>
      </c>
      <c r="G440" t="s">
        <v>980</v>
      </c>
      <c r="H440">
        <v>0</v>
      </c>
      <c r="J440">
        <f>IF(COUNTIF(Sheet4!A:A,A440)&gt;0,VLOOKUP(A440,Sheet4!A:B,2,FALSE),"NotFound")</f>
        <v>0</v>
      </c>
      <c r="K440" t="str">
        <f t="shared" si="6"/>
        <v>Match</v>
      </c>
    </row>
    <row r="441" spans="1:11" x14ac:dyDescent="0.35">
      <c r="A441" s="3" t="s">
        <v>1165</v>
      </c>
      <c r="B441" s="7">
        <v>0</v>
      </c>
      <c r="C441" t="s">
        <v>1226</v>
      </c>
      <c r="D441">
        <v>38</v>
      </c>
      <c r="G441" t="s">
        <v>979</v>
      </c>
      <c r="H441">
        <v>0</v>
      </c>
      <c r="J441">
        <f>IF(COUNTIF(Sheet4!A:A,A441)&gt;0,VLOOKUP(A441,Sheet4!A:B,2,FALSE),"NotFound")</f>
        <v>0</v>
      </c>
      <c r="K441" t="str">
        <f t="shared" si="6"/>
        <v>Match</v>
      </c>
    </row>
    <row r="442" spans="1:11" x14ac:dyDescent="0.35">
      <c r="A442" s="3" t="s">
        <v>1166</v>
      </c>
      <c r="B442" s="7">
        <v>0</v>
      </c>
      <c r="C442" t="s">
        <v>1226</v>
      </c>
      <c r="D442">
        <v>36</v>
      </c>
      <c r="G442" t="s">
        <v>979</v>
      </c>
      <c r="H442">
        <v>0</v>
      </c>
      <c r="J442">
        <f>IF(COUNTIF(Sheet4!A:A,A442)&gt;0,VLOOKUP(A442,Sheet4!A:B,2,FALSE),"NotFound")</f>
        <v>0</v>
      </c>
      <c r="K442" t="str">
        <f t="shared" si="6"/>
        <v>Match</v>
      </c>
    </row>
    <row r="443" spans="1:11" x14ac:dyDescent="0.35">
      <c r="A443" s="3" t="s">
        <v>743</v>
      </c>
      <c r="B443" s="7">
        <v>0</v>
      </c>
      <c r="C443" t="s">
        <v>1228</v>
      </c>
      <c r="D443">
        <v>15</v>
      </c>
      <c r="G443" t="s">
        <v>1028</v>
      </c>
      <c r="H443">
        <v>0</v>
      </c>
      <c r="J443">
        <f>IF(COUNTIF(Sheet4!A:A,A443)&gt;0,VLOOKUP(A443,Sheet4!A:B,2,FALSE),"NotFound")</f>
        <v>0</v>
      </c>
      <c r="K443" t="str">
        <f t="shared" si="6"/>
        <v>Match</v>
      </c>
    </row>
    <row r="444" spans="1:11" x14ac:dyDescent="0.35">
      <c r="A444" s="3" t="s">
        <v>1155</v>
      </c>
      <c r="B444" s="7">
        <v>0</v>
      </c>
      <c r="C444" t="s">
        <v>1228</v>
      </c>
      <c r="D444">
        <v>15</v>
      </c>
      <c r="G444" t="s">
        <v>1009</v>
      </c>
      <c r="H444">
        <v>0</v>
      </c>
      <c r="J444">
        <f>IF(COUNTIF(Sheet4!A:A,A444)&gt;0,VLOOKUP(A444,Sheet4!A:B,2,FALSE),"NotFound")</f>
        <v>0</v>
      </c>
      <c r="K444" t="str">
        <f t="shared" si="6"/>
        <v>Match</v>
      </c>
    </row>
    <row r="445" spans="1:11" x14ac:dyDescent="0.35">
      <c r="A445" s="3" t="s">
        <v>1153</v>
      </c>
      <c r="B445" s="7">
        <v>0</v>
      </c>
      <c r="C445" t="s">
        <v>1228</v>
      </c>
      <c r="D445">
        <v>15</v>
      </c>
      <c r="G445" t="s">
        <v>1038</v>
      </c>
      <c r="H445">
        <v>0</v>
      </c>
      <c r="J445">
        <f>IF(COUNTIF(Sheet4!A:A,A445)&gt;0,VLOOKUP(A445,Sheet4!A:B,2,FALSE),"NotFound")</f>
        <v>0</v>
      </c>
      <c r="K445" t="str">
        <f t="shared" si="6"/>
        <v>Match</v>
      </c>
    </row>
    <row r="446" spans="1:11" x14ac:dyDescent="0.35">
      <c r="A446" s="3" t="s">
        <v>1154</v>
      </c>
      <c r="B446" s="7">
        <v>0</v>
      </c>
      <c r="C446" t="s">
        <v>1228</v>
      </c>
      <c r="D446">
        <v>15</v>
      </c>
      <c r="G446" t="s">
        <v>984</v>
      </c>
      <c r="H446">
        <v>6759</v>
      </c>
      <c r="J446">
        <f>IF(COUNTIF(Sheet4!A:A,A446)&gt;0,VLOOKUP(A446,Sheet4!A:B,2,FALSE),"NotFound")</f>
        <v>0</v>
      </c>
      <c r="K446" t="str">
        <f t="shared" si="6"/>
        <v>Match</v>
      </c>
    </row>
    <row r="447" spans="1:11" x14ac:dyDescent="0.35">
      <c r="A447" s="3" t="s">
        <v>1159</v>
      </c>
      <c r="B447" s="7">
        <v>0</v>
      </c>
      <c r="C447" t="s">
        <v>1228</v>
      </c>
      <c r="D447">
        <v>15</v>
      </c>
      <c r="G447" t="s">
        <v>1015</v>
      </c>
      <c r="H447">
        <v>336</v>
      </c>
      <c r="J447">
        <f>IF(COUNTIF(Sheet4!A:A,A447)&gt;0,VLOOKUP(A447,Sheet4!A:B,2,FALSE),"NotFound")</f>
        <v>0</v>
      </c>
      <c r="K447" t="str">
        <f t="shared" si="6"/>
        <v>Match</v>
      </c>
    </row>
    <row r="448" spans="1:11" x14ac:dyDescent="0.35">
      <c r="A448" s="3" t="s">
        <v>1160</v>
      </c>
      <c r="B448" s="7">
        <v>0</v>
      </c>
      <c r="C448" t="s">
        <v>1228</v>
      </c>
      <c r="D448">
        <v>15</v>
      </c>
      <c r="G448" t="s">
        <v>997</v>
      </c>
      <c r="H448">
        <v>0</v>
      </c>
      <c r="J448">
        <f>IF(COUNTIF(Sheet4!A:A,A448)&gt;0,VLOOKUP(A448,Sheet4!A:B,2,FALSE),"NotFound")</f>
        <v>0</v>
      </c>
      <c r="K448" t="str">
        <f t="shared" si="6"/>
        <v>Match</v>
      </c>
    </row>
    <row r="449" spans="1:11" x14ac:dyDescent="0.35">
      <c r="A449" s="3" t="s">
        <v>1170</v>
      </c>
      <c r="B449" s="7">
        <v>0</v>
      </c>
      <c r="C449" t="s">
        <v>1228</v>
      </c>
      <c r="D449">
        <v>15</v>
      </c>
      <c r="G449" t="s">
        <v>1006</v>
      </c>
      <c r="H449">
        <v>5392</v>
      </c>
      <c r="J449">
        <f>IF(COUNTIF(Sheet4!A:A,A449)&gt;0,VLOOKUP(A449,Sheet4!A:B,2,FALSE),"NotFound")</f>
        <v>0</v>
      </c>
      <c r="K449" t="str">
        <f t="shared" si="6"/>
        <v>Match</v>
      </c>
    </row>
    <row r="450" spans="1:11" x14ac:dyDescent="0.35">
      <c r="A450" s="3" t="s">
        <v>1090</v>
      </c>
      <c r="B450" s="7">
        <v>2043</v>
      </c>
      <c r="C450" t="s">
        <v>1228</v>
      </c>
      <c r="D450">
        <v>15</v>
      </c>
      <c r="G450" t="s">
        <v>1010</v>
      </c>
      <c r="H450">
        <v>9761</v>
      </c>
      <c r="J450">
        <f>IF(COUNTIF(Sheet4!A:A,A450)&gt;0,VLOOKUP(A450,Sheet4!A:B,2,FALSE),"NotFound")</f>
        <v>2043</v>
      </c>
      <c r="K450" t="str">
        <f t="shared" si="6"/>
        <v>Match</v>
      </c>
    </row>
    <row r="451" spans="1:11" x14ac:dyDescent="0.35">
      <c r="A451" s="3" t="s">
        <v>1089</v>
      </c>
      <c r="B451" s="7">
        <v>0</v>
      </c>
      <c r="C451" t="s">
        <v>1228</v>
      </c>
      <c r="D451">
        <v>15</v>
      </c>
      <c r="G451" t="s">
        <v>1005</v>
      </c>
      <c r="H451">
        <v>0</v>
      </c>
      <c r="J451">
        <f>IF(COUNTIF(Sheet4!A:A,A451)&gt;0,VLOOKUP(A451,Sheet4!A:B,2,FALSE),"NotFound")</f>
        <v>0</v>
      </c>
      <c r="K451" t="str">
        <f t="shared" ref="K451:K514" si="7">IF(B451=J451,"Match","Mis Match")</f>
        <v>Match</v>
      </c>
    </row>
    <row r="452" spans="1:11" x14ac:dyDescent="0.35">
      <c r="A452" s="3" t="s">
        <v>1082</v>
      </c>
      <c r="B452" s="7">
        <v>2043</v>
      </c>
      <c r="C452" t="s">
        <v>1228</v>
      </c>
      <c r="D452">
        <v>15</v>
      </c>
      <c r="G452" t="s">
        <v>1003</v>
      </c>
      <c r="H452">
        <v>9035</v>
      </c>
      <c r="J452">
        <f>IF(COUNTIF(Sheet4!A:A,A452)&gt;0,VLOOKUP(A452,Sheet4!A:B,2,FALSE),"NotFound")</f>
        <v>2043</v>
      </c>
      <c r="K452" t="str">
        <f t="shared" si="7"/>
        <v>Match</v>
      </c>
    </row>
    <row r="453" spans="1:11" x14ac:dyDescent="0.35">
      <c r="A453" s="3" t="s">
        <v>1092</v>
      </c>
      <c r="B453" s="7">
        <v>2043</v>
      </c>
      <c r="C453" t="s">
        <v>1228</v>
      </c>
      <c r="D453">
        <v>15</v>
      </c>
      <c r="G453" t="s">
        <v>1014</v>
      </c>
      <c r="H453">
        <v>0</v>
      </c>
      <c r="J453">
        <f>IF(COUNTIF(Sheet4!A:A,A453)&gt;0,VLOOKUP(A453,Sheet4!A:B,2,FALSE),"NotFound")</f>
        <v>2043</v>
      </c>
      <c r="K453" t="str">
        <f t="shared" si="7"/>
        <v>Match</v>
      </c>
    </row>
    <row r="454" spans="1:11" x14ac:dyDescent="0.35">
      <c r="A454" s="3" t="s">
        <v>1087</v>
      </c>
      <c r="B454" s="7">
        <v>0</v>
      </c>
      <c r="C454" t="s">
        <v>1286</v>
      </c>
      <c r="D454">
        <v>78</v>
      </c>
      <c r="G454" t="s">
        <v>1080</v>
      </c>
      <c r="H454">
        <v>0</v>
      </c>
      <c r="J454">
        <f>IF(COUNTIF(Sheet4!A:A,A454)&gt;0,VLOOKUP(A454,Sheet4!A:B,2,FALSE),"NotFound")</f>
        <v>0</v>
      </c>
      <c r="K454" t="str">
        <f t="shared" si="7"/>
        <v>Match</v>
      </c>
    </row>
    <row r="455" spans="1:11" x14ac:dyDescent="0.35">
      <c r="A455" s="3" t="s">
        <v>1083</v>
      </c>
      <c r="B455" s="7">
        <v>2043</v>
      </c>
      <c r="C455" t="s">
        <v>1232</v>
      </c>
      <c r="D455">
        <v>62</v>
      </c>
      <c r="G455" t="s">
        <v>1106</v>
      </c>
      <c r="H455">
        <v>0</v>
      </c>
      <c r="J455">
        <f>IF(COUNTIF(Sheet4!A:A,A455)&gt;0,VLOOKUP(A455,Sheet4!A:B,2,FALSE),"NotFound")</f>
        <v>2043</v>
      </c>
      <c r="K455" t="str">
        <f t="shared" si="7"/>
        <v>Match</v>
      </c>
    </row>
    <row r="456" spans="1:11" x14ac:dyDescent="0.35">
      <c r="A456" s="3" t="s">
        <v>1085</v>
      </c>
      <c r="B456" s="7">
        <v>2041</v>
      </c>
      <c r="C456" t="s">
        <v>1232</v>
      </c>
      <c r="D456">
        <v>62</v>
      </c>
      <c r="G456" t="s">
        <v>1101</v>
      </c>
      <c r="H456">
        <v>0</v>
      </c>
      <c r="J456">
        <f>IF(COUNTIF(Sheet4!A:A,A456)&gt;0,VLOOKUP(A456,Sheet4!A:B,2,FALSE),"NotFound")</f>
        <v>2041</v>
      </c>
      <c r="K456" t="str">
        <f t="shared" si="7"/>
        <v>Match</v>
      </c>
    </row>
    <row r="457" spans="1:11" x14ac:dyDescent="0.35">
      <c r="A457" s="3" t="s">
        <v>1091</v>
      </c>
      <c r="B457" s="7">
        <v>160</v>
      </c>
      <c r="C457" t="s">
        <v>1254</v>
      </c>
      <c r="D457">
        <v>56</v>
      </c>
      <c r="G457" t="s">
        <v>1135</v>
      </c>
      <c r="H457">
        <v>0</v>
      </c>
      <c r="J457">
        <f>IF(COUNTIF(Sheet4!A:A,A457)&gt;0,VLOOKUP(A457,Sheet4!A:B,2,FALSE),"NotFound")</f>
        <v>160</v>
      </c>
      <c r="K457" t="str">
        <f t="shared" si="7"/>
        <v>Match</v>
      </c>
    </row>
    <row r="458" spans="1:11" x14ac:dyDescent="0.35">
      <c r="A458" s="3" t="s">
        <v>1084</v>
      </c>
      <c r="B458" s="7">
        <v>0</v>
      </c>
      <c r="C458" t="s">
        <v>1254</v>
      </c>
      <c r="D458">
        <v>56</v>
      </c>
      <c r="G458" t="s">
        <v>1133</v>
      </c>
      <c r="H458">
        <v>0</v>
      </c>
      <c r="J458">
        <f>IF(COUNTIF(Sheet4!A:A,A458)&gt;0,VLOOKUP(A458,Sheet4!A:B,2,FALSE),"NotFound")</f>
        <v>0</v>
      </c>
      <c r="K458" t="str">
        <f t="shared" si="7"/>
        <v>Match</v>
      </c>
    </row>
    <row r="459" spans="1:11" x14ac:dyDescent="0.35">
      <c r="A459" s="3" t="s">
        <v>1053</v>
      </c>
      <c r="B459" s="7">
        <v>0</v>
      </c>
      <c r="C459" t="s">
        <v>1235</v>
      </c>
      <c r="D459">
        <v>11</v>
      </c>
      <c r="G459" t="s">
        <v>1143</v>
      </c>
      <c r="H459">
        <v>639</v>
      </c>
      <c r="J459">
        <f>IF(COUNTIF(Sheet4!A:A,A459)&gt;0,VLOOKUP(A459,Sheet4!A:B,2,FALSE),"NotFound")</f>
        <v>0</v>
      </c>
      <c r="K459" t="str">
        <f t="shared" si="7"/>
        <v>Match</v>
      </c>
    </row>
    <row r="460" spans="1:11" x14ac:dyDescent="0.35">
      <c r="A460" s="3" t="s">
        <v>1054</v>
      </c>
      <c r="B460" s="7">
        <v>0</v>
      </c>
      <c r="C460" t="s">
        <v>1235</v>
      </c>
      <c r="D460">
        <v>11</v>
      </c>
      <c r="G460" t="s">
        <v>1147</v>
      </c>
      <c r="H460">
        <v>639</v>
      </c>
      <c r="J460">
        <f>IF(COUNTIF(Sheet4!A:A,A460)&gt;0,VLOOKUP(A460,Sheet4!A:B,2,FALSE),"NotFound")</f>
        <v>0</v>
      </c>
      <c r="K460" t="str">
        <f t="shared" si="7"/>
        <v>Match</v>
      </c>
    </row>
    <row r="461" spans="1:11" x14ac:dyDescent="0.35">
      <c r="A461" s="3" t="s">
        <v>1052</v>
      </c>
      <c r="B461" s="7">
        <v>0</v>
      </c>
      <c r="C461" t="s">
        <v>1235</v>
      </c>
      <c r="D461">
        <v>11</v>
      </c>
      <c r="G461" t="s">
        <v>1145</v>
      </c>
      <c r="H461">
        <v>640</v>
      </c>
      <c r="J461">
        <f>IF(COUNTIF(Sheet4!A:A,A461)&gt;0,VLOOKUP(A461,Sheet4!A:B,2,FALSE),"NotFound")</f>
        <v>0</v>
      </c>
      <c r="K461" t="str">
        <f t="shared" si="7"/>
        <v>Match</v>
      </c>
    </row>
    <row r="462" spans="1:11" x14ac:dyDescent="0.35">
      <c r="A462" s="3" t="s">
        <v>995</v>
      </c>
      <c r="B462" s="7">
        <v>936</v>
      </c>
      <c r="C462" t="s">
        <v>1236</v>
      </c>
      <c r="D462">
        <v>10</v>
      </c>
      <c r="G462" t="s">
        <v>1163</v>
      </c>
      <c r="H462">
        <v>0</v>
      </c>
      <c r="J462">
        <f>IF(COUNTIF(Sheet4!A:A,A462)&gt;0,VLOOKUP(A462,Sheet4!A:B,2,FALSE),"NotFound")</f>
        <v>936</v>
      </c>
      <c r="K462" t="str">
        <f t="shared" si="7"/>
        <v>Match</v>
      </c>
    </row>
    <row r="463" spans="1:11" x14ac:dyDescent="0.35">
      <c r="A463" s="3" t="s">
        <v>999</v>
      </c>
      <c r="B463" s="7">
        <v>5</v>
      </c>
      <c r="C463" t="s">
        <v>1236</v>
      </c>
      <c r="D463">
        <v>10</v>
      </c>
      <c r="G463" t="s">
        <v>1168</v>
      </c>
      <c r="H463">
        <v>0</v>
      </c>
      <c r="J463">
        <f>IF(COUNTIF(Sheet4!A:A,A463)&gt;0,VLOOKUP(A463,Sheet4!A:B,2,FALSE),"NotFound")</f>
        <v>5</v>
      </c>
      <c r="K463" t="str">
        <f t="shared" si="7"/>
        <v>Match</v>
      </c>
    </row>
    <row r="464" spans="1:11" x14ac:dyDescent="0.35">
      <c r="A464" s="3" t="s">
        <v>985</v>
      </c>
      <c r="B464" s="7">
        <v>10125</v>
      </c>
      <c r="C464" t="s">
        <v>1237</v>
      </c>
      <c r="D464">
        <v>55</v>
      </c>
      <c r="G464" t="s">
        <v>1181</v>
      </c>
      <c r="H464">
        <v>0</v>
      </c>
      <c r="J464">
        <f>IF(COUNTIF(Sheet4!A:A,A464)&gt;0,VLOOKUP(A464,Sheet4!A:B,2,FALSE),"NotFound")</f>
        <v>10125</v>
      </c>
      <c r="K464" t="str">
        <f t="shared" si="7"/>
        <v>Match</v>
      </c>
    </row>
    <row r="465" spans="1:11" x14ac:dyDescent="0.35">
      <c r="A465" s="3" t="s">
        <v>1057</v>
      </c>
      <c r="B465" s="7">
        <v>0</v>
      </c>
      <c r="C465" t="s">
        <v>1287</v>
      </c>
      <c r="D465">
        <v>65</v>
      </c>
      <c r="G465" t="s">
        <v>1185</v>
      </c>
      <c r="H465">
        <v>0</v>
      </c>
      <c r="J465">
        <f>IF(COUNTIF(Sheet4!A:A,A465)&gt;0,VLOOKUP(A465,Sheet4!A:B,2,FALSE),"NotFound")</f>
        <v>0</v>
      </c>
      <c r="K465" t="str">
        <f t="shared" si="7"/>
        <v>Match</v>
      </c>
    </row>
    <row r="466" spans="1:11" x14ac:dyDescent="0.35">
      <c r="A466" s="3" t="s">
        <v>1020</v>
      </c>
      <c r="B466" s="7">
        <v>0</v>
      </c>
      <c r="C466" t="s">
        <v>1198</v>
      </c>
      <c r="D466">
        <v>100</v>
      </c>
      <c r="G466" t="s">
        <v>661</v>
      </c>
      <c r="H466">
        <v>566074</v>
      </c>
      <c r="J466">
        <f>IF(COUNTIF(Sheet4!A:A,A466)&gt;0,VLOOKUP(A466,Sheet4!A:B,2,FALSE),"NotFound")</f>
        <v>0</v>
      </c>
      <c r="K466" t="str">
        <f t="shared" si="7"/>
        <v>Match</v>
      </c>
    </row>
    <row r="467" spans="1:11" x14ac:dyDescent="0.35">
      <c r="A467" s="3" t="s">
        <v>993</v>
      </c>
      <c r="B467" s="7">
        <v>9771</v>
      </c>
      <c r="C467" t="s">
        <v>1198</v>
      </c>
      <c r="D467">
        <v>100</v>
      </c>
      <c r="G467" t="s">
        <v>678</v>
      </c>
      <c r="H467">
        <v>0</v>
      </c>
      <c r="J467">
        <f>IF(COUNTIF(Sheet4!A:A,A467)&gt;0,VLOOKUP(A467,Sheet4!A:B,2,FALSE),"NotFound")</f>
        <v>9771</v>
      </c>
      <c r="K467" t="str">
        <f t="shared" si="7"/>
        <v>Match</v>
      </c>
    </row>
    <row r="468" spans="1:11" x14ac:dyDescent="0.35">
      <c r="A468" s="3" t="s">
        <v>1058</v>
      </c>
      <c r="B468" s="7">
        <v>0</v>
      </c>
      <c r="C468" t="s">
        <v>1198</v>
      </c>
      <c r="D468">
        <v>100</v>
      </c>
      <c r="G468" t="s">
        <v>672</v>
      </c>
      <c r="H468">
        <v>0</v>
      </c>
      <c r="J468">
        <f>IF(COUNTIF(Sheet4!A:A,A468)&gt;0,VLOOKUP(A468,Sheet4!A:B,2,FALSE),"NotFound")</f>
        <v>0</v>
      </c>
      <c r="K468" t="str">
        <f t="shared" si="7"/>
        <v>Match</v>
      </c>
    </row>
    <row r="469" spans="1:11" x14ac:dyDescent="0.35">
      <c r="A469" s="3" t="s">
        <v>1010</v>
      </c>
      <c r="B469" s="7">
        <v>9761</v>
      </c>
      <c r="C469" t="s">
        <v>1198</v>
      </c>
      <c r="D469">
        <v>100</v>
      </c>
      <c r="G469" t="s">
        <v>664</v>
      </c>
      <c r="H469">
        <v>20</v>
      </c>
      <c r="J469">
        <f>IF(COUNTIF(Sheet4!A:A,A469)&gt;0,VLOOKUP(A469,Sheet4!A:B,2,FALSE),"NotFound")</f>
        <v>9761</v>
      </c>
      <c r="K469" t="str">
        <f t="shared" si="7"/>
        <v>Match</v>
      </c>
    </row>
    <row r="470" spans="1:11" x14ac:dyDescent="0.35">
      <c r="A470" s="3" t="s">
        <v>1059</v>
      </c>
      <c r="B470" s="7">
        <v>0</v>
      </c>
      <c r="C470" t="s">
        <v>1198</v>
      </c>
      <c r="D470">
        <v>100</v>
      </c>
      <c r="G470" t="s">
        <v>675</v>
      </c>
      <c r="H470">
        <v>0</v>
      </c>
      <c r="J470">
        <f>IF(COUNTIF(Sheet4!A:A,A470)&gt;0,VLOOKUP(A470,Sheet4!A:B,2,FALSE),"NotFound")</f>
        <v>0</v>
      </c>
      <c r="K470" t="str">
        <f t="shared" si="7"/>
        <v>Match</v>
      </c>
    </row>
    <row r="471" spans="1:11" x14ac:dyDescent="0.35">
      <c r="A471" s="3" t="s">
        <v>1021</v>
      </c>
      <c r="B471" s="7">
        <v>0</v>
      </c>
      <c r="C471" t="s">
        <v>1198</v>
      </c>
      <c r="D471">
        <v>100</v>
      </c>
      <c r="G471" t="s">
        <v>682</v>
      </c>
      <c r="H471">
        <v>0</v>
      </c>
      <c r="J471">
        <f>IF(COUNTIF(Sheet4!A:A,A471)&gt;0,VLOOKUP(A471,Sheet4!A:B,2,FALSE),"NotFound")</f>
        <v>0</v>
      </c>
      <c r="K471" t="str">
        <f t="shared" si="7"/>
        <v>Match</v>
      </c>
    </row>
    <row r="472" spans="1:11" x14ac:dyDescent="0.35">
      <c r="A472" s="3" t="s">
        <v>1018</v>
      </c>
      <c r="B472" s="7">
        <v>0</v>
      </c>
      <c r="C472" t="s">
        <v>1198</v>
      </c>
      <c r="D472">
        <v>100</v>
      </c>
      <c r="G472" t="s">
        <v>683</v>
      </c>
      <c r="H472">
        <v>0</v>
      </c>
      <c r="J472">
        <f>IF(COUNTIF(Sheet4!A:A,A472)&gt;0,VLOOKUP(A472,Sheet4!A:B,2,FALSE),"NotFound")</f>
        <v>0</v>
      </c>
      <c r="K472" t="str">
        <f t="shared" si="7"/>
        <v>Match</v>
      </c>
    </row>
    <row r="473" spans="1:11" x14ac:dyDescent="0.35">
      <c r="A473" s="3" t="s">
        <v>1005</v>
      </c>
      <c r="B473" s="7">
        <v>0</v>
      </c>
      <c r="C473" t="s">
        <v>1198</v>
      </c>
      <c r="D473">
        <v>100</v>
      </c>
      <c r="G473" t="s">
        <v>689</v>
      </c>
      <c r="H473">
        <v>957</v>
      </c>
      <c r="J473">
        <f>IF(COUNTIF(Sheet4!A:A,A473)&gt;0,VLOOKUP(A473,Sheet4!A:B,2,FALSE),"NotFound")</f>
        <v>0</v>
      </c>
      <c r="K473" t="str">
        <f t="shared" si="7"/>
        <v>Match</v>
      </c>
    </row>
    <row r="474" spans="1:11" x14ac:dyDescent="0.35">
      <c r="A474" s="3" t="s">
        <v>1011</v>
      </c>
      <c r="B474" s="7">
        <v>0</v>
      </c>
      <c r="C474" t="s">
        <v>1243</v>
      </c>
      <c r="D474">
        <v>13</v>
      </c>
      <c r="G474" t="s">
        <v>654</v>
      </c>
      <c r="H474">
        <v>0</v>
      </c>
      <c r="J474">
        <f>IF(COUNTIF(Sheet4!A:A,A474)&gt;0,VLOOKUP(A474,Sheet4!A:B,2,FALSE),"NotFound")</f>
        <v>0</v>
      </c>
      <c r="K474" t="str">
        <f t="shared" si="7"/>
        <v>Match</v>
      </c>
    </row>
    <row r="475" spans="1:11" x14ac:dyDescent="0.35">
      <c r="A475" s="3" t="s">
        <v>1060</v>
      </c>
      <c r="B475" s="7">
        <v>0</v>
      </c>
      <c r="C475" t="s">
        <v>1200</v>
      </c>
      <c r="D475">
        <v>97</v>
      </c>
      <c r="G475" t="s">
        <v>710</v>
      </c>
      <c r="H475">
        <v>0</v>
      </c>
      <c r="J475">
        <f>IF(COUNTIF(Sheet4!A:A,A475)&gt;0,VLOOKUP(A475,Sheet4!A:B,2,FALSE),"NotFound")</f>
        <v>0</v>
      </c>
      <c r="K475" t="str">
        <f t="shared" si="7"/>
        <v>Match</v>
      </c>
    </row>
    <row r="476" spans="1:11" x14ac:dyDescent="0.35">
      <c r="A476" s="3" t="s">
        <v>1063</v>
      </c>
      <c r="B476" s="7">
        <v>97820</v>
      </c>
      <c r="C476" t="s">
        <v>1201</v>
      </c>
      <c r="D476">
        <v>98</v>
      </c>
      <c r="G476" t="s">
        <v>718</v>
      </c>
      <c r="H476">
        <v>0</v>
      </c>
      <c r="J476">
        <f>IF(COUNTIF(Sheet4!A:A,A476)&gt;0,VLOOKUP(A476,Sheet4!A:B,2,FALSE),"NotFound")</f>
        <v>97820</v>
      </c>
      <c r="K476" t="str">
        <f t="shared" si="7"/>
        <v>Match</v>
      </c>
    </row>
    <row r="477" spans="1:11" x14ac:dyDescent="0.35">
      <c r="A477" s="3" t="s">
        <v>1061</v>
      </c>
      <c r="B477" s="7">
        <v>0</v>
      </c>
      <c r="C477" t="s">
        <v>1201</v>
      </c>
      <c r="D477">
        <v>98</v>
      </c>
      <c r="G477" t="s">
        <v>719</v>
      </c>
      <c r="H477">
        <v>0</v>
      </c>
      <c r="J477">
        <f>IF(COUNTIF(Sheet4!A:A,A477)&gt;0,VLOOKUP(A477,Sheet4!A:B,2,FALSE),"NotFound")</f>
        <v>0</v>
      </c>
      <c r="K477" t="str">
        <f t="shared" si="7"/>
        <v>Match</v>
      </c>
    </row>
    <row r="478" spans="1:11" x14ac:dyDescent="0.35">
      <c r="A478" s="3" t="s">
        <v>1007</v>
      </c>
      <c r="B478" s="7">
        <v>0</v>
      </c>
      <c r="C478" t="s">
        <v>1201</v>
      </c>
      <c r="D478">
        <v>98</v>
      </c>
      <c r="G478" t="s">
        <v>726</v>
      </c>
      <c r="H478">
        <v>5678877</v>
      </c>
      <c r="J478">
        <f>IF(COUNTIF(Sheet4!A:A,A478)&gt;0,VLOOKUP(A478,Sheet4!A:B,2,FALSE),"NotFound")</f>
        <v>0</v>
      </c>
      <c r="K478" t="str">
        <f t="shared" si="7"/>
        <v>Match</v>
      </c>
    </row>
    <row r="479" spans="1:11" x14ac:dyDescent="0.35">
      <c r="A479" s="3" t="s">
        <v>990</v>
      </c>
      <c r="B479" s="7">
        <v>18178</v>
      </c>
      <c r="C479" t="s">
        <v>1201</v>
      </c>
      <c r="D479">
        <v>98</v>
      </c>
      <c r="G479" t="s">
        <v>725</v>
      </c>
      <c r="H479">
        <v>0</v>
      </c>
      <c r="J479">
        <f>IF(COUNTIF(Sheet4!A:A,A479)&gt;0,VLOOKUP(A479,Sheet4!A:B,2,FALSE),"NotFound")</f>
        <v>18178</v>
      </c>
      <c r="K479" t="str">
        <f t="shared" si="7"/>
        <v>Match</v>
      </c>
    </row>
    <row r="480" spans="1:11" x14ac:dyDescent="0.35">
      <c r="A480" s="3" t="s">
        <v>1062</v>
      </c>
      <c r="B480" s="7">
        <v>0</v>
      </c>
      <c r="C480" t="s">
        <v>1202</v>
      </c>
      <c r="D480">
        <v>104</v>
      </c>
      <c r="G480" t="s">
        <v>728</v>
      </c>
      <c r="H480">
        <v>0</v>
      </c>
      <c r="J480">
        <f>IF(COUNTIF(Sheet4!A:A,A480)&gt;0,VLOOKUP(A480,Sheet4!A:B,2,FALSE),"NotFound")</f>
        <v>0</v>
      </c>
      <c r="K480" t="str">
        <f t="shared" si="7"/>
        <v>Match</v>
      </c>
    </row>
    <row r="481" spans="1:11" x14ac:dyDescent="0.35">
      <c r="A481" s="3" t="s">
        <v>1003</v>
      </c>
      <c r="B481" s="7">
        <v>9035</v>
      </c>
      <c r="C481" t="s">
        <v>1203</v>
      </c>
      <c r="D481">
        <v>96</v>
      </c>
      <c r="G481" t="s">
        <v>733</v>
      </c>
      <c r="H481">
        <v>0</v>
      </c>
      <c r="J481">
        <f>IF(COUNTIF(Sheet4!A:A,A481)&gt;0,VLOOKUP(A481,Sheet4!A:B,2,FALSE),"NotFound")</f>
        <v>9035</v>
      </c>
      <c r="K481" t="str">
        <f t="shared" si="7"/>
        <v>Match</v>
      </c>
    </row>
    <row r="482" spans="1:11" x14ac:dyDescent="0.35">
      <c r="A482" s="3" t="s">
        <v>1006</v>
      </c>
      <c r="B482" s="7">
        <v>5392</v>
      </c>
      <c r="C482" t="s">
        <v>1203</v>
      </c>
      <c r="D482">
        <v>96</v>
      </c>
      <c r="G482" t="s">
        <v>734</v>
      </c>
      <c r="H482">
        <v>0</v>
      </c>
      <c r="J482">
        <f>IF(COUNTIF(Sheet4!A:A,A482)&gt;0,VLOOKUP(A482,Sheet4!A:B,2,FALSE),"NotFound")</f>
        <v>5392</v>
      </c>
      <c r="K482" t="str">
        <f t="shared" si="7"/>
        <v>Match</v>
      </c>
    </row>
    <row r="483" spans="1:11" x14ac:dyDescent="0.35">
      <c r="A483" s="3" t="s">
        <v>989</v>
      </c>
      <c r="B483" s="7">
        <v>8919</v>
      </c>
      <c r="C483" t="s">
        <v>1204</v>
      </c>
      <c r="D483">
        <v>72</v>
      </c>
      <c r="G483" t="s">
        <v>737</v>
      </c>
      <c r="H483">
        <v>0</v>
      </c>
      <c r="J483">
        <f>IF(COUNTIF(Sheet4!A:A,A483)&gt;0,VLOOKUP(A483,Sheet4!A:B,2,FALSE),"NotFound")</f>
        <v>8919</v>
      </c>
      <c r="K483" t="str">
        <f t="shared" si="7"/>
        <v>Match</v>
      </c>
    </row>
    <row r="484" spans="1:11" x14ac:dyDescent="0.35">
      <c r="A484" s="3" t="s">
        <v>1002</v>
      </c>
      <c r="B484" s="7">
        <v>9068</v>
      </c>
      <c r="C484" t="s">
        <v>1245</v>
      </c>
      <c r="D484">
        <v>1</v>
      </c>
      <c r="G484" t="s">
        <v>750</v>
      </c>
      <c r="H484">
        <v>458084</v>
      </c>
      <c r="J484">
        <f>IF(COUNTIF(Sheet4!A:A,A484)&gt;0,VLOOKUP(A484,Sheet4!A:B,2,FALSE),"NotFound")</f>
        <v>9068</v>
      </c>
      <c r="K484" t="str">
        <f t="shared" si="7"/>
        <v>Match</v>
      </c>
    </row>
    <row r="485" spans="1:11" x14ac:dyDescent="0.35">
      <c r="A485" s="3" t="s">
        <v>1055</v>
      </c>
      <c r="B485" s="7">
        <v>0</v>
      </c>
      <c r="C485" t="s">
        <v>1245</v>
      </c>
      <c r="D485">
        <v>1</v>
      </c>
      <c r="G485" t="s">
        <v>751</v>
      </c>
      <c r="H485">
        <v>1989</v>
      </c>
      <c r="J485">
        <f>IF(COUNTIF(Sheet4!A:A,A485)&gt;0,VLOOKUP(A485,Sheet4!A:B,2,FALSE),"NotFound")</f>
        <v>0</v>
      </c>
      <c r="K485" t="str">
        <f t="shared" si="7"/>
        <v>Match</v>
      </c>
    </row>
    <row r="486" spans="1:11" x14ac:dyDescent="0.35">
      <c r="A486" s="3" t="s">
        <v>1056</v>
      </c>
      <c r="B486" s="7">
        <v>0</v>
      </c>
      <c r="C486" t="s">
        <v>1206</v>
      </c>
      <c r="D486">
        <v>3</v>
      </c>
      <c r="G486" t="s">
        <v>765</v>
      </c>
      <c r="H486">
        <v>87387</v>
      </c>
      <c r="J486">
        <f>IF(COUNTIF(Sheet4!A:A,A486)&gt;0,VLOOKUP(A486,Sheet4!A:B,2,FALSE),"NotFound")</f>
        <v>0</v>
      </c>
      <c r="K486" t="str">
        <f t="shared" si="7"/>
        <v>Match</v>
      </c>
    </row>
    <row r="487" spans="1:11" x14ac:dyDescent="0.35">
      <c r="A487" s="3" t="s">
        <v>994</v>
      </c>
      <c r="B487" s="7">
        <v>9034</v>
      </c>
      <c r="C487" t="s">
        <v>1288</v>
      </c>
      <c r="D487">
        <v>107</v>
      </c>
      <c r="G487" t="s">
        <v>768</v>
      </c>
      <c r="H487">
        <v>7</v>
      </c>
      <c r="J487">
        <f>IF(COUNTIF(Sheet4!A:A,A487)&gt;0,VLOOKUP(A487,Sheet4!A:B,2,FALSE),"NotFound")</f>
        <v>9034</v>
      </c>
      <c r="K487" t="str">
        <f t="shared" si="7"/>
        <v>Match</v>
      </c>
    </row>
    <row r="488" spans="1:11" x14ac:dyDescent="0.35">
      <c r="A488" s="3" t="s">
        <v>1017</v>
      </c>
      <c r="B488" s="7">
        <v>240</v>
      </c>
      <c r="C488" t="s">
        <v>1246</v>
      </c>
      <c r="D488">
        <v>64</v>
      </c>
      <c r="G488" t="s">
        <v>784</v>
      </c>
      <c r="H488">
        <v>0</v>
      </c>
      <c r="J488">
        <f>IF(COUNTIF(Sheet4!A:A,A488)&gt;0,VLOOKUP(A488,Sheet4!A:B,2,FALSE),"NotFound")</f>
        <v>240</v>
      </c>
      <c r="K488" t="str">
        <f t="shared" si="7"/>
        <v>Match</v>
      </c>
    </row>
    <row r="489" spans="1:11" x14ac:dyDescent="0.35">
      <c r="A489" s="3" t="s">
        <v>1012</v>
      </c>
      <c r="B489" s="7">
        <v>1</v>
      </c>
      <c r="C489" t="s">
        <v>1289</v>
      </c>
      <c r="D489">
        <v>76</v>
      </c>
      <c r="G489" t="s">
        <v>797</v>
      </c>
      <c r="H489">
        <v>0</v>
      </c>
      <c r="J489">
        <f>IF(COUNTIF(Sheet4!A:A,A489)&gt;0,VLOOKUP(A489,Sheet4!A:B,2,FALSE),"NotFound")</f>
        <v>1</v>
      </c>
      <c r="K489" t="str">
        <f t="shared" si="7"/>
        <v>Match</v>
      </c>
    </row>
    <row r="490" spans="1:11" x14ac:dyDescent="0.35">
      <c r="A490" s="3" t="s">
        <v>1123</v>
      </c>
      <c r="B490" s="7">
        <v>0</v>
      </c>
      <c r="C490" t="s">
        <v>1209</v>
      </c>
      <c r="D490">
        <v>91</v>
      </c>
      <c r="G490" t="s">
        <v>791</v>
      </c>
      <c r="H490">
        <v>0</v>
      </c>
      <c r="J490">
        <f>IF(COUNTIF(Sheet4!A:A,A490)&gt;0,VLOOKUP(A490,Sheet4!A:B,2,FALSE),"NotFound")</f>
        <v>0</v>
      </c>
      <c r="K490" t="str">
        <f t="shared" si="7"/>
        <v>Match</v>
      </c>
    </row>
    <row r="491" spans="1:11" x14ac:dyDescent="0.35">
      <c r="A491" s="3" t="s">
        <v>1125</v>
      </c>
      <c r="B491" s="7">
        <v>0</v>
      </c>
      <c r="C491" t="s">
        <v>1209</v>
      </c>
      <c r="D491">
        <v>91</v>
      </c>
      <c r="G491" t="s">
        <v>782</v>
      </c>
      <c r="H491">
        <v>0</v>
      </c>
      <c r="J491">
        <f>IF(COUNTIF(Sheet4!A:A,A491)&gt;0,VLOOKUP(A491,Sheet4!A:B,2,FALSE),"NotFound")</f>
        <v>0</v>
      </c>
      <c r="K491" t="str">
        <f t="shared" si="7"/>
        <v>Match</v>
      </c>
    </row>
    <row r="492" spans="1:11" x14ac:dyDescent="0.35">
      <c r="A492" s="3" t="s">
        <v>1120</v>
      </c>
      <c r="B492" s="7">
        <v>0</v>
      </c>
      <c r="C492" t="s">
        <v>1209</v>
      </c>
      <c r="D492">
        <v>91</v>
      </c>
      <c r="G492" t="s">
        <v>772</v>
      </c>
      <c r="H492">
        <v>0</v>
      </c>
      <c r="J492">
        <f>IF(COUNTIF(Sheet4!A:A,A492)&gt;0,VLOOKUP(A492,Sheet4!A:B,2,FALSE),"NotFound")</f>
        <v>0</v>
      </c>
      <c r="K492" t="str">
        <f t="shared" si="7"/>
        <v>Match</v>
      </c>
    </row>
    <row r="493" spans="1:11" x14ac:dyDescent="0.35">
      <c r="A493" s="3" t="s">
        <v>654</v>
      </c>
      <c r="B493" s="7">
        <v>26515</v>
      </c>
      <c r="C493" t="s">
        <v>1209</v>
      </c>
      <c r="D493">
        <v>2</v>
      </c>
      <c r="G493" t="s">
        <v>786</v>
      </c>
      <c r="H493">
        <v>0</v>
      </c>
      <c r="J493">
        <f>IF(COUNTIF(Sheet4!A:A,A493)&gt;0,VLOOKUP(A493,Sheet4!A:B,2,FALSE),"NotFound")</f>
        <v>26515</v>
      </c>
      <c r="K493" t="str">
        <f t="shared" si="7"/>
        <v>Match</v>
      </c>
    </row>
    <row r="494" spans="1:11" x14ac:dyDescent="0.35">
      <c r="A494" s="3" t="s">
        <v>1180</v>
      </c>
      <c r="B494" s="7">
        <v>0</v>
      </c>
      <c r="C494" t="s">
        <v>1209</v>
      </c>
      <c r="D494">
        <v>2</v>
      </c>
      <c r="G494" t="s">
        <v>774</v>
      </c>
      <c r="H494">
        <v>0</v>
      </c>
      <c r="J494">
        <f>IF(COUNTIF(Sheet4!A:A,A494)&gt;0,VLOOKUP(A494,Sheet4!A:B,2,FALSE),"NotFound")</f>
        <v>0</v>
      </c>
      <c r="K494" t="str">
        <f t="shared" si="7"/>
        <v>Match</v>
      </c>
    </row>
    <row r="495" spans="1:11" x14ac:dyDescent="0.35">
      <c r="A495" s="3" t="s">
        <v>1177</v>
      </c>
      <c r="B495" s="7">
        <v>0</v>
      </c>
      <c r="C495" t="s">
        <v>1209</v>
      </c>
      <c r="D495">
        <v>2</v>
      </c>
      <c r="G495" t="s">
        <v>789</v>
      </c>
      <c r="H495">
        <v>0</v>
      </c>
      <c r="J495">
        <f>IF(COUNTIF(Sheet4!A:A,A495)&gt;0,VLOOKUP(A495,Sheet4!A:B,2,FALSE),"NotFound")</f>
        <v>0</v>
      </c>
      <c r="K495" t="str">
        <f t="shared" si="7"/>
        <v>Match</v>
      </c>
    </row>
    <row r="496" spans="1:11" x14ac:dyDescent="0.35">
      <c r="A496" s="3" t="s">
        <v>1176</v>
      </c>
      <c r="B496" s="7">
        <v>0</v>
      </c>
      <c r="C496" t="s">
        <v>1212</v>
      </c>
      <c r="D496">
        <v>16</v>
      </c>
      <c r="G496" t="s">
        <v>907</v>
      </c>
      <c r="H496">
        <v>282</v>
      </c>
      <c r="J496">
        <f>IF(COUNTIF(Sheet4!A:A,A496)&gt;0,VLOOKUP(A496,Sheet4!A:B,2,FALSE),"NotFound")</f>
        <v>0</v>
      </c>
      <c r="K496" t="str">
        <f t="shared" si="7"/>
        <v>Match</v>
      </c>
    </row>
    <row r="497" spans="1:11" x14ac:dyDescent="0.35">
      <c r="A497" s="3" t="s">
        <v>1181</v>
      </c>
      <c r="B497" s="7">
        <v>0</v>
      </c>
      <c r="C497" t="s">
        <v>1212</v>
      </c>
      <c r="D497">
        <v>16</v>
      </c>
      <c r="G497" t="s">
        <v>836</v>
      </c>
      <c r="H497">
        <v>0</v>
      </c>
      <c r="J497">
        <f>IF(COUNTIF(Sheet4!A:A,A497)&gt;0,VLOOKUP(A497,Sheet4!A:B,2,FALSE),"NotFound")</f>
        <v>0</v>
      </c>
      <c r="K497" t="str">
        <f t="shared" si="7"/>
        <v>Match</v>
      </c>
    </row>
    <row r="498" spans="1:11" x14ac:dyDescent="0.35">
      <c r="A498" s="3" t="s">
        <v>1175</v>
      </c>
      <c r="B498" s="7">
        <v>0</v>
      </c>
      <c r="C498" t="s">
        <v>1212</v>
      </c>
      <c r="D498">
        <v>16</v>
      </c>
      <c r="G498" t="s">
        <v>857</v>
      </c>
      <c r="H498">
        <v>0</v>
      </c>
      <c r="J498">
        <f>IF(COUNTIF(Sheet4!A:A,A498)&gt;0,VLOOKUP(A498,Sheet4!A:B,2,FALSE),"NotFound")</f>
        <v>0</v>
      </c>
      <c r="K498" t="str">
        <f t="shared" si="7"/>
        <v>Match</v>
      </c>
    </row>
    <row r="499" spans="1:11" x14ac:dyDescent="0.35">
      <c r="A499" s="3" t="s">
        <v>1178</v>
      </c>
      <c r="B499" s="7">
        <v>0</v>
      </c>
      <c r="C499" t="s">
        <v>1212</v>
      </c>
      <c r="D499">
        <v>16</v>
      </c>
      <c r="G499" t="s">
        <v>831</v>
      </c>
      <c r="H499">
        <v>141</v>
      </c>
      <c r="J499">
        <f>IF(COUNTIF(Sheet4!A:A,A499)&gt;0,VLOOKUP(A499,Sheet4!A:B,2,FALSE),"NotFound")</f>
        <v>0</v>
      </c>
      <c r="K499" t="str">
        <f t="shared" si="7"/>
        <v>Match</v>
      </c>
    </row>
    <row r="500" spans="1:11" x14ac:dyDescent="0.35">
      <c r="A500" s="3" t="s">
        <v>1179</v>
      </c>
      <c r="B500" s="7">
        <v>0</v>
      </c>
      <c r="C500" t="s">
        <v>1212</v>
      </c>
      <c r="D500">
        <v>16</v>
      </c>
      <c r="G500" t="s">
        <v>864</v>
      </c>
      <c r="H500">
        <v>0</v>
      </c>
      <c r="J500">
        <f>IF(COUNTIF(Sheet4!A:A,A500)&gt;0,VLOOKUP(A500,Sheet4!A:B,2,FALSE),"NotFound")</f>
        <v>0</v>
      </c>
      <c r="K500" t="str">
        <f t="shared" si="7"/>
        <v>Match</v>
      </c>
    </row>
    <row r="501" spans="1:11" x14ac:dyDescent="0.35">
      <c r="A501" s="3" t="s">
        <v>681</v>
      </c>
      <c r="B501" s="7">
        <v>0</v>
      </c>
      <c r="C501" t="s">
        <v>1212</v>
      </c>
      <c r="D501">
        <v>16</v>
      </c>
      <c r="G501" t="s">
        <v>866</v>
      </c>
      <c r="H501">
        <v>0</v>
      </c>
      <c r="J501">
        <f>IF(COUNTIF(Sheet4!A:A,A501)&gt;0,VLOOKUP(A501,Sheet4!A:B,2,FALSE),"NotFound")</f>
        <v>0</v>
      </c>
      <c r="K501" t="str">
        <f t="shared" si="7"/>
        <v>Match</v>
      </c>
    </row>
    <row r="502" spans="1:11" x14ac:dyDescent="0.35">
      <c r="A502" s="3" t="s">
        <v>1182</v>
      </c>
      <c r="B502" s="7">
        <v>0</v>
      </c>
      <c r="C502" t="s">
        <v>1212</v>
      </c>
      <c r="D502">
        <v>16</v>
      </c>
      <c r="G502" t="s">
        <v>812</v>
      </c>
      <c r="H502">
        <v>0</v>
      </c>
      <c r="J502">
        <f>IF(COUNTIF(Sheet4!A:A,A502)&gt;0,VLOOKUP(A502,Sheet4!A:B,2,FALSE),"NotFound")</f>
        <v>0</v>
      </c>
      <c r="K502" t="str">
        <f t="shared" si="7"/>
        <v>Match</v>
      </c>
    </row>
    <row r="503" spans="1:11" x14ac:dyDescent="0.35">
      <c r="A503" s="3" t="s">
        <v>1135</v>
      </c>
      <c r="B503" s="7">
        <v>0</v>
      </c>
      <c r="C503" t="s">
        <v>1212</v>
      </c>
      <c r="D503">
        <v>16</v>
      </c>
      <c r="G503" t="s">
        <v>806</v>
      </c>
      <c r="H503">
        <v>94</v>
      </c>
      <c r="J503">
        <f>IF(COUNTIF(Sheet4!A:A,A503)&gt;0,VLOOKUP(A503,Sheet4!A:B,2,FALSE),"NotFound")</f>
        <v>0</v>
      </c>
      <c r="K503" t="str">
        <f t="shared" si="7"/>
        <v>Match</v>
      </c>
    </row>
    <row r="504" spans="1:11" x14ac:dyDescent="0.35">
      <c r="A504" s="3" t="s">
        <v>1137</v>
      </c>
      <c r="B504" s="7">
        <v>0</v>
      </c>
      <c r="C504" t="s">
        <v>1212</v>
      </c>
      <c r="D504">
        <v>16</v>
      </c>
      <c r="G504" t="s">
        <v>882</v>
      </c>
      <c r="H504">
        <v>0</v>
      </c>
      <c r="J504">
        <f>IF(COUNTIF(Sheet4!A:A,A504)&gt;0,VLOOKUP(A504,Sheet4!A:B,2,FALSE),"NotFound")</f>
        <v>0</v>
      </c>
      <c r="K504" t="str">
        <f t="shared" si="7"/>
        <v>Match</v>
      </c>
    </row>
    <row r="505" spans="1:11" x14ac:dyDescent="0.35">
      <c r="A505" s="3" t="s">
        <v>1131</v>
      </c>
      <c r="B505" s="7">
        <v>0</v>
      </c>
      <c r="C505" t="s">
        <v>1212</v>
      </c>
      <c r="D505">
        <v>16</v>
      </c>
      <c r="G505" t="s">
        <v>810</v>
      </c>
      <c r="H505">
        <v>4</v>
      </c>
      <c r="J505">
        <f>IF(COUNTIF(Sheet4!A:A,A505)&gt;0,VLOOKUP(A505,Sheet4!A:B,2,FALSE),"NotFound")</f>
        <v>0</v>
      </c>
      <c r="K505" t="str">
        <f t="shared" si="7"/>
        <v>Match</v>
      </c>
    </row>
    <row r="506" spans="1:11" x14ac:dyDescent="0.35">
      <c r="A506" s="3" t="s">
        <v>1134</v>
      </c>
      <c r="B506" s="7">
        <v>0</v>
      </c>
      <c r="C506" t="s">
        <v>1212</v>
      </c>
      <c r="D506">
        <v>16</v>
      </c>
      <c r="G506" t="s">
        <v>835</v>
      </c>
      <c r="H506">
        <v>0</v>
      </c>
      <c r="J506">
        <f>IF(COUNTIF(Sheet4!A:A,A506)&gt;0,VLOOKUP(A506,Sheet4!A:B,2,FALSE),"NotFound")</f>
        <v>0</v>
      </c>
      <c r="K506" t="str">
        <f t="shared" si="7"/>
        <v>Match</v>
      </c>
    </row>
    <row r="507" spans="1:11" x14ac:dyDescent="0.35">
      <c r="A507" s="3" t="s">
        <v>1132</v>
      </c>
      <c r="B507" s="7">
        <v>0</v>
      </c>
      <c r="C507" t="s">
        <v>1212</v>
      </c>
      <c r="D507">
        <v>16</v>
      </c>
      <c r="G507" t="s">
        <v>876</v>
      </c>
      <c r="H507">
        <v>0</v>
      </c>
      <c r="J507">
        <f>IF(COUNTIF(Sheet4!A:A,A507)&gt;0,VLOOKUP(A507,Sheet4!A:B,2,FALSE),"NotFound")</f>
        <v>0</v>
      </c>
      <c r="K507" t="str">
        <f t="shared" si="7"/>
        <v>Match</v>
      </c>
    </row>
    <row r="508" spans="1:11" x14ac:dyDescent="0.35">
      <c r="A508" s="3" t="s">
        <v>1136</v>
      </c>
      <c r="B508" s="7">
        <v>0</v>
      </c>
      <c r="C508" t="s">
        <v>1212</v>
      </c>
      <c r="D508">
        <v>16</v>
      </c>
      <c r="G508" t="s">
        <v>879</v>
      </c>
      <c r="H508">
        <v>0</v>
      </c>
      <c r="J508">
        <f>IF(COUNTIF(Sheet4!A:A,A508)&gt;0,VLOOKUP(A508,Sheet4!A:B,2,FALSE),"NotFound")</f>
        <v>0</v>
      </c>
      <c r="K508" t="str">
        <f t="shared" si="7"/>
        <v>Match</v>
      </c>
    </row>
    <row r="509" spans="1:11" x14ac:dyDescent="0.35">
      <c r="A509" s="3" t="s">
        <v>1133</v>
      </c>
      <c r="B509" s="7">
        <v>0</v>
      </c>
      <c r="C509" t="s">
        <v>1212</v>
      </c>
      <c r="D509">
        <v>16</v>
      </c>
      <c r="G509" t="s">
        <v>880</v>
      </c>
      <c r="H509">
        <v>0</v>
      </c>
      <c r="J509">
        <f>IF(COUNTIF(Sheet4!A:A,A509)&gt;0,VLOOKUP(A509,Sheet4!A:B,2,FALSE),"NotFound")</f>
        <v>0</v>
      </c>
      <c r="K509" t="str">
        <f t="shared" si="7"/>
        <v>Match</v>
      </c>
    </row>
    <row r="510" spans="1:11" x14ac:dyDescent="0.35">
      <c r="A510" s="3" t="s">
        <v>694</v>
      </c>
      <c r="B510" s="7">
        <v>0</v>
      </c>
      <c r="C510" t="s">
        <v>1212</v>
      </c>
      <c r="D510">
        <v>16</v>
      </c>
      <c r="G510" t="s">
        <v>843</v>
      </c>
      <c r="H510">
        <v>0</v>
      </c>
      <c r="J510">
        <f>IF(COUNTIF(Sheet4!A:A,A510)&gt;0,VLOOKUP(A510,Sheet4!A:B,2,FALSE),"NotFound")</f>
        <v>0</v>
      </c>
      <c r="K510" t="str">
        <f t="shared" si="7"/>
        <v>Match</v>
      </c>
    </row>
    <row r="511" spans="1:11" x14ac:dyDescent="0.35">
      <c r="A511" s="3" t="s">
        <v>976</v>
      </c>
      <c r="B511" s="7">
        <v>0</v>
      </c>
      <c r="C511" t="s">
        <v>1212</v>
      </c>
      <c r="D511">
        <v>16</v>
      </c>
      <c r="G511" t="s">
        <v>892</v>
      </c>
      <c r="H511">
        <v>0</v>
      </c>
      <c r="J511">
        <f>IF(COUNTIF(Sheet4!A:A,A511)&gt;0,VLOOKUP(A511,Sheet4!A:B,2,FALSE),"NotFound")</f>
        <v>0</v>
      </c>
      <c r="K511" t="str">
        <f t="shared" si="7"/>
        <v>Match</v>
      </c>
    </row>
    <row r="512" spans="1:11" x14ac:dyDescent="0.35">
      <c r="A512" s="3" t="s">
        <v>1107</v>
      </c>
      <c r="B512" s="7">
        <v>0</v>
      </c>
      <c r="C512" t="s">
        <v>1212</v>
      </c>
      <c r="D512">
        <v>16</v>
      </c>
      <c r="G512" t="s">
        <v>846</v>
      </c>
      <c r="H512">
        <v>0</v>
      </c>
      <c r="J512">
        <f>IF(COUNTIF(Sheet4!A:A,A512)&gt;0,VLOOKUP(A512,Sheet4!A:B,2,FALSE),"NotFound")</f>
        <v>0</v>
      </c>
      <c r="K512" t="str">
        <f t="shared" si="7"/>
        <v>Match</v>
      </c>
    </row>
    <row r="513" spans="1:11" x14ac:dyDescent="0.35">
      <c r="A513" s="3" t="s">
        <v>1108</v>
      </c>
      <c r="B513" s="7">
        <v>0</v>
      </c>
      <c r="C513" t="s">
        <v>1212</v>
      </c>
      <c r="D513">
        <v>16</v>
      </c>
      <c r="G513" t="s">
        <v>906</v>
      </c>
      <c r="H513">
        <v>0</v>
      </c>
      <c r="J513">
        <f>IF(COUNTIF(Sheet4!A:A,A513)&gt;0,VLOOKUP(A513,Sheet4!A:B,2,FALSE),"NotFound")</f>
        <v>0</v>
      </c>
      <c r="K513" t="str">
        <f t="shared" si="7"/>
        <v>Match</v>
      </c>
    </row>
    <row r="514" spans="1:11" x14ac:dyDescent="0.35">
      <c r="A514" s="3" t="s">
        <v>1109</v>
      </c>
      <c r="B514" s="7">
        <v>0</v>
      </c>
      <c r="C514" t="s">
        <v>1212</v>
      </c>
      <c r="D514">
        <v>16</v>
      </c>
      <c r="G514" t="s">
        <v>908</v>
      </c>
      <c r="H514">
        <v>1043431</v>
      </c>
      <c r="J514">
        <f>IF(COUNTIF(Sheet4!A:A,A514)&gt;0,VLOOKUP(A514,Sheet4!A:B,2,FALSE),"NotFound")</f>
        <v>0</v>
      </c>
      <c r="K514" t="str">
        <f t="shared" si="7"/>
        <v>Match</v>
      </c>
    </row>
    <row r="515" spans="1:11" x14ac:dyDescent="0.35">
      <c r="A515" s="3" t="s">
        <v>1014</v>
      </c>
      <c r="B515" s="7">
        <v>0</v>
      </c>
      <c r="C515" t="s">
        <v>1290</v>
      </c>
      <c r="D515">
        <v>30</v>
      </c>
      <c r="G515" t="s">
        <v>922</v>
      </c>
      <c r="H515">
        <v>0</v>
      </c>
      <c r="J515">
        <f>IF(COUNTIF(Sheet4!A:A,A515)&gt;0,VLOOKUP(A515,Sheet4!A:B,2,FALSE),"NotFound")</f>
        <v>0</v>
      </c>
      <c r="K515" t="str">
        <f t="shared" ref="K515:K544" si="8">IF(B515=J515,"Match","Mis Match")</f>
        <v>Match</v>
      </c>
    </row>
    <row r="516" spans="1:11" x14ac:dyDescent="0.35">
      <c r="A516" s="3" t="s">
        <v>1016</v>
      </c>
      <c r="B516" s="7">
        <v>0</v>
      </c>
      <c r="C516" t="s">
        <v>1221</v>
      </c>
      <c r="D516">
        <v>63</v>
      </c>
      <c r="G516" t="s">
        <v>931</v>
      </c>
      <c r="H516">
        <v>0</v>
      </c>
      <c r="J516">
        <f>IF(COUNTIF(Sheet4!A:A,A516)&gt;0,VLOOKUP(A516,Sheet4!A:B,2,FALSE),"NotFound")</f>
        <v>0</v>
      </c>
      <c r="K516" t="str">
        <f t="shared" si="8"/>
        <v>Match</v>
      </c>
    </row>
    <row r="517" spans="1:11" x14ac:dyDescent="0.35">
      <c r="A517" s="3" t="s">
        <v>1013</v>
      </c>
      <c r="B517" s="7">
        <v>0</v>
      </c>
      <c r="C517" t="s">
        <v>1291</v>
      </c>
      <c r="D517">
        <v>86</v>
      </c>
      <c r="G517" t="s">
        <v>940</v>
      </c>
      <c r="H517">
        <v>0</v>
      </c>
      <c r="J517">
        <f>IF(COUNTIF(Sheet4!A:A,A517)&gt;0,VLOOKUP(A517,Sheet4!A:B,2,FALSE),"NotFound")</f>
        <v>0</v>
      </c>
      <c r="K517" t="str">
        <f t="shared" si="8"/>
        <v>Match</v>
      </c>
    </row>
    <row r="518" spans="1:11" x14ac:dyDescent="0.35">
      <c r="A518" s="3" t="s">
        <v>1183</v>
      </c>
      <c r="B518" s="7">
        <v>0</v>
      </c>
      <c r="C518" t="s">
        <v>1250</v>
      </c>
      <c r="D518">
        <v>88</v>
      </c>
      <c r="G518" t="s">
        <v>950</v>
      </c>
      <c r="H518">
        <v>0</v>
      </c>
      <c r="J518">
        <f>IF(COUNTIF(Sheet4!A:A,A518)&gt;0,VLOOKUP(A518,Sheet4!A:B,2,FALSE),"NotFound")</f>
        <v>0</v>
      </c>
      <c r="K518" t="str">
        <f t="shared" si="8"/>
        <v>Match</v>
      </c>
    </row>
    <row r="519" spans="1:11" x14ac:dyDescent="0.35">
      <c r="A519" s="3" t="s">
        <v>1184</v>
      </c>
      <c r="B519" s="7">
        <v>0</v>
      </c>
      <c r="C519" t="s">
        <v>1250</v>
      </c>
      <c r="D519">
        <v>88</v>
      </c>
      <c r="G519" t="s">
        <v>953</v>
      </c>
      <c r="H519">
        <v>0</v>
      </c>
      <c r="J519">
        <f>IF(COUNTIF(Sheet4!A:A,A519)&gt;0,VLOOKUP(A519,Sheet4!A:B,2,FALSE),"NotFound")</f>
        <v>0</v>
      </c>
      <c r="K519" t="str">
        <f t="shared" si="8"/>
        <v>Match</v>
      </c>
    </row>
    <row r="520" spans="1:11" x14ac:dyDescent="0.35">
      <c r="A520" s="3" t="s">
        <v>1185</v>
      </c>
      <c r="B520" s="7">
        <v>0</v>
      </c>
      <c r="C520" t="s">
        <v>1224</v>
      </c>
      <c r="D520">
        <v>21</v>
      </c>
      <c r="G520" t="s">
        <v>962</v>
      </c>
      <c r="H520">
        <v>0</v>
      </c>
      <c r="J520">
        <f>IF(COUNTIF(Sheet4!A:A,A520)&gt;0,VLOOKUP(A520,Sheet4!A:B,2,FALSE),"NotFound")</f>
        <v>0</v>
      </c>
      <c r="K520" t="str">
        <f t="shared" si="8"/>
        <v>Match</v>
      </c>
    </row>
    <row r="521" spans="1:11" x14ac:dyDescent="0.35">
      <c r="A521" s="3" t="s">
        <v>922</v>
      </c>
      <c r="B521" s="7">
        <v>0</v>
      </c>
      <c r="C521" t="s">
        <v>1292</v>
      </c>
      <c r="D521">
        <v>19</v>
      </c>
      <c r="G521" t="s">
        <v>963</v>
      </c>
      <c r="H521">
        <v>0</v>
      </c>
      <c r="J521">
        <f>IF(COUNTIF(Sheet4!A:A,A521)&gt;0,VLOOKUP(A521,Sheet4!A:B,2,FALSE),"NotFound")</f>
        <v>0</v>
      </c>
      <c r="K521" t="str">
        <f t="shared" si="8"/>
        <v>Match</v>
      </c>
    </row>
    <row r="522" spans="1:11" x14ac:dyDescent="0.35">
      <c r="A522" s="3" t="s">
        <v>909</v>
      </c>
      <c r="B522" s="7">
        <v>0</v>
      </c>
      <c r="C522" t="s">
        <v>1225</v>
      </c>
      <c r="D522">
        <v>90</v>
      </c>
      <c r="G522" t="s">
        <v>966</v>
      </c>
      <c r="H522">
        <v>0</v>
      </c>
      <c r="J522">
        <f>IF(COUNTIF(Sheet4!A:A,A522)&gt;0,VLOOKUP(A522,Sheet4!A:B,2,FALSE),"NotFound")</f>
        <v>0</v>
      </c>
      <c r="K522" t="str">
        <f t="shared" si="8"/>
        <v>Match</v>
      </c>
    </row>
    <row r="523" spans="1:11" x14ac:dyDescent="0.35">
      <c r="A523" s="3" t="s">
        <v>973</v>
      </c>
      <c r="B523" s="7">
        <v>0</v>
      </c>
      <c r="C523" t="s">
        <v>1226</v>
      </c>
      <c r="D523">
        <v>38</v>
      </c>
      <c r="G523" t="s">
        <v>977</v>
      </c>
      <c r="H523">
        <v>2505</v>
      </c>
      <c r="J523">
        <f>IF(COUNTIF(Sheet4!A:A,A523)&gt;0,VLOOKUP(A523,Sheet4!A:B,2,FALSE),"NotFound")</f>
        <v>0</v>
      </c>
      <c r="K523" t="str">
        <f t="shared" si="8"/>
        <v>Match</v>
      </c>
    </row>
    <row r="524" spans="1:11" x14ac:dyDescent="0.35">
      <c r="A524" s="3" t="s">
        <v>920</v>
      </c>
      <c r="B524" s="7">
        <v>0</v>
      </c>
      <c r="C524" t="s">
        <v>1228</v>
      </c>
      <c r="D524">
        <v>15</v>
      </c>
      <c r="G524" t="s">
        <v>986</v>
      </c>
      <c r="H524">
        <v>27173</v>
      </c>
      <c r="J524">
        <f>IF(COUNTIF(Sheet4!A:A,A524)&gt;0,VLOOKUP(A524,Sheet4!A:B,2,FALSE),"NotFound")</f>
        <v>0</v>
      </c>
      <c r="K524" t="str">
        <f t="shared" si="8"/>
        <v>Match</v>
      </c>
    </row>
    <row r="525" spans="1:11" x14ac:dyDescent="0.35">
      <c r="A525" s="3" t="s">
        <v>921</v>
      </c>
      <c r="B525" s="7">
        <v>0</v>
      </c>
      <c r="C525" t="s">
        <v>1228</v>
      </c>
      <c r="D525">
        <v>15</v>
      </c>
      <c r="G525" t="s">
        <v>987</v>
      </c>
      <c r="H525">
        <v>36262</v>
      </c>
      <c r="J525">
        <f>IF(COUNTIF(Sheet4!A:A,A525)&gt;0,VLOOKUP(A525,Sheet4!A:B,2,FALSE),"NotFound")</f>
        <v>0</v>
      </c>
      <c r="K525" t="str">
        <f t="shared" si="8"/>
        <v>Match</v>
      </c>
    </row>
    <row r="526" spans="1:11" x14ac:dyDescent="0.35">
      <c r="A526" s="3" t="s">
        <v>686</v>
      </c>
      <c r="B526" s="7">
        <v>0</v>
      </c>
      <c r="C526" t="s">
        <v>1228</v>
      </c>
      <c r="D526">
        <v>15</v>
      </c>
      <c r="G526" t="s">
        <v>990</v>
      </c>
      <c r="H526">
        <v>18178</v>
      </c>
      <c r="J526">
        <f>IF(COUNTIF(Sheet4!A:A,A526)&gt;0,VLOOKUP(A526,Sheet4!A:B,2,FALSE),"NotFound")</f>
        <v>0</v>
      </c>
      <c r="K526" t="str">
        <f t="shared" si="8"/>
        <v>Match</v>
      </c>
    </row>
    <row r="527" spans="1:11" x14ac:dyDescent="0.35">
      <c r="A527" s="3" t="s">
        <v>682</v>
      </c>
      <c r="B527" s="7">
        <v>0</v>
      </c>
      <c r="C527" t="s">
        <v>1228</v>
      </c>
      <c r="D527">
        <v>15</v>
      </c>
      <c r="G527" t="s">
        <v>985</v>
      </c>
      <c r="H527">
        <v>10125</v>
      </c>
      <c r="J527">
        <f>IF(COUNTIF(Sheet4!A:A,A527)&gt;0,VLOOKUP(A527,Sheet4!A:B,2,FALSE),"NotFound")</f>
        <v>0</v>
      </c>
      <c r="K527" t="str">
        <f t="shared" si="8"/>
        <v>Match</v>
      </c>
    </row>
    <row r="528" spans="1:11" x14ac:dyDescent="0.35">
      <c r="A528" s="3" t="s">
        <v>683</v>
      </c>
      <c r="B528" s="7">
        <v>0</v>
      </c>
      <c r="C528" t="s">
        <v>1228</v>
      </c>
      <c r="D528">
        <v>15</v>
      </c>
      <c r="G528" t="s">
        <v>1012</v>
      </c>
      <c r="H528">
        <v>1</v>
      </c>
      <c r="J528">
        <f>IF(COUNTIF(Sheet4!A:A,A528)&gt;0,VLOOKUP(A528,Sheet4!A:B,2,FALSE),"NotFound")</f>
        <v>0</v>
      </c>
      <c r="K528" t="str">
        <f t="shared" si="8"/>
        <v>Match</v>
      </c>
    </row>
    <row r="529" spans="1:11" x14ac:dyDescent="0.35">
      <c r="A529" s="3" t="s">
        <v>684</v>
      </c>
      <c r="B529" s="7">
        <v>0</v>
      </c>
      <c r="C529" t="s">
        <v>1228</v>
      </c>
      <c r="D529">
        <v>15</v>
      </c>
      <c r="G529" t="s">
        <v>1013</v>
      </c>
      <c r="H529">
        <v>0</v>
      </c>
      <c r="J529">
        <f>IF(COUNTIF(Sheet4!A:A,A529)&gt;0,VLOOKUP(A529,Sheet4!A:B,2,FALSE),"NotFound")</f>
        <v>0</v>
      </c>
      <c r="K529" t="str">
        <f t="shared" si="8"/>
        <v>Match</v>
      </c>
    </row>
    <row r="530" spans="1:11" x14ac:dyDescent="0.35">
      <c r="A530" s="3" t="s">
        <v>685</v>
      </c>
      <c r="B530" s="7">
        <v>0</v>
      </c>
      <c r="C530" t="s">
        <v>1228</v>
      </c>
      <c r="D530">
        <v>15</v>
      </c>
      <c r="G530" t="s">
        <v>1008</v>
      </c>
      <c r="H530">
        <v>8919</v>
      </c>
      <c r="J530">
        <f>IF(COUNTIF(Sheet4!A:A,A530)&gt;0,VLOOKUP(A530,Sheet4!A:B,2,FALSE),"NotFound")</f>
        <v>0</v>
      </c>
      <c r="K530" t="str">
        <f t="shared" si="8"/>
        <v>Match</v>
      </c>
    </row>
    <row r="531" spans="1:11" x14ac:dyDescent="0.35">
      <c r="A531" s="3" t="s">
        <v>659</v>
      </c>
      <c r="B531" s="7">
        <v>19</v>
      </c>
      <c r="C531" t="s">
        <v>1231</v>
      </c>
      <c r="D531">
        <v>14</v>
      </c>
      <c r="G531" t="s">
        <v>1091</v>
      </c>
      <c r="H531">
        <v>160</v>
      </c>
      <c r="J531">
        <f>IF(COUNTIF(Sheet4!A:A,A531)&gt;0,VLOOKUP(A531,Sheet4!A:B,2,FALSE),"NotFound")</f>
        <v>19</v>
      </c>
      <c r="K531" t="str">
        <f t="shared" si="8"/>
        <v>Match</v>
      </c>
    </row>
    <row r="532" spans="1:11" x14ac:dyDescent="0.35">
      <c r="A532" s="3" t="s">
        <v>693</v>
      </c>
      <c r="B532" s="7">
        <v>0</v>
      </c>
      <c r="C532" t="s">
        <v>1232</v>
      </c>
      <c r="D532">
        <v>62</v>
      </c>
      <c r="G532" t="s">
        <v>1104</v>
      </c>
      <c r="H532">
        <v>0</v>
      </c>
      <c r="J532">
        <f>IF(COUNTIF(Sheet4!A:A,A532)&gt;0,VLOOKUP(A532,Sheet4!A:B,2,FALSE),"NotFound")</f>
        <v>0</v>
      </c>
      <c r="K532" t="str">
        <f t="shared" si="8"/>
        <v>Match</v>
      </c>
    </row>
    <row r="533" spans="1:11" x14ac:dyDescent="0.35">
      <c r="A533" s="3" t="s">
        <v>689</v>
      </c>
      <c r="B533" s="7">
        <v>957</v>
      </c>
      <c r="C533" t="s">
        <v>1232</v>
      </c>
      <c r="D533">
        <v>62</v>
      </c>
      <c r="G533" t="s">
        <v>1100</v>
      </c>
      <c r="H533">
        <v>0</v>
      </c>
      <c r="J533">
        <f>IF(COUNTIF(Sheet4!A:A,A533)&gt;0,VLOOKUP(A533,Sheet4!A:B,2,FALSE),"NotFound")</f>
        <v>957</v>
      </c>
      <c r="K533" t="str">
        <f t="shared" si="8"/>
        <v>Match</v>
      </c>
    </row>
    <row r="534" spans="1:11" x14ac:dyDescent="0.35">
      <c r="A534" s="3" t="s">
        <v>691</v>
      </c>
      <c r="B534" s="7">
        <v>0</v>
      </c>
      <c r="C534" t="s">
        <v>1232</v>
      </c>
      <c r="D534">
        <v>62</v>
      </c>
      <c r="G534" t="s">
        <v>1105</v>
      </c>
      <c r="H534">
        <v>0</v>
      </c>
      <c r="J534">
        <f>IF(COUNTIF(Sheet4!A:A,A534)&gt;0,VLOOKUP(A534,Sheet4!A:B,2,FALSE),"NotFound")</f>
        <v>0</v>
      </c>
      <c r="K534" t="str">
        <f t="shared" si="8"/>
        <v>Match</v>
      </c>
    </row>
    <row r="535" spans="1:11" x14ac:dyDescent="0.35">
      <c r="A535" s="3" t="s">
        <v>661</v>
      </c>
      <c r="B535" s="7">
        <v>566074</v>
      </c>
      <c r="C535" t="s">
        <v>1234</v>
      </c>
      <c r="D535">
        <v>12</v>
      </c>
      <c r="G535" t="s">
        <v>1130</v>
      </c>
      <c r="H535">
        <v>0</v>
      </c>
      <c r="J535">
        <f>IF(COUNTIF(Sheet4!A:A,A535)&gt;0,VLOOKUP(A535,Sheet4!A:B,2,FALSE),"NotFound")</f>
        <v>566074</v>
      </c>
      <c r="K535" t="str">
        <f t="shared" si="8"/>
        <v>Match</v>
      </c>
    </row>
    <row r="536" spans="1:11" x14ac:dyDescent="0.35">
      <c r="A536" s="3" t="s">
        <v>665</v>
      </c>
      <c r="B536" s="7">
        <v>0</v>
      </c>
      <c r="C536" t="s">
        <v>1235</v>
      </c>
      <c r="D536">
        <v>11</v>
      </c>
      <c r="G536" t="s">
        <v>1149</v>
      </c>
      <c r="H536">
        <v>0</v>
      </c>
      <c r="J536">
        <f>IF(COUNTIF(Sheet4!A:A,A536)&gt;0,VLOOKUP(A536,Sheet4!A:B,2,FALSE),"NotFound")</f>
        <v>0</v>
      </c>
      <c r="K536" t="str">
        <f t="shared" si="8"/>
        <v>Match</v>
      </c>
    </row>
    <row r="537" spans="1:11" x14ac:dyDescent="0.35">
      <c r="A537" s="3" t="s">
        <v>789</v>
      </c>
      <c r="B537" s="7">
        <v>0</v>
      </c>
      <c r="C537" t="s">
        <v>1235</v>
      </c>
      <c r="D537">
        <v>11</v>
      </c>
      <c r="G537" t="s">
        <v>1140</v>
      </c>
      <c r="H537">
        <v>0</v>
      </c>
      <c r="J537">
        <f>IF(COUNTIF(Sheet4!A:A,A537)&gt;0,VLOOKUP(A537,Sheet4!A:B,2,FALSE),"NotFound")</f>
        <v>0</v>
      </c>
      <c r="K537" t="str">
        <f t="shared" si="8"/>
        <v>Match</v>
      </c>
    </row>
    <row r="538" spans="1:11" x14ac:dyDescent="0.35">
      <c r="A538" s="3" t="s">
        <v>1189</v>
      </c>
      <c r="B538" s="7">
        <v>0</v>
      </c>
      <c r="C538" t="s">
        <v>1236</v>
      </c>
      <c r="D538">
        <v>10</v>
      </c>
      <c r="G538" t="s">
        <v>1172</v>
      </c>
      <c r="H538">
        <v>0</v>
      </c>
      <c r="J538">
        <f>IF(COUNTIF(Sheet4!A:A,A538)&gt;0,VLOOKUP(A538,Sheet4!A:B,2,FALSE),"NotFound")</f>
        <v>0</v>
      </c>
      <c r="K538" t="str">
        <f t="shared" si="8"/>
        <v>Match</v>
      </c>
    </row>
    <row r="539" spans="1:11" x14ac:dyDescent="0.35">
      <c r="A539" s="3" t="s">
        <v>1187</v>
      </c>
      <c r="B539" s="7">
        <v>0</v>
      </c>
      <c r="C539" t="s">
        <v>1236</v>
      </c>
      <c r="D539">
        <v>10</v>
      </c>
      <c r="G539" t="s">
        <v>1167</v>
      </c>
      <c r="H539">
        <v>0</v>
      </c>
      <c r="J539">
        <f>IF(COUNTIF(Sheet4!A:A,A539)&gt;0,VLOOKUP(A539,Sheet4!A:B,2,FALSE),"NotFound")</f>
        <v>0</v>
      </c>
      <c r="K539" t="str">
        <f t="shared" si="8"/>
        <v>Match</v>
      </c>
    </row>
    <row r="540" spans="1:11" x14ac:dyDescent="0.35">
      <c r="A540" s="3" t="s">
        <v>1188</v>
      </c>
      <c r="B540" s="7">
        <v>0</v>
      </c>
      <c r="C540" t="s">
        <v>1236</v>
      </c>
      <c r="D540">
        <v>10</v>
      </c>
      <c r="G540" t="s">
        <v>1169</v>
      </c>
      <c r="H540">
        <v>0</v>
      </c>
      <c r="J540">
        <f>IF(COUNTIF(Sheet4!A:A,A540)&gt;0,VLOOKUP(A540,Sheet4!A:B,2,FALSE),"NotFound")</f>
        <v>0</v>
      </c>
      <c r="K540" t="str">
        <f t="shared" si="8"/>
        <v>Match</v>
      </c>
    </row>
    <row r="541" spans="1:11" x14ac:dyDescent="0.35">
      <c r="A541" s="3" t="s">
        <v>1190</v>
      </c>
      <c r="B541" s="7">
        <v>0</v>
      </c>
      <c r="C541" t="s">
        <v>1237</v>
      </c>
      <c r="D541">
        <v>55</v>
      </c>
      <c r="G541" t="s">
        <v>1177</v>
      </c>
      <c r="H541">
        <v>0</v>
      </c>
      <c r="J541">
        <f>IF(COUNTIF(Sheet4!A:A,A541)&gt;0,VLOOKUP(A541,Sheet4!A:B,2,FALSE),"NotFound")</f>
        <v>0</v>
      </c>
      <c r="K541" t="str">
        <f t="shared" si="8"/>
        <v>Match</v>
      </c>
    </row>
    <row r="542" spans="1:11" x14ac:dyDescent="0.35">
      <c r="A542" s="3" t="s">
        <v>651</v>
      </c>
      <c r="B542" s="7">
        <v>14674</v>
      </c>
      <c r="C542" t="s">
        <v>1293</v>
      </c>
      <c r="D542">
        <v>57</v>
      </c>
      <c r="G542" t="s">
        <v>1190</v>
      </c>
      <c r="H542">
        <v>0</v>
      </c>
      <c r="J542">
        <f>IF(COUNTIF(Sheet4!A:A,A542)&gt;0,VLOOKUP(A542,Sheet4!A:B,2,FALSE),"NotFound")</f>
        <v>14674</v>
      </c>
      <c r="K542" t="str">
        <f t="shared" si="8"/>
        <v>Match</v>
      </c>
    </row>
    <row r="543" spans="1:11" x14ac:dyDescent="0.35">
      <c r="A543" s="3" t="s">
        <v>671</v>
      </c>
      <c r="B543" s="7">
        <v>0</v>
      </c>
      <c r="C543" t="s">
        <v>1287</v>
      </c>
      <c r="D543">
        <v>65</v>
      </c>
      <c r="G543" t="s">
        <v>1184</v>
      </c>
      <c r="H543">
        <v>0</v>
      </c>
      <c r="J543">
        <f>IF(COUNTIF(Sheet4!A:A,A543)&gt;0,VLOOKUP(A543,Sheet4!A:B,2,FALSE),"NotFound")</f>
        <v>0</v>
      </c>
      <c r="K543" t="str">
        <f t="shared" si="8"/>
        <v>Match</v>
      </c>
    </row>
    <row r="544" spans="1:11" x14ac:dyDescent="0.35">
      <c r="A544" s="3" t="s">
        <v>646</v>
      </c>
      <c r="B544" s="7"/>
      <c r="C544" t="s">
        <v>1241</v>
      </c>
      <c r="D544">
        <v>93</v>
      </c>
      <c r="G544" t="s">
        <v>652</v>
      </c>
      <c r="H544">
        <v>0</v>
      </c>
      <c r="J544">
        <f>IF(COUNTIF(Sheet4!A:A,A544)&gt;0,VLOOKUP(A544,Sheet4!A:B,2,FALSE),"NotFound")</f>
        <v>0</v>
      </c>
      <c r="K544" t="str">
        <f t="shared" si="8"/>
        <v>Match</v>
      </c>
    </row>
    <row r="545" spans="1:8" x14ac:dyDescent="0.35">
      <c r="A545" s="3" t="s">
        <v>647</v>
      </c>
      <c r="B545" s="7">
        <v>155039757</v>
      </c>
      <c r="C545" t="s">
        <v>1198</v>
      </c>
      <c r="D545">
        <v>100</v>
      </c>
      <c r="G545" t="s">
        <v>669</v>
      </c>
      <c r="H545">
        <v>0</v>
      </c>
    </row>
    <row r="546" spans="1:8" x14ac:dyDescent="0.35">
      <c r="C546" t="s">
        <v>1198</v>
      </c>
      <c r="D546">
        <v>100</v>
      </c>
      <c r="G546" t="s">
        <v>676</v>
      </c>
      <c r="H546">
        <v>0</v>
      </c>
    </row>
    <row r="547" spans="1:8" x14ac:dyDescent="0.35">
      <c r="C547" t="s">
        <v>1198</v>
      </c>
      <c r="D547">
        <v>100</v>
      </c>
      <c r="G547" t="s">
        <v>662</v>
      </c>
      <c r="H547">
        <v>22074</v>
      </c>
    </row>
    <row r="548" spans="1:8" x14ac:dyDescent="0.35">
      <c r="C548" t="s">
        <v>1198</v>
      </c>
      <c r="D548">
        <v>100</v>
      </c>
      <c r="G548" t="s">
        <v>686</v>
      </c>
      <c r="H548">
        <v>0</v>
      </c>
    </row>
    <row r="549" spans="1:8" x14ac:dyDescent="0.35">
      <c r="C549" t="s">
        <v>1198</v>
      </c>
      <c r="D549">
        <v>100</v>
      </c>
      <c r="G549" t="s">
        <v>666</v>
      </c>
      <c r="H549">
        <v>42</v>
      </c>
    </row>
    <row r="550" spans="1:8" x14ac:dyDescent="0.35">
      <c r="C550" t="s">
        <v>1243</v>
      </c>
      <c r="D550">
        <v>13</v>
      </c>
      <c r="G550" t="s">
        <v>650</v>
      </c>
      <c r="H550">
        <v>0</v>
      </c>
    </row>
    <row r="551" spans="1:8" x14ac:dyDescent="0.35">
      <c r="C551" t="s">
        <v>1243</v>
      </c>
      <c r="D551">
        <v>13</v>
      </c>
      <c r="G551" t="s">
        <v>651</v>
      </c>
      <c r="H551">
        <v>0</v>
      </c>
    </row>
    <row r="552" spans="1:8" x14ac:dyDescent="0.35">
      <c r="C552" t="s">
        <v>1200</v>
      </c>
      <c r="D552">
        <v>97</v>
      </c>
      <c r="G552" t="s">
        <v>708</v>
      </c>
      <c r="H552">
        <v>0</v>
      </c>
    </row>
    <row r="553" spans="1:8" x14ac:dyDescent="0.35">
      <c r="C553" t="s">
        <v>1204</v>
      </c>
      <c r="D553">
        <v>72</v>
      </c>
      <c r="G553" t="s">
        <v>744</v>
      </c>
      <c r="H553">
        <v>0</v>
      </c>
    </row>
    <row r="554" spans="1:8" x14ac:dyDescent="0.35">
      <c r="C554" t="s">
        <v>1204</v>
      </c>
      <c r="D554">
        <v>72</v>
      </c>
      <c r="G554" t="s">
        <v>746</v>
      </c>
      <c r="H554">
        <v>0</v>
      </c>
    </row>
    <row r="555" spans="1:8" x14ac:dyDescent="0.35">
      <c r="C555" t="s">
        <v>1204</v>
      </c>
      <c r="D555">
        <v>72</v>
      </c>
      <c r="G555" t="s">
        <v>742</v>
      </c>
      <c r="H555">
        <v>0</v>
      </c>
    </row>
    <row r="556" spans="1:8" x14ac:dyDescent="0.35">
      <c r="C556" t="s">
        <v>1246</v>
      </c>
      <c r="D556">
        <v>64</v>
      </c>
      <c r="G556" t="s">
        <v>781</v>
      </c>
      <c r="H556">
        <v>0</v>
      </c>
    </row>
    <row r="557" spans="1:8" x14ac:dyDescent="0.35">
      <c r="C557" t="s">
        <v>1246</v>
      </c>
      <c r="D557">
        <v>64</v>
      </c>
      <c r="G557" t="s">
        <v>770</v>
      </c>
      <c r="H557">
        <v>0</v>
      </c>
    </row>
    <row r="558" spans="1:8" x14ac:dyDescent="0.35">
      <c r="C558" t="s">
        <v>1209</v>
      </c>
      <c r="D558">
        <v>91</v>
      </c>
      <c r="G558" t="s">
        <v>783</v>
      </c>
      <c r="H558">
        <v>0</v>
      </c>
    </row>
    <row r="559" spans="1:8" x14ac:dyDescent="0.35">
      <c r="C559" t="s">
        <v>1209</v>
      </c>
      <c r="D559">
        <v>2</v>
      </c>
      <c r="G559" t="s">
        <v>780</v>
      </c>
      <c r="H559">
        <v>0</v>
      </c>
    </row>
    <row r="560" spans="1:8" x14ac:dyDescent="0.35">
      <c r="C560" t="s">
        <v>1209</v>
      </c>
      <c r="D560">
        <v>2</v>
      </c>
      <c r="G560" t="s">
        <v>783</v>
      </c>
      <c r="H560">
        <v>0</v>
      </c>
    </row>
    <row r="561" spans="3:8" x14ac:dyDescent="0.35">
      <c r="C561" t="s">
        <v>1209</v>
      </c>
      <c r="D561">
        <v>2</v>
      </c>
      <c r="G561" t="s">
        <v>790</v>
      </c>
      <c r="H561">
        <v>0</v>
      </c>
    </row>
    <row r="562" spans="3:8" x14ac:dyDescent="0.35">
      <c r="C562" t="s">
        <v>1209</v>
      </c>
      <c r="D562">
        <v>2</v>
      </c>
      <c r="G562" t="s">
        <v>775</v>
      </c>
      <c r="H562">
        <v>20969</v>
      </c>
    </row>
    <row r="563" spans="3:8" x14ac:dyDescent="0.35">
      <c r="C563" t="s">
        <v>1209</v>
      </c>
      <c r="D563">
        <v>91</v>
      </c>
      <c r="G563" t="s">
        <v>777</v>
      </c>
      <c r="H563">
        <v>0</v>
      </c>
    </row>
    <row r="564" spans="3:8" x14ac:dyDescent="0.35">
      <c r="C564" t="s">
        <v>1209</v>
      </c>
      <c r="D564">
        <v>2</v>
      </c>
      <c r="G564" t="s">
        <v>777</v>
      </c>
      <c r="H564">
        <v>0</v>
      </c>
    </row>
    <row r="565" spans="3:8" x14ac:dyDescent="0.35">
      <c r="C565" t="s">
        <v>1209</v>
      </c>
      <c r="D565">
        <v>91</v>
      </c>
      <c r="G565" t="s">
        <v>784</v>
      </c>
      <c r="H565">
        <v>0</v>
      </c>
    </row>
    <row r="566" spans="3:8" x14ac:dyDescent="0.35">
      <c r="C566" t="s">
        <v>1212</v>
      </c>
      <c r="D566">
        <v>16</v>
      </c>
      <c r="G566" t="s">
        <v>853</v>
      </c>
      <c r="H566">
        <v>0</v>
      </c>
    </row>
    <row r="567" spans="3:8" x14ac:dyDescent="0.35">
      <c r="C567" t="s">
        <v>1212</v>
      </c>
      <c r="D567">
        <v>16</v>
      </c>
      <c r="G567" t="s">
        <v>825</v>
      </c>
      <c r="H567">
        <v>2</v>
      </c>
    </row>
    <row r="568" spans="3:8" x14ac:dyDescent="0.35">
      <c r="C568" t="s">
        <v>1212</v>
      </c>
      <c r="D568">
        <v>16</v>
      </c>
      <c r="G568" t="s">
        <v>815</v>
      </c>
      <c r="H568">
        <v>0</v>
      </c>
    </row>
    <row r="569" spans="3:8" x14ac:dyDescent="0.35">
      <c r="C569" t="s">
        <v>1212</v>
      </c>
      <c r="D569">
        <v>16</v>
      </c>
      <c r="G569" t="s">
        <v>856</v>
      </c>
      <c r="H569">
        <v>0</v>
      </c>
    </row>
    <row r="570" spans="3:8" x14ac:dyDescent="0.35">
      <c r="C570" t="s">
        <v>1212</v>
      </c>
      <c r="D570">
        <v>16</v>
      </c>
      <c r="G570" t="s">
        <v>809</v>
      </c>
      <c r="H570">
        <v>0</v>
      </c>
    </row>
    <row r="571" spans="3:8" x14ac:dyDescent="0.35">
      <c r="C571" t="s">
        <v>1212</v>
      </c>
      <c r="D571">
        <v>16</v>
      </c>
      <c r="G571" t="s">
        <v>817</v>
      </c>
      <c r="H571">
        <v>2</v>
      </c>
    </row>
    <row r="572" spans="3:8" x14ac:dyDescent="0.35">
      <c r="C572" t="s">
        <v>1212</v>
      </c>
      <c r="D572">
        <v>16</v>
      </c>
      <c r="G572" t="s">
        <v>828</v>
      </c>
      <c r="H572">
        <v>2</v>
      </c>
    </row>
    <row r="573" spans="3:8" x14ac:dyDescent="0.35">
      <c r="C573" t="s">
        <v>1212</v>
      </c>
      <c r="D573">
        <v>16</v>
      </c>
      <c r="G573" t="s">
        <v>822</v>
      </c>
      <c r="H573">
        <v>2</v>
      </c>
    </row>
    <row r="574" spans="3:8" x14ac:dyDescent="0.35">
      <c r="C574" t="s">
        <v>1212</v>
      </c>
      <c r="D574">
        <v>16</v>
      </c>
      <c r="G574" t="s">
        <v>816</v>
      </c>
      <c r="H574">
        <v>2</v>
      </c>
    </row>
    <row r="575" spans="3:8" x14ac:dyDescent="0.35">
      <c r="C575" t="s">
        <v>1212</v>
      </c>
      <c r="D575">
        <v>16</v>
      </c>
      <c r="G575" t="s">
        <v>883</v>
      </c>
      <c r="H575">
        <v>0</v>
      </c>
    </row>
    <row r="576" spans="3:8" x14ac:dyDescent="0.35">
      <c r="C576" t="s">
        <v>1212</v>
      </c>
      <c r="D576">
        <v>16</v>
      </c>
      <c r="G576" t="s">
        <v>881</v>
      </c>
      <c r="H576">
        <v>0</v>
      </c>
    </row>
    <row r="577" spans="3:8" x14ac:dyDescent="0.35">
      <c r="C577" t="s">
        <v>1212</v>
      </c>
      <c r="D577">
        <v>16</v>
      </c>
      <c r="G577" t="s">
        <v>807</v>
      </c>
      <c r="H577">
        <v>116</v>
      </c>
    </row>
    <row r="578" spans="3:8" x14ac:dyDescent="0.35">
      <c r="C578" t="s">
        <v>1212</v>
      </c>
      <c r="D578">
        <v>16</v>
      </c>
      <c r="G578" t="s">
        <v>890</v>
      </c>
      <c r="H578">
        <v>0</v>
      </c>
    </row>
    <row r="579" spans="3:8" x14ac:dyDescent="0.35">
      <c r="C579" t="s">
        <v>1212</v>
      </c>
      <c r="D579">
        <v>16</v>
      </c>
      <c r="G579" t="s">
        <v>905</v>
      </c>
      <c r="H579">
        <v>0</v>
      </c>
    </row>
    <row r="580" spans="3:8" x14ac:dyDescent="0.35">
      <c r="C580" t="s">
        <v>1294</v>
      </c>
      <c r="D580">
        <v>26</v>
      </c>
      <c r="G580" t="s">
        <v>916</v>
      </c>
      <c r="H580">
        <v>0</v>
      </c>
    </row>
    <row r="581" spans="3:8" x14ac:dyDescent="0.35">
      <c r="C581" t="s">
        <v>1221</v>
      </c>
      <c r="D581">
        <v>63</v>
      </c>
      <c r="G581" t="s">
        <v>935</v>
      </c>
      <c r="H581">
        <v>0</v>
      </c>
    </row>
    <row r="582" spans="3:8" x14ac:dyDescent="0.35">
      <c r="C582" t="s">
        <v>1225</v>
      </c>
      <c r="D582">
        <v>90</v>
      </c>
      <c r="G582" t="s">
        <v>964</v>
      </c>
      <c r="H582">
        <v>0</v>
      </c>
    </row>
    <row r="583" spans="3:8" x14ac:dyDescent="0.35">
      <c r="C583" t="s">
        <v>1225</v>
      </c>
      <c r="D583">
        <v>90</v>
      </c>
      <c r="G583" t="s">
        <v>969</v>
      </c>
      <c r="H583">
        <v>0</v>
      </c>
    </row>
    <row r="584" spans="3:8" x14ac:dyDescent="0.35">
      <c r="C584" t="s">
        <v>1226</v>
      </c>
      <c r="D584">
        <v>37</v>
      </c>
      <c r="G584" t="s">
        <v>979</v>
      </c>
      <c r="H584">
        <v>0</v>
      </c>
    </row>
    <row r="585" spans="3:8" x14ac:dyDescent="0.35">
      <c r="C585" t="s">
        <v>1227</v>
      </c>
      <c r="D585">
        <v>39</v>
      </c>
      <c r="G585" t="s">
        <v>983</v>
      </c>
      <c r="H585">
        <v>1010576</v>
      </c>
    </row>
    <row r="586" spans="3:8" x14ac:dyDescent="0.35">
      <c r="C586" t="s">
        <v>1228</v>
      </c>
      <c r="D586">
        <v>15</v>
      </c>
      <c r="G586" t="s">
        <v>1030</v>
      </c>
      <c r="H586">
        <v>0</v>
      </c>
    </row>
    <row r="587" spans="3:8" x14ac:dyDescent="0.35">
      <c r="C587" t="s">
        <v>1228</v>
      </c>
      <c r="D587">
        <v>15</v>
      </c>
      <c r="G587" t="s">
        <v>1032</v>
      </c>
      <c r="H587">
        <v>0</v>
      </c>
    </row>
    <row r="588" spans="3:8" x14ac:dyDescent="0.35">
      <c r="C588" t="s">
        <v>1228</v>
      </c>
      <c r="D588">
        <v>15</v>
      </c>
      <c r="G588" t="s">
        <v>1034</v>
      </c>
      <c r="H588">
        <v>0</v>
      </c>
    </row>
    <row r="589" spans="3:8" x14ac:dyDescent="0.35">
      <c r="C589" t="s">
        <v>1228</v>
      </c>
      <c r="D589">
        <v>15</v>
      </c>
      <c r="G589" t="s">
        <v>1035</v>
      </c>
      <c r="H589">
        <v>0</v>
      </c>
    </row>
    <row r="590" spans="3:8" x14ac:dyDescent="0.35">
      <c r="C590" t="s">
        <v>1228</v>
      </c>
      <c r="D590">
        <v>15</v>
      </c>
      <c r="G590" t="s">
        <v>1004</v>
      </c>
      <c r="H590">
        <v>68663</v>
      </c>
    </row>
    <row r="591" spans="3:8" x14ac:dyDescent="0.35">
      <c r="C591" t="s">
        <v>1228</v>
      </c>
      <c r="D591">
        <v>15</v>
      </c>
      <c r="G591" t="s">
        <v>1044</v>
      </c>
      <c r="H591">
        <v>0</v>
      </c>
    </row>
    <row r="592" spans="3:8" x14ac:dyDescent="0.35">
      <c r="C592" t="s">
        <v>1228</v>
      </c>
      <c r="D592">
        <v>15</v>
      </c>
      <c r="G592" t="s">
        <v>1046</v>
      </c>
      <c r="H592">
        <v>0</v>
      </c>
    </row>
    <row r="593" spans="3:8" x14ac:dyDescent="0.35">
      <c r="C593" t="s">
        <v>1228</v>
      </c>
      <c r="D593">
        <v>15</v>
      </c>
      <c r="G593" t="s">
        <v>1050</v>
      </c>
      <c r="H593">
        <v>0</v>
      </c>
    </row>
    <row r="594" spans="3:8" x14ac:dyDescent="0.35">
      <c r="C594" t="s">
        <v>1228</v>
      </c>
      <c r="D594">
        <v>15</v>
      </c>
      <c r="G594" t="s">
        <v>1002</v>
      </c>
      <c r="H594">
        <v>9068</v>
      </c>
    </row>
    <row r="595" spans="3:8" x14ac:dyDescent="0.35">
      <c r="C595" t="s">
        <v>1228</v>
      </c>
      <c r="D595">
        <v>15</v>
      </c>
      <c r="G595" t="s">
        <v>1057</v>
      </c>
      <c r="H595">
        <v>0</v>
      </c>
    </row>
    <row r="596" spans="3:8" x14ac:dyDescent="0.35">
      <c r="C596" t="s">
        <v>1295</v>
      </c>
      <c r="D596">
        <v>44</v>
      </c>
      <c r="G596" t="s">
        <v>1064</v>
      </c>
      <c r="H596">
        <v>0</v>
      </c>
    </row>
    <row r="597" spans="3:8" x14ac:dyDescent="0.35">
      <c r="C597" t="s">
        <v>1228</v>
      </c>
      <c r="D597">
        <v>15</v>
      </c>
      <c r="G597" t="s">
        <v>1011</v>
      </c>
      <c r="H597">
        <v>0</v>
      </c>
    </row>
    <row r="598" spans="3:8" x14ac:dyDescent="0.35">
      <c r="C598" t="s">
        <v>1228</v>
      </c>
      <c r="D598">
        <v>15</v>
      </c>
      <c r="G598" t="s">
        <v>1016</v>
      </c>
      <c r="H598">
        <v>0</v>
      </c>
    </row>
    <row r="599" spans="3:8" x14ac:dyDescent="0.35">
      <c r="C599" t="s">
        <v>1296</v>
      </c>
      <c r="D599">
        <v>67</v>
      </c>
      <c r="G599" t="s">
        <v>1071</v>
      </c>
      <c r="H599">
        <v>0</v>
      </c>
    </row>
    <row r="600" spans="3:8" x14ac:dyDescent="0.35">
      <c r="C600" t="s">
        <v>1297</v>
      </c>
      <c r="D600">
        <v>61</v>
      </c>
      <c r="G600" t="s">
        <v>1075</v>
      </c>
      <c r="H600">
        <v>0</v>
      </c>
    </row>
    <row r="601" spans="3:8" x14ac:dyDescent="0.35">
      <c r="C601" t="s">
        <v>1231</v>
      </c>
      <c r="D601">
        <v>14</v>
      </c>
      <c r="G601" t="s">
        <v>1092</v>
      </c>
      <c r="H601">
        <v>2043</v>
      </c>
    </row>
    <row r="602" spans="3:8" x14ac:dyDescent="0.35">
      <c r="C602" t="s">
        <v>1231</v>
      </c>
      <c r="D602">
        <v>14</v>
      </c>
      <c r="G602" t="s">
        <v>1093</v>
      </c>
      <c r="H602">
        <v>4129</v>
      </c>
    </row>
    <row r="603" spans="3:8" x14ac:dyDescent="0.35">
      <c r="C603" t="s">
        <v>1231</v>
      </c>
      <c r="D603">
        <v>14</v>
      </c>
      <c r="G603" t="s">
        <v>1087</v>
      </c>
      <c r="H603">
        <v>0</v>
      </c>
    </row>
    <row r="604" spans="3:8" x14ac:dyDescent="0.35">
      <c r="C604" t="s">
        <v>1231</v>
      </c>
      <c r="D604">
        <v>14</v>
      </c>
      <c r="G604" t="s">
        <v>1085</v>
      </c>
      <c r="H604">
        <v>2041</v>
      </c>
    </row>
    <row r="605" spans="3:8" x14ac:dyDescent="0.35">
      <c r="C605" t="s">
        <v>1232</v>
      </c>
      <c r="D605">
        <v>62</v>
      </c>
      <c r="G605" t="s">
        <v>1097</v>
      </c>
      <c r="H605">
        <v>0</v>
      </c>
    </row>
    <row r="606" spans="3:8" x14ac:dyDescent="0.35">
      <c r="C606" t="s">
        <v>1274</v>
      </c>
      <c r="D606">
        <v>81</v>
      </c>
      <c r="G606" t="s">
        <v>1109</v>
      </c>
      <c r="H606">
        <v>0</v>
      </c>
    </row>
    <row r="607" spans="3:8" x14ac:dyDescent="0.35">
      <c r="C607" t="s">
        <v>1233</v>
      </c>
      <c r="D607">
        <v>66</v>
      </c>
      <c r="G607" t="s">
        <v>1114</v>
      </c>
      <c r="H607">
        <v>0</v>
      </c>
    </row>
    <row r="608" spans="3:8" x14ac:dyDescent="0.35">
      <c r="C608" t="s">
        <v>1234</v>
      </c>
      <c r="D608">
        <v>12</v>
      </c>
      <c r="G608" t="s">
        <v>1127</v>
      </c>
      <c r="H608">
        <v>0</v>
      </c>
    </row>
    <row r="609" spans="3:8" x14ac:dyDescent="0.35">
      <c r="C609" t="s">
        <v>1234</v>
      </c>
      <c r="D609">
        <v>12</v>
      </c>
      <c r="G609" t="s">
        <v>1128</v>
      </c>
      <c r="H609">
        <v>0</v>
      </c>
    </row>
    <row r="610" spans="3:8" x14ac:dyDescent="0.35">
      <c r="C610" t="s">
        <v>1254</v>
      </c>
      <c r="D610">
        <v>56</v>
      </c>
      <c r="G610" t="s">
        <v>1131</v>
      </c>
      <c r="H610">
        <v>0</v>
      </c>
    </row>
    <row r="611" spans="3:8" x14ac:dyDescent="0.35">
      <c r="C611" t="s">
        <v>1254</v>
      </c>
      <c r="D611">
        <v>56</v>
      </c>
      <c r="G611" t="s">
        <v>1132</v>
      </c>
      <c r="H611">
        <v>0</v>
      </c>
    </row>
    <row r="612" spans="3:8" x14ac:dyDescent="0.35">
      <c r="C612" t="s">
        <v>1235</v>
      </c>
      <c r="D612">
        <v>11</v>
      </c>
      <c r="G612" t="s">
        <v>1141</v>
      </c>
      <c r="H612">
        <v>640</v>
      </c>
    </row>
    <row r="613" spans="3:8" x14ac:dyDescent="0.35">
      <c r="C613" t="s">
        <v>1236</v>
      </c>
      <c r="D613">
        <v>10</v>
      </c>
      <c r="G613" t="s">
        <v>1164</v>
      </c>
      <c r="H613">
        <v>0</v>
      </c>
    </row>
    <row r="614" spans="3:8" x14ac:dyDescent="0.35">
      <c r="C614" t="s">
        <v>1236</v>
      </c>
      <c r="D614">
        <v>10</v>
      </c>
      <c r="G614" t="s">
        <v>1174</v>
      </c>
      <c r="H614">
        <v>0</v>
      </c>
    </row>
    <row r="615" spans="3:8" x14ac:dyDescent="0.35">
      <c r="C615" t="s">
        <v>1236</v>
      </c>
      <c r="D615">
        <v>10</v>
      </c>
      <c r="G615" t="s">
        <v>1153</v>
      </c>
      <c r="H615">
        <v>0</v>
      </c>
    </row>
    <row r="616" spans="3:8" x14ac:dyDescent="0.35">
      <c r="C616" t="s">
        <v>1237</v>
      </c>
      <c r="D616">
        <v>55</v>
      </c>
      <c r="G616" t="s">
        <v>1179</v>
      </c>
      <c r="H616">
        <v>0</v>
      </c>
    </row>
    <row r="617" spans="3:8" x14ac:dyDescent="0.35">
      <c r="C617" t="s">
        <v>1287</v>
      </c>
      <c r="D617">
        <v>65</v>
      </c>
      <c r="G617" t="s">
        <v>1183</v>
      </c>
      <c r="H61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Generic 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Anandmohan</dc:creator>
  <cp:lastModifiedBy>Singh, Anandmohan</cp:lastModifiedBy>
  <dcterms:created xsi:type="dcterms:W3CDTF">2026-01-09T06:46:51Z</dcterms:created>
  <dcterms:modified xsi:type="dcterms:W3CDTF">2026-01-12T07:03:21Z</dcterms:modified>
</cp:coreProperties>
</file>