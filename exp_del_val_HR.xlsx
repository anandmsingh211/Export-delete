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anandmohan_singh_capgemini_com/Documents/Desktop/Export Delete/"/>
    </mc:Choice>
  </mc:AlternateContent>
  <xr:revisionPtr revIDLastSave="114" documentId="8_{D6029239-8FE4-4212-A79B-EA11D31DA99F}" xr6:coauthVersionLast="47" xr6:coauthVersionMax="47" xr10:uidLastSave="{C9C71DF1-9EA1-4EB7-93D9-FAF204C88157}"/>
  <bookViews>
    <workbookView xWindow="-110" yWindow="-110" windowWidth="19420" windowHeight="10300" activeTab="1" xr2:uid="{BAE4E513-24C2-46D9-B5F7-1EEC0DDC8E15}"/>
  </bookViews>
  <sheets>
    <sheet name="Sheet1" sheetId="1" r:id="rId1"/>
    <sheet name="Generic 2" sheetId="3" r:id="rId2"/>
    <sheet name="Sheet2" sheetId="2" r:id="rId3"/>
    <sheet name="Sheet4" sheetId="4" r:id="rId4"/>
  </sheets>
  <definedNames>
    <definedName name="_xlnm._FilterDatabase" localSheetId="1" hidden="1">'Generic 2'!$D$1:$I$369</definedName>
    <definedName name="_xlnm._FilterDatabase" localSheetId="0" hidden="1">Sheet1!$I$1:$J$359</definedName>
    <definedName name="_xlnm._FilterDatabase" localSheetId="3" hidden="1">Sheet4!$C$2:$C$367</definedName>
  </definedNames>
  <calcPr calcId="191029"/>
  <pivotCaches>
    <pivotCache cacheId="16" r:id="rId5"/>
    <pivotCache cacheId="17" r:id="rId6"/>
    <pivotCache cacheId="18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I3" i="3" s="1"/>
  <c r="H4" i="3"/>
  <c r="I4" i="3" s="1"/>
  <c r="H5" i="3"/>
  <c r="I5" i="3" s="1"/>
  <c r="H6" i="3"/>
  <c r="I6" i="3" s="1"/>
  <c r="H7" i="3"/>
  <c r="I7" i="3" s="1"/>
  <c r="H8" i="3"/>
  <c r="I8" i="3" s="1"/>
  <c r="H9" i="3"/>
  <c r="I9" i="3" s="1"/>
  <c r="H10" i="3"/>
  <c r="I10" i="3" s="1"/>
  <c r="H11" i="3"/>
  <c r="I11" i="3" s="1"/>
  <c r="H12" i="3"/>
  <c r="I12" i="3" s="1"/>
  <c r="H13" i="3"/>
  <c r="I13" i="3" s="1"/>
  <c r="H14" i="3"/>
  <c r="I14" i="3" s="1"/>
  <c r="H15" i="3"/>
  <c r="I15" i="3" s="1"/>
  <c r="H16" i="3"/>
  <c r="I16" i="3" s="1"/>
  <c r="H17" i="3"/>
  <c r="I17" i="3" s="1"/>
  <c r="H18" i="3"/>
  <c r="I18" i="3" s="1"/>
  <c r="H19" i="3"/>
  <c r="I19" i="3" s="1"/>
  <c r="H20" i="3"/>
  <c r="I20" i="3" s="1"/>
  <c r="H21" i="3"/>
  <c r="I21" i="3" s="1"/>
  <c r="H22" i="3"/>
  <c r="I22" i="3" s="1"/>
  <c r="H23" i="3"/>
  <c r="I23" i="3" s="1"/>
  <c r="H24" i="3"/>
  <c r="I24" i="3" s="1"/>
  <c r="H25" i="3"/>
  <c r="I25" i="3" s="1"/>
  <c r="H26" i="3"/>
  <c r="I26" i="3" s="1"/>
  <c r="H27" i="3"/>
  <c r="I27" i="3" s="1"/>
  <c r="H28" i="3"/>
  <c r="I28" i="3" s="1"/>
  <c r="H29" i="3"/>
  <c r="I29" i="3" s="1"/>
  <c r="H30" i="3"/>
  <c r="I30" i="3" s="1"/>
  <c r="H31" i="3"/>
  <c r="I31" i="3" s="1"/>
  <c r="H32" i="3"/>
  <c r="I32" i="3" s="1"/>
  <c r="H33" i="3"/>
  <c r="I33" i="3" s="1"/>
  <c r="H34" i="3"/>
  <c r="I34" i="3" s="1"/>
  <c r="H35" i="3"/>
  <c r="I35" i="3" s="1"/>
  <c r="H36" i="3"/>
  <c r="I36" i="3" s="1"/>
  <c r="H37" i="3"/>
  <c r="I37" i="3" s="1"/>
  <c r="H38" i="3"/>
  <c r="I38" i="3" s="1"/>
  <c r="H39" i="3"/>
  <c r="I39" i="3" s="1"/>
  <c r="H40" i="3"/>
  <c r="I40" i="3" s="1"/>
  <c r="H41" i="3"/>
  <c r="I41" i="3" s="1"/>
  <c r="H42" i="3"/>
  <c r="I42" i="3" s="1"/>
  <c r="H43" i="3"/>
  <c r="I43" i="3" s="1"/>
  <c r="H44" i="3"/>
  <c r="I44" i="3" s="1"/>
  <c r="H45" i="3"/>
  <c r="I45" i="3" s="1"/>
  <c r="H46" i="3"/>
  <c r="I46" i="3" s="1"/>
  <c r="H47" i="3"/>
  <c r="I47" i="3" s="1"/>
  <c r="H48" i="3"/>
  <c r="I48" i="3" s="1"/>
  <c r="H49" i="3"/>
  <c r="I49" i="3" s="1"/>
  <c r="H50" i="3"/>
  <c r="I50" i="3" s="1"/>
  <c r="H51" i="3"/>
  <c r="I51" i="3" s="1"/>
  <c r="H52" i="3"/>
  <c r="I52" i="3" s="1"/>
  <c r="H53" i="3"/>
  <c r="I53" i="3" s="1"/>
  <c r="H54" i="3"/>
  <c r="I54" i="3" s="1"/>
  <c r="H55" i="3"/>
  <c r="I55" i="3" s="1"/>
  <c r="H56" i="3"/>
  <c r="I56" i="3" s="1"/>
  <c r="H57" i="3"/>
  <c r="I57" i="3" s="1"/>
  <c r="H58" i="3"/>
  <c r="I58" i="3" s="1"/>
  <c r="H59" i="3"/>
  <c r="I59" i="3" s="1"/>
  <c r="H60" i="3"/>
  <c r="I60" i="3" s="1"/>
  <c r="H61" i="3"/>
  <c r="I61" i="3" s="1"/>
  <c r="H62" i="3"/>
  <c r="I62" i="3" s="1"/>
  <c r="H63" i="3"/>
  <c r="I63" i="3" s="1"/>
  <c r="H64" i="3"/>
  <c r="I64" i="3" s="1"/>
  <c r="H65" i="3"/>
  <c r="I65" i="3" s="1"/>
  <c r="H66" i="3"/>
  <c r="I66" i="3" s="1"/>
  <c r="H67" i="3"/>
  <c r="I67" i="3" s="1"/>
  <c r="H68" i="3"/>
  <c r="I68" i="3" s="1"/>
  <c r="H69" i="3"/>
  <c r="I69" i="3" s="1"/>
  <c r="H70" i="3"/>
  <c r="I70" i="3" s="1"/>
  <c r="H71" i="3"/>
  <c r="I71" i="3" s="1"/>
  <c r="H72" i="3"/>
  <c r="I72" i="3" s="1"/>
  <c r="H73" i="3"/>
  <c r="I73" i="3" s="1"/>
  <c r="H74" i="3"/>
  <c r="I74" i="3" s="1"/>
  <c r="H75" i="3"/>
  <c r="I75" i="3" s="1"/>
  <c r="H76" i="3"/>
  <c r="I76" i="3" s="1"/>
  <c r="H77" i="3"/>
  <c r="I77" i="3" s="1"/>
  <c r="H78" i="3"/>
  <c r="I78" i="3" s="1"/>
  <c r="H79" i="3"/>
  <c r="I79" i="3" s="1"/>
  <c r="H80" i="3"/>
  <c r="I80" i="3" s="1"/>
  <c r="H81" i="3"/>
  <c r="I81" i="3" s="1"/>
  <c r="H82" i="3"/>
  <c r="I82" i="3" s="1"/>
  <c r="H83" i="3"/>
  <c r="I83" i="3" s="1"/>
  <c r="H84" i="3"/>
  <c r="I84" i="3" s="1"/>
  <c r="H85" i="3"/>
  <c r="I85" i="3" s="1"/>
  <c r="H86" i="3"/>
  <c r="I86" i="3" s="1"/>
  <c r="H87" i="3"/>
  <c r="I87" i="3" s="1"/>
  <c r="H88" i="3"/>
  <c r="I88" i="3" s="1"/>
  <c r="H89" i="3"/>
  <c r="I89" i="3" s="1"/>
  <c r="H90" i="3"/>
  <c r="I90" i="3" s="1"/>
  <c r="H91" i="3"/>
  <c r="I91" i="3" s="1"/>
  <c r="H92" i="3"/>
  <c r="I92" i="3" s="1"/>
  <c r="H93" i="3"/>
  <c r="I93" i="3" s="1"/>
  <c r="H94" i="3"/>
  <c r="I94" i="3" s="1"/>
  <c r="H95" i="3"/>
  <c r="I95" i="3" s="1"/>
  <c r="H96" i="3"/>
  <c r="I96" i="3" s="1"/>
  <c r="H97" i="3"/>
  <c r="I97" i="3" s="1"/>
  <c r="H98" i="3"/>
  <c r="I98" i="3" s="1"/>
  <c r="H99" i="3"/>
  <c r="I99" i="3" s="1"/>
  <c r="H100" i="3"/>
  <c r="I100" i="3" s="1"/>
  <c r="H101" i="3"/>
  <c r="I101" i="3" s="1"/>
  <c r="H102" i="3"/>
  <c r="I102" i="3" s="1"/>
  <c r="H103" i="3"/>
  <c r="I103" i="3" s="1"/>
  <c r="H104" i="3"/>
  <c r="I104" i="3" s="1"/>
  <c r="H105" i="3"/>
  <c r="I105" i="3" s="1"/>
  <c r="H106" i="3"/>
  <c r="I106" i="3" s="1"/>
  <c r="H107" i="3"/>
  <c r="I107" i="3" s="1"/>
  <c r="H108" i="3"/>
  <c r="I108" i="3" s="1"/>
  <c r="H109" i="3"/>
  <c r="I109" i="3" s="1"/>
  <c r="H110" i="3"/>
  <c r="I110" i="3" s="1"/>
  <c r="H111" i="3"/>
  <c r="I111" i="3" s="1"/>
  <c r="H112" i="3"/>
  <c r="I112" i="3" s="1"/>
  <c r="H113" i="3"/>
  <c r="I113" i="3" s="1"/>
  <c r="H114" i="3"/>
  <c r="I114" i="3" s="1"/>
  <c r="H115" i="3"/>
  <c r="I115" i="3" s="1"/>
  <c r="H116" i="3"/>
  <c r="I116" i="3" s="1"/>
  <c r="H117" i="3"/>
  <c r="I117" i="3" s="1"/>
  <c r="H118" i="3"/>
  <c r="I118" i="3" s="1"/>
  <c r="H119" i="3"/>
  <c r="I119" i="3" s="1"/>
  <c r="H120" i="3"/>
  <c r="I120" i="3" s="1"/>
  <c r="H121" i="3"/>
  <c r="I121" i="3" s="1"/>
  <c r="H122" i="3"/>
  <c r="I122" i="3" s="1"/>
  <c r="H123" i="3"/>
  <c r="I123" i="3" s="1"/>
  <c r="H124" i="3"/>
  <c r="I124" i="3" s="1"/>
  <c r="H125" i="3"/>
  <c r="I125" i="3" s="1"/>
  <c r="H126" i="3"/>
  <c r="I126" i="3" s="1"/>
  <c r="H127" i="3"/>
  <c r="I127" i="3" s="1"/>
  <c r="H128" i="3"/>
  <c r="I128" i="3" s="1"/>
  <c r="H129" i="3"/>
  <c r="I129" i="3" s="1"/>
  <c r="H130" i="3"/>
  <c r="I130" i="3" s="1"/>
  <c r="H131" i="3"/>
  <c r="I131" i="3" s="1"/>
  <c r="H132" i="3"/>
  <c r="I132" i="3" s="1"/>
  <c r="H133" i="3"/>
  <c r="I133" i="3" s="1"/>
  <c r="H134" i="3"/>
  <c r="I134" i="3" s="1"/>
  <c r="H135" i="3"/>
  <c r="I135" i="3" s="1"/>
  <c r="H136" i="3"/>
  <c r="I136" i="3" s="1"/>
  <c r="H137" i="3"/>
  <c r="I137" i="3" s="1"/>
  <c r="H138" i="3"/>
  <c r="I138" i="3" s="1"/>
  <c r="H139" i="3"/>
  <c r="I139" i="3" s="1"/>
  <c r="H140" i="3"/>
  <c r="I140" i="3" s="1"/>
  <c r="H141" i="3"/>
  <c r="I141" i="3" s="1"/>
  <c r="H142" i="3"/>
  <c r="I142" i="3" s="1"/>
  <c r="H143" i="3"/>
  <c r="I143" i="3" s="1"/>
  <c r="H144" i="3"/>
  <c r="I144" i="3" s="1"/>
  <c r="H145" i="3"/>
  <c r="I145" i="3" s="1"/>
  <c r="H146" i="3"/>
  <c r="I146" i="3" s="1"/>
  <c r="H147" i="3"/>
  <c r="I147" i="3" s="1"/>
  <c r="H148" i="3"/>
  <c r="I148" i="3" s="1"/>
  <c r="H149" i="3"/>
  <c r="I149" i="3" s="1"/>
  <c r="H150" i="3"/>
  <c r="I150" i="3" s="1"/>
  <c r="H151" i="3"/>
  <c r="I151" i="3" s="1"/>
  <c r="H152" i="3"/>
  <c r="I152" i="3" s="1"/>
  <c r="H153" i="3"/>
  <c r="I153" i="3" s="1"/>
  <c r="H154" i="3"/>
  <c r="I154" i="3" s="1"/>
  <c r="H155" i="3"/>
  <c r="I155" i="3" s="1"/>
  <c r="H156" i="3"/>
  <c r="I156" i="3" s="1"/>
  <c r="H157" i="3"/>
  <c r="I157" i="3" s="1"/>
  <c r="H158" i="3"/>
  <c r="I158" i="3" s="1"/>
  <c r="H159" i="3"/>
  <c r="I159" i="3" s="1"/>
  <c r="H160" i="3"/>
  <c r="I160" i="3" s="1"/>
  <c r="H161" i="3"/>
  <c r="I161" i="3" s="1"/>
  <c r="H162" i="3"/>
  <c r="I162" i="3" s="1"/>
  <c r="H163" i="3"/>
  <c r="I163" i="3" s="1"/>
  <c r="H164" i="3"/>
  <c r="I164" i="3" s="1"/>
  <c r="H165" i="3"/>
  <c r="I165" i="3" s="1"/>
  <c r="H166" i="3"/>
  <c r="I166" i="3" s="1"/>
  <c r="H167" i="3"/>
  <c r="I167" i="3" s="1"/>
  <c r="H168" i="3"/>
  <c r="I168" i="3" s="1"/>
  <c r="H169" i="3"/>
  <c r="I169" i="3" s="1"/>
  <c r="H170" i="3"/>
  <c r="I170" i="3" s="1"/>
  <c r="H171" i="3"/>
  <c r="I171" i="3" s="1"/>
  <c r="H172" i="3"/>
  <c r="I172" i="3" s="1"/>
  <c r="H173" i="3"/>
  <c r="I173" i="3" s="1"/>
  <c r="H174" i="3"/>
  <c r="I174" i="3" s="1"/>
  <c r="H175" i="3"/>
  <c r="I175" i="3" s="1"/>
  <c r="H176" i="3"/>
  <c r="I176" i="3" s="1"/>
  <c r="H177" i="3"/>
  <c r="I177" i="3" s="1"/>
  <c r="H178" i="3"/>
  <c r="I178" i="3" s="1"/>
  <c r="H179" i="3"/>
  <c r="I179" i="3" s="1"/>
  <c r="H180" i="3"/>
  <c r="I180" i="3" s="1"/>
  <c r="H181" i="3"/>
  <c r="I181" i="3" s="1"/>
  <c r="H182" i="3"/>
  <c r="I182" i="3" s="1"/>
  <c r="H183" i="3"/>
  <c r="I183" i="3" s="1"/>
  <c r="H184" i="3"/>
  <c r="I184" i="3" s="1"/>
  <c r="H185" i="3"/>
  <c r="I185" i="3" s="1"/>
  <c r="H186" i="3"/>
  <c r="I186" i="3" s="1"/>
  <c r="H187" i="3"/>
  <c r="I187" i="3" s="1"/>
  <c r="H188" i="3"/>
  <c r="I188" i="3" s="1"/>
  <c r="H189" i="3"/>
  <c r="I189" i="3" s="1"/>
  <c r="H190" i="3"/>
  <c r="I190" i="3" s="1"/>
  <c r="H191" i="3"/>
  <c r="I191" i="3" s="1"/>
  <c r="H192" i="3"/>
  <c r="I192" i="3" s="1"/>
  <c r="H193" i="3"/>
  <c r="I193" i="3" s="1"/>
  <c r="H194" i="3"/>
  <c r="I194" i="3" s="1"/>
  <c r="H195" i="3"/>
  <c r="I195" i="3" s="1"/>
  <c r="H196" i="3"/>
  <c r="I196" i="3" s="1"/>
  <c r="H197" i="3"/>
  <c r="I197" i="3" s="1"/>
  <c r="H198" i="3"/>
  <c r="I198" i="3" s="1"/>
  <c r="H199" i="3"/>
  <c r="I199" i="3" s="1"/>
  <c r="H200" i="3"/>
  <c r="I200" i="3" s="1"/>
  <c r="H201" i="3"/>
  <c r="I201" i="3" s="1"/>
  <c r="H202" i="3"/>
  <c r="I202" i="3" s="1"/>
  <c r="H203" i="3"/>
  <c r="I203" i="3" s="1"/>
  <c r="H204" i="3"/>
  <c r="I204" i="3" s="1"/>
  <c r="H205" i="3"/>
  <c r="I205" i="3" s="1"/>
  <c r="H206" i="3"/>
  <c r="I206" i="3" s="1"/>
  <c r="H207" i="3"/>
  <c r="I207" i="3" s="1"/>
  <c r="H208" i="3"/>
  <c r="I208" i="3" s="1"/>
  <c r="H209" i="3"/>
  <c r="I209" i="3" s="1"/>
  <c r="H210" i="3"/>
  <c r="I210" i="3" s="1"/>
  <c r="H211" i="3"/>
  <c r="I211" i="3" s="1"/>
  <c r="H212" i="3"/>
  <c r="I212" i="3" s="1"/>
  <c r="H213" i="3"/>
  <c r="I213" i="3" s="1"/>
  <c r="H214" i="3"/>
  <c r="I214" i="3" s="1"/>
  <c r="H215" i="3"/>
  <c r="I215" i="3" s="1"/>
  <c r="H216" i="3"/>
  <c r="I216" i="3" s="1"/>
  <c r="H217" i="3"/>
  <c r="I217" i="3" s="1"/>
  <c r="H218" i="3"/>
  <c r="I218" i="3" s="1"/>
  <c r="H219" i="3"/>
  <c r="I219" i="3" s="1"/>
  <c r="H220" i="3"/>
  <c r="I220" i="3" s="1"/>
  <c r="H221" i="3"/>
  <c r="I221" i="3" s="1"/>
  <c r="H222" i="3"/>
  <c r="I222" i="3" s="1"/>
  <c r="H223" i="3"/>
  <c r="I223" i="3" s="1"/>
  <c r="H224" i="3"/>
  <c r="I224" i="3" s="1"/>
  <c r="H225" i="3"/>
  <c r="I225" i="3" s="1"/>
  <c r="H226" i="3"/>
  <c r="I226" i="3" s="1"/>
  <c r="H227" i="3"/>
  <c r="I227" i="3" s="1"/>
  <c r="H228" i="3"/>
  <c r="I228" i="3" s="1"/>
  <c r="H229" i="3"/>
  <c r="I229" i="3" s="1"/>
  <c r="H230" i="3"/>
  <c r="I230" i="3" s="1"/>
  <c r="H231" i="3"/>
  <c r="I231" i="3" s="1"/>
  <c r="H232" i="3"/>
  <c r="I232" i="3" s="1"/>
  <c r="H233" i="3"/>
  <c r="I233" i="3" s="1"/>
  <c r="H234" i="3"/>
  <c r="I234" i="3" s="1"/>
  <c r="H235" i="3"/>
  <c r="I235" i="3" s="1"/>
  <c r="H236" i="3"/>
  <c r="I236" i="3" s="1"/>
  <c r="H237" i="3"/>
  <c r="I237" i="3" s="1"/>
  <c r="H238" i="3"/>
  <c r="I238" i="3" s="1"/>
  <c r="H239" i="3"/>
  <c r="I239" i="3" s="1"/>
  <c r="H240" i="3"/>
  <c r="I240" i="3" s="1"/>
  <c r="H241" i="3"/>
  <c r="I241" i="3" s="1"/>
  <c r="H242" i="3"/>
  <c r="I242" i="3" s="1"/>
  <c r="H243" i="3"/>
  <c r="I243" i="3" s="1"/>
  <c r="H244" i="3"/>
  <c r="I244" i="3" s="1"/>
  <c r="H245" i="3"/>
  <c r="I245" i="3" s="1"/>
  <c r="H246" i="3"/>
  <c r="I246" i="3" s="1"/>
  <c r="H247" i="3"/>
  <c r="I247" i="3" s="1"/>
  <c r="H248" i="3"/>
  <c r="I248" i="3" s="1"/>
  <c r="H249" i="3"/>
  <c r="I249" i="3" s="1"/>
  <c r="H250" i="3"/>
  <c r="I250" i="3" s="1"/>
  <c r="H251" i="3"/>
  <c r="I251" i="3" s="1"/>
  <c r="H252" i="3"/>
  <c r="I252" i="3" s="1"/>
  <c r="H253" i="3"/>
  <c r="I253" i="3" s="1"/>
  <c r="H254" i="3"/>
  <c r="I254" i="3" s="1"/>
  <c r="H255" i="3"/>
  <c r="I255" i="3" s="1"/>
  <c r="H256" i="3"/>
  <c r="I256" i="3" s="1"/>
  <c r="H257" i="3"/>
  <c r="I257" i="3" s="1"/>
  <c r="H258" i="3"/>
  <c r="I258" i="3" s="1"/>
  <c r="H259" i="3"/>
  <c r="I259" i="3" s="1"/>
  <c r="H260" i="3"/>
  <c r="I260" i="3" s="1"/>
  <c r="H261" i="3"/>
  <c r="I261" i="3" s="1"/>
  <c r="H262" i="3"/>
  <c r="I262" i="3" s="1"/>
  <c r="H263" i="3"/>
  <c r="I263" i="3" s="1"/>
  <c r="H264" i="3"/>
  <c r="I264" i="3" s="1"/>
  <c r="H265" i="3"/>
  <c r="I265" i="3" s="1"/>
  <c r="H266" i="3"/>
  <c r="I266" i="3" s="1"/>
  <c r="H267" i="3"/>
  <c r="I267" i="3" s="1"/>
  <c r="H268" i="3"/>
  <c r="I268" i="3" s="1"/>
  <c r="H269" i="3"/>
  <c r="I269" i="3" s="1"/>
  <c r="H270" i="3"/>
  <c r="I270" i="3" s="1"/>
  <c r="H271" i="3"/>
  <c r="I271" i="3" s="1"/>
  <c r="H272" i="3"/>
  <c r="I272" i="3" s="1"/>
  <c r="H273" i="3"/>
  <c r="I273" i="3" s="1"/>
  <c r="H274" i="3"/>
  <c r="I274" i="3" s="1"/>
  <c r="H275" i="3"/>
  <c r="I275" i="3" s="1"/>
  <c r="H276" i="3"/>
  <c r="I276" i="3" s="1"/>
  <c r="H277" i="3"/>
  <c r="I277" i="3" s="1"/>
  <c r="H278" i="3"/>
  <c r="I278" i="3" s="1"/>
  <c r="H279" i="3"/>
  <c r="I279" i="3" s="1"/>
  <c r="H280" i="3"/>
  <c r="I280" i="3" s="1"/>
  <c r="H281" i="3"/>
  <c r="I281" i="3" s="1"/>
  <c r="H282" i="3"/>
  <c r="I282" i="3" s="1"/>
  <c r="H283" i="3"/>
  <c r="I283" i="3" s="1"/>
  <c r="H284" i="3"/>
  <c r="I284" i="3" s="1"/>
  <c r="H285" i="3"/>
  <c r="I285" i="3" s="1"/>
  <c r="H286" i="3"/>
  <c r="I286" i="3" s="1"/>
  <c r="H287" i="3"/>
  <c r="I287" i="3" s="1"/>
  <c r="H288" i="3"/>
  <c r="I288" i="3" s="1"/>
  <c r="H289" i="3"/>
  <c r="I289" i="3" s="1"/>
  <c r="H290" i="3"/>
  <c r="I290" i="3" s="1"/>
  <c r="H291" i="3"/>
  <c r="I291" i="3" s="1"/>
  <c r="H292" i="3"/>
  <c r="I292" i="3" s="1"/>
  <c r="H293" i="3"/>
  <c r="I293" i="3" s="1"/>
  <c r="H294" i="3"/>
  <c r="I294" i="3" s="1"/>
  <c r="H295" i="3"/>
  <c r="I295" i="3" s="1"/>
  <c r="H296" i="3"/>
  <c r="I296" i="3" s="1"/>
  <c r="H297" i="3"/>
  <c r="I297" i="3" s="1"/>
  <c r="H298" i="3"/>
  <c r="I298" i="3" s="1"/>
  <c r="H299" i="3"/>
  <c r="I299" i="3" s="1"/>
  <c r="H300" i="3"/>
  <c r="I300" i="3" s="1"/>
  <c r="H301" i="3"/>
  <c r="I301" i="3" s="1"/>
  <c r="H302" i="3"/>
  <c r="I302" i="3" s="1"/>
  <c r="H303" i="3"/>
  <c r="I303" i="3" s="1"/>
  <c r="H304" i="3"/>
  <c r="I304" i="3" s="1"/>
  <c r="H305" i="3"/>
  <c r="I305" i="3" s="1"/>
  <c r="H306" i="3"/>
  <c r="I306" i="3" s="1"/>
  <c r="H307" i="3"/>
  <c r="I307" i="3" s="1"/>
  <c r="H308" i="3"/>
  <c r="I308" i="3" s="1"/>
  <c r="H309" i="3"/>
  <c r="I309" i="3" s="1"/>
  <c r="H310" i="3"/>
  <c r="I310" i="3" s="1"/>
  <c r="H311" i="3"/>
  <c r="I311" i="3" s="1"/>
  <c r="H312" i="3"/>
  <c r="I312" i="3" s="1"/>
  <c r="H313" i="3"/>
  <c r="I313" i="3" s="1"/>
  <c r="H314" i="3"/>
  <c r="I314" i="3" s="1"/>
  <c r="H315" i="3"/>
  <c r="I315" i="3" s="1"/>
  <c r="H316" i="3"/>
  <c r="I316" i="3" s="1"/>
  <c r="H317" i="3"/>
  <c r="I317" i="3" s="1"/>
  <c r="H318" i="3"/>
  <c r="I318" i="3" s="1"/>
  <c r="H319" i="3"/>
  <c r="I319" i="3" s="1"/>
  <c r="H320" i="3"/>
  <c r="I320" i="3" s="1"/>
  <c r="H321" i="3"/>
  <c r="I321" i="3" s="1"/>
  <c r="H322" i="3"/>
  <c r="I322" i="3" s="1"/>
  <c r="H323" i="3"/>
  <c r="I323" i="3" s="1"/>
  <c r="H324" i="3"/>
  <c r="I324" i="3" s="1"/>
  <c r="H325" i="3"/>
  <c r="I325" i="3" s="1"/>
  <c r="H326" i="3"/>
  <c r="I326" i="3" s="1"/>
  <c r="H327" i="3"/>
  <c r="I327" i="3" s="1"/>
  <c r="H328" i="3"/>
  <c r="I328" i="3" s="1"/>
  <c r="H329" i="3"/>
  <c r="I329" i="3" s="1"/>
  <c r="H330" i="3"/>
  <c r="I330" i="3" s="1"/>
  <c r="H331" i="3"/>
  <c r="I331" i="3" s="1"/>
  <c r="H332" i="3"/>
  <c r="I332" i="3" s="1"/>
  <c r="H333" i="3"/>
  <c r="I333" i="3" s="1"/>
  <c r="H334" i="3"/>
  <c r="I334" i="3" s="1"/>
  <c r="H335" i="3"/>
  <c r="I335" i="3" s="1"/>
  <c r="H336" i="3"/>
  <c r="I336" i="3" s="1"/>
  <c r="H337" i="3"/>
  <c r="I337" i="3" s="1"/>
  <c r="H338" i="3"/>
  <c r="I338" i="3" s="1"/>
  <c r="H339" i="3"/>
  <c r="I339" i="3" s="1"/>
  <c r="H340" i="3"/>
  <c r="I340" i="3" s="1"/>
  <c r="H341" i="3"/>
  <c r="I341" i="3" s="1"/>
  <c r="H342" i="3"/>
  <c r="I342" i="3" s="1"/>
  <c r="H343" i="3"/>
  <c r="I343" i="3" s="1"/>
  <c r="H344" i="3"/>
  <c r="I344" i="3" s="1"/>
  <c r="H345" i="3"/>
  <c r="I345" i="3" s="1"/>
  <c r="H346" i="3"/>
  <c r="I346" i="3" s="1"/>
  <c r="H347" i="3"/>
  <c r="I347" i="3" s="1"/>
  <c r="H348" i="3"/>
  <c r="I348" i="3" s="1"/>
  <c r="H349" i="3"/>
  <c r="I349" i="3" s="1"/>
  <c r="H350" i="3"/>
  <c r="I350" i="3" s="1"/>
  <c r="H351" i="3"/>
  <c r="I351" i="3" s="1"/>
  <c r="H352" i="3"/>
  <c r="I352" i="3" s="1"/>
  <c r="H353" i="3"/>
  <c r="I353" i="3" s="1"/>
  <c r="H354" i="3"/>
  <c r="I354" i="3" s="1"/>
  <c r="H355" i="3"/>
  <c r="I355" i="3" s="1"/>
  <c r="H356" i="3"/>
  <c r="I356" i="3" s="1"/>
  <c r="H357" i="3"/>
  <c r="I357" i="3" s="1"/>
  <c r="H358" i="3"/>
  <c r="I358" i="3" s="1"/>
  <c r="H359" i="3"/>
  <c r="I359" i="3" s="1"/>
  <c r="H2" i="3"/>
  <c r="I2" i="3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2" i="1"/>
  <c r="J2" i="1" s="1"/>
</calcChain>
</file>

<file path=xl/sharedStrings.xml><?xml version="1.0" encoding="utf-8"?>
<sst xmlns="http://schemas.openxmlformats.org/spreadsheetml/2006/main" count="2932" uniqueCount="596">
  <si>
    <t>PS_EOAWSTPINST_HXX</t>
  </si>
  <si>
    <t>PS_EOAW_SUMM_HXX</t>
  </si>
  <si>
    <t>PS_EOAW_WL_HXX</t>
  </si>
  <si>
    <t>PS_GP_ABSSXREF_HXX</t>
  </si>
  <si>
    <t>PS_GP_ABS_FCST_HXX</t>
  </si>
  <si>
    <t>PS_BL_ADJ_CN_TAX_H</t>
  </si>
  <si>
    <t>PS_BN_DEMG_WK_H_XX</t>
  </si>
  <si>
    <t>PS_BNX75_GEN_H_XX</t>
  </si>
  <si>
    <t>PS_DISABILTY_BEN_H</t>
  </si>
  <si>
    <t>PS_BNX74_STG_H_XX</t>
  </si>
  <si>
    <t>PS_BNX74_GEN_H_XX</t>
  </si>
  <si>
    <t>PS_SCK_SPO_HR_H_XX</t>
  </si>
  <si>
    <t>PS_SCK_CA_HRS_H_XX</t>
  </si>
  <si>
    <t>PS_CA_CNTRHDR_H_XX</t>
  </si>
  <si>
    <t>PS_CHECK_YTD_H</t>
  </si>
  <si>
    <t>PS_DEDUCTION_BAL_H</t>
  </si>
  <si>
    <t>PS_CAN_YE_DETIL_H</t>
  </si>
  <si>
    <t>PS_SM_DF_DCINT_HXX</t>
  </si>
  <si>
    <t>PS_SM_OB_C_TAX_HXX</t>
  </si>
  <si>
    <t>PS_SM_OB_EMCNT_HXX</t>
  </si>
  <si>
    <t>PS_SM_OBINVEML_HXX</t>
  </si>
  <si>
    <t>PS_SM_OB_TLICS_HXX</t>
  </si>
  <si>
    <t>PS_PAY_CHKREN_H_XX</t>
  </si>
  <si>
    <t>PS_PAY_GARNISH_H</t>
  </si>
  <si>
    <t>PS_PAY_INS_EARNS_H</t>
  </si>
  <si>
    <t>PS_PAY_LINE_H</t>
  </si>
  <si>
    <t>PS_PAY_TAX_H</t>
  </si>
  <si>
    <t>PS_PAY_TAX_GRSDE_H</t>
  </si>
  <si>
    <t>PS_CDMLISTHIS_H_XX</t>
  </si>
  <si>
    <t>PS_PRCRQSTFLE_H_XX</t>
  </si>
  <si>
    <t>PS_PROJECT_H_XX</t>
  </si>
  <si>
    <t>PS_PERX0056E1_H_XX</t>
  </si>
  <si>
    <t>PS_EMPLMT_WL_H_XX</t>
  </si>
  <si>
    <t>PS_DISABILITY_H_XX</t>
  </si>
  <si>
    <t>PS_CAN_TX_BALNCE_H</t>
  </si>
  <si>
    <t>PS_CAN_TAX_DATA_H</t>
  </si>
  <si>
    <t>PS_CBR_PRTC_PLAN_H</t>
  </si>
  <si>
    <t>PS_CITIZENPSS_H_XX</t>
  </si>
  <si>
    <t>PS_EMRGNCYPHN_H_XX</t>
  </si>
  <si>
    <t>PS_EMPLCHKLST_H_XX</t>
  </si>
  <si>
    <t>PS_EMPL_PHOTO_H_XX</t>
  </si>
  <si>
    <t>PS_GARNSPECXX_H_XX</t>
  </si>
  <si>
    <t>PS_HPBDCKLOG_H_XX</t>
  </si>
  <si>
    <t>PS_PERCHECKLI_H_XX</t>
  </si>
  <si>
    <t>PS_PERCHKLSTI_H_XX</t>
  </si>
  <si>
    <t>PS_PERORGASGN_H_XX</t>
  </si>
  <si>
    <t>PS_PY_BNK_TBL_H_XX</t>
  </si>
  <si>
    <t>PS_TLEMPLDATA_H_XX</t>
  </si>
  <si>
    <t>PS_PERSSRCHWL_H_XX</t>
  </si>
  <si>
    <t>PS_TL_APP_XRF_H_XX</t>
  </si>
  <si>
    <t>PS_TL_EMPLAUD_H_XX</t>
  </si>
  <si>
    <t>PS_TL_APP_HDR_H_XX</t>
  </si>
  <si>
    <t>PS_TL_APP_RPT_H_XX</t>
  </si>
  <si>
    <t>PS_TRNX0004_H_XX</t>
  </si>
  <si>
    <t>PS_TEBURDENX_H_XX</t>
  </si>
  <si>
    <t>PS_TL_REP_LR_H_XX</t>
  </si>
  <si>
    <t>PS_TL_RPT_TIME_HST</t>
  </si>
  <si>
    <t>PS_TL_XREFCOST_HST</t>
  </si>
  <si>
    <t>PS_BAL_ADJ_DED_H</t>
  </si>
  <si>
    <t>PS_LEAVE_ACCRUAL_H</t>
  </si>
  <si>
    <t>PS_BNX75_EMP_H_XX</t>
  </si>
  <si>
    <t>PS_LIFE_ADD_BEN_H</t>
  </si>
  <si>
    <t>PS_SCK_RI_P_H_XX</t>
  </si>
  <si>
    <t>PS_SCK_SDC_HR_H_XX</t>
  </si>
  <si>
    <t>PS_SCK_NN_PRO_H_XX</t>
  </si>
  <si>
    <t>PS_SCK_NC_PRO_H_XX</t>
  </si>
  <si>
    <t>PS_PTO_CK_PRO_H_XX</t>
  </si>
  <si>
    <t>PS_SCK_DC_HRS_H_XX</t>
  </si>
  <si>
    <t>PS_SCK_IL_PRO_H_XX</t>
  </si>
  <si>
    <t>PS_SCK_MGC_HR_H_XX</t>
  </si>
  <si>
    <t>PS_CA_DETAIL_H_XX</t>
  </si>
  <si>
    <t>PS_TAX_BALANCE_H</t>
  </si>
  <si>
    <t>PS_CAN_EN_BALNCE_H</t>
  </si>
  <si>
    <t>PS_GP_PYESOVR_HXX</t>
  </si>
  <si>
    <t>PS_FINAL_HRS3_H_XX</t>
  </si>
  <si>
    <t>PS_FINAL_HRS0_H_XX</t>
  </si>
  <si>
    <t>PS_SM_OBUPDHR_HXX</t>
  </si>
  <si>
    <t>PS_SM_OB_DRDPD_HXX</t>
  </si>
  <si>
    <t>PS_PAY_DISTRIBTN_H</t>
  </si>
  <si>
    <t>PS_PRCRQSTHIS_H_XX</t>
  </si>
  <si>
    <t>PS_PROJ_ACT_H_XX</t>
  </si>
  <si>
    <t>PS_PERX0056E2_H_XX</t>
  </si>
  <si>
    <t>PS_PERX0056E3_H_XX</t>
  </si>
  <si>
    <t>PS_BN55EMPSTG_H_XX</t>
  </si>
  <si>
    <t>PS_BN55PAYTM1_H_XX</t>
  </si>
  <si>
    <t>PS_DATACHGFIL_H_XX</t>
  </si>
  <si>
    <t>PS_DIVERSRELI_H_XX</t>
  </si>
  <si>
    <t>PS_PERSONALDA_H_XX</t>
  </si>
  <si>
    <t>PS_ADD_PY_DRW_H_XX</t>
  </si>
  <si>
    <t>PS_DEPBENADDR_H_XX</t>
  </si>
  <si>
    <t>PS_EMAILADRS_H_XX</t>
  </si>
  <si>
    <t>PS_EMPLOYEES_H_XX</t>
  </si>
  <si>
    <t>PS_EMPLCHECKL_H_XX</t>
  </si>
  <si>
    <t>PS_EXCP_AUDIT_H_XX</t>
  </si>
  <si>
    <t>PS_GARN_RULE_H</t>
  </si>
  <si>
    <t>PS_JOB_XX_H_XX</t>
  </si>
  <si>
    <t>PS_NAMES_H_XX</t>
  </si>
  <si>
    <t>PS_PERSAPPLIN_H_XX</t>
  </si>
  <si>
    <t>PS_PERSAPPLRE_H_XX</t>
  </si>
  <si>
    <t>PS_PERS_NID_H_XX</t>
  </si>
  <si>
    <t>PS_PERSSMOKER_H_XX</t>
  </si>
  <si>
    <t>PS_PERX0019WR_H_XX</t>
  </si>
  <si>
    <t>PS_VISAPMTSUP_H_XX</t>
  </si>
  <si>
    <t>PS_PERX33300W_H_XX</t>
  </si>
  <si>
    <t>PS_EID_FILETL_H_XX</t>
  </si>
  <si>
    <t>PS_TL_RTROPER_H_XX</t>
  </si>
  <si>
    <t>PS_GP_ABSSSDAT_HXX</t>
  </si>
  <si>
    <t>PS_BAL_ADJ_ERN_H</t>
  </si>
  <si>
    <t>PS_BL_ADJ_CN_CHK_H</t>
  </si>
  <si>
    <t>PS_BL_ADJ_CN_DED_H</t>
  </si>
  <si>
    <t>PS_SCK_SA_PRO_H_XX</t>
  </si>
  <si>
    <t>PS_SCK_WA_HRS_H_XX</t>
  </si>
  <si>
    <t>PS_SCK_POR_PR_H_XX</t>
  </si>
  <si>
    <t>PS_SCK_JR_HRS_H_XX</t>
  </si>
  <si>
    <t>PS_SCK_JR_PRO_H_XX</t>
  </si>
  <si>
    <t>PS_CA_BILLPLN_H_XX</t>
  </si>
  <si>
    <t>PS_CABLLPLNXX_H_XX</t>
  </si>
  <si>
    <t>PS_EOAW_UINST_HXX</t>
  </si>
  <si>
    <t>PS_GPPOS_INSTGXX_H</t>
  </si>
  <si>
    <t>PS_GPX0003_STGXX_H</t>
  </si>
  <si>
    <t>PS_CAN_YE_SLIP_H</t>
  </si>
  <si>
    <t>PS_SM_OB_W_REC_HXX</t>
  </si>
  <si>
    <t>PS_SM_OB_PHONE_HXX</t>
  </si>
  <si>
    <t>PS_DOL_PAY_AD_H_XX</t>
  </si>
  <si>
    <t>PS_PAY_TM_EXP_H_XX</t>
  </si>
  <si>
    <t>PS_PAY_CHECK_H</t>
  </si>
  <si>
    <t>PS_PAY_TAX_CAN_H</t>
  </si>
  <si>
    <t>PS_CDMAUTHIST_H_XX</t>
  </si>
  <si>
    <t>PS_PROJ_TEAM_H_XX</t>
  </si>
  <si>
    <t>PS_TL_RTS_PRJ_H_XX</t>
  </si>
  <si>
    <t>PS_PERX0049TM_H_XX</t>
  </si>
  <si>
    <t>PS_BEN_PRGPRTC_HXX</t>
  </si>
  <si>
    <t>PS_CBR_PARTIC_H</t>
  </si>
  <si>
    <t>PS_COMPNSTION_H_XX</t>
  </si>
  <si>
    <t>PS_CONTRACTDA_H_XX</t>
  </si>
  <si>
    <t>PS_DEPBENRIDE_H_XX</t>
  </si>
  <si>
    <t>PS_GARN_BALANCE_H</t>
  </si>
  <si>
    <t>PS_GARN_EMPL_DED_H</t>
  </si>
  <si>
    <t>PS_GARN_SCHED_H</t>
  </si>
  <si>
    <t>PS_GENL_DED_CD_H</t>
  </si>
  <si>
    <t>PS_JOB_ERNDST_H_XX</t>
  </si>
  <si>
    <t>PS_JOB_IND_H_XX</t>
  </si>
  <si>
    <t>PS_JOB_JR_H_XX</t>
  </si>
  <si>
    <t>PS_PAYROLL_DATA_H</t>
  </si>
  <si>
    <t>PS_PERSDATAEF_H_XX</t>
  </si>
  <si>
    <t>PS_PERX0019TM_H_XX</t>
  </si>
  <si>
    <t>PS_PERX33700W_H_XX</t>
  </si>
  <si>
    <t>PS_PYEBANKACT_H_XX</t>
  </si>
  <si>
    <t>PS_PERX0020WR_H_XX</t>
  </si>
  <si>
    <t>PS_AUDITTLRTS_H_XX</t>
  </si>
  <si>
    <t>PS_TL_BIR_EID_H_XX</t>
  </si>
  <si>
    <t>PS_EOAW_COMNTS_HXX</t>
  </si>
  <si>
    <t>PS_TLTRCOMNTS_H_XX</t>
  </si>
  <si>
    <t>PS_PSL_PAYDAT_H_XX</t>
  </si>
  <si>
    <t>PS_BN_ENRL_WK_H_XX</t>
  </si>
  <si>
    <t>PS_SAVING_PLN_H_XX</t>
  </si>
  <si>
    <t>PS_SCK_RI_HR_H_XX</t>
  </si>
  <si>
    <t>PS_SCK_TAC_P_H_XX</t>
  </si>
  <si>
    <t>PS_SCK_DC_PRO_H_XX</t>
  </si>
  <si>
    <t>PS_SCK_FED_HR_H_XX</t>
  </si>
  <si>
    <t>PS_BEN_SICK_H_XX</t>
  </si>
  <si>
    <t>PS_CA_DT_PROJ_H_XX</t>
  </si>
  <si>
    <t>PS_CAN_DD_BALANC_H</t>
  </si>
  <si>
    <t>PS_GP_PYEOVRD_H_XX</t>
  </si>
  <si>
    <t>PS_GP_POVRSOVR_HXX</t>
  </si>
  <si>
    <t>PS_GP_PIMNSOVR_HXX</t>
  </si>
  <si>
    <t>PS_SM_OB_DFXRF_HXX</t>
  </si>
  <si>
    <t>PS_SM_OB_PERSN_HXX</t>
  </si>
  <si>
    <t>PS_SM_OBPYOPTN_HXX</t>
  </si>
  <si>
    <t>PS_SM_OBADLPY_HXX</t>
  </si>
  <si>
    <t>PS_SM_OB_BONUS_HXX</t>
  </si>
  <si>
    <t>PS_SM_OBINVHDR_HXX</t>
  </si>
  <si>
    <t>PS_PAY_EXP_DT_H_XX</t>
  </si>
  <si>
    <t>PS_PAY_OTH_EARNS_H</t>
  </si>
  <si>
    <t>PS_PAY_PAGE_H</t>
  </si>
  <si>
    <t>PS_PAY_TAX_OVRD_H</t>
  </si>
  <si>
    <t>PS_CDM_F_LTXX_H_XX</t>
  </si>
  <si>
    <t>PS_PRCDISTHIS_H_XX</t>
  </si>
  <si>
    <t>PS_PRCTXFRHIS_H_XX</t>
  </si>
  <si>
    <t>PS_PRJ_TMACDT_H_XX</t>
  </si>
  <si>
    <t>PS_TL_RTS_ACT_H_XX</t>
  </si>
  <si>
    <t>PS_PERX0056L2_H_XX</t>
  </si>
  <si>
    <t>PS_ADDL_PAY_DATA_H</t>
  </si>
  <si>
    <t>PS_ADD_PAY_EFFDT_H</t>
  </si>
  <si>
    <t>PS_DEPBEN_EFF_H_XX</t>
  </si>
  <si>
    <t>PS_DEPBENNAME_H_XX</t>
  </si>
  <si>
    <t>PS_DRIVERSLIC_H_XX</t>
  </si>
  <si>
    <t>PS_FED_TAX_DATA_H</t>
  </si>
  <si>
    <t>PS_PERSONALPH_H_XX</t>
  </si>
  <si>
    <t>PS_PERSONINFO_H_XX</t>
  </si>
  <si>
    <t>PS_PER_DT_EME_H_XX</t>
  </si>
  <si>
    <t>PS_PERX0033TM_H_XX</t>
  </si>
  <si>
    <t>PS_TL_IPT1_CNT_HST</t>
  </si>
  <si>
    <t>PS_TL_FRCSPYBL_HST</t>
  </si>
  <si>
    <t>PS_BL_ADJ_CN_ERN_H</t>
  </si>
  <si>
    <t>PS_SCK_TAC_HR_H_XX</t>
  </si>
  <si>
    <t>PS_SCK_WA_PRO_H_XX</t>
  </si>
  <si>
    <t>PS_SCK_OAK_P_H_XX</t>
  </si>
  <si>
    <t>PS_SCK_POR_HR_H_XX</t>
  </si>
  <si>
    <t>PS_SCK_MC_PRO_H_XX</t>
  </si>
  <si>
    <t>PS_SCK_MN1_P_H_XX</t>
  </si>
  <si>
    <t>PS_CA_BPLINES_H_XX</t>
  </si>
  <si>
    <t>PS_GP_SEGTRGR_HXX</t>
  </si>
  <si>
    <t>PS_FINAL_HRS1_H_XX</t>
  </si>
  <si>
    <t>PS_FINAL_HRS2_H_XX</t>
  </si>
  <si>
    <t>PS_SM_OBEM_NAM_HXX</t>
  </si>
  <si>
    <t>PS_SM_OBEM_PHN_HXX</t>
  </si>
  <si>
    <t>PS_PY_COMMENT_H_XX</t>
  </si>
  <si>
    <t>PS_PAY_EARNINGS_H</t>
  </si>
  <si>
    <t>PS_PAY_GARN_OVRD_H</t>
  </si>
  <si>
    <t>PS_PRCPARMHIS_H_XX</t>
  </si>
  <si>
    <t>PS_PRCQUEHIS_H_XX</t>
  </si>
  <si>
    <t>PS_PRCRQSTSTR_H_XX</t>
  </si>
  <si>
    <t>PS_PRCTXTHIS_H_XX</t>
  </si>
  <si>
    <t>PS_PRJ_TMSCHD_H_XX</t>
  </si>
  <si>
    <t>PS_JPMPROFILE_H_XX</t>
  </si>
  <si>
    <t>PS_DIVERSETHN_H_XX</t>
  </si>
  <si>
    <t>PS_CN_TX_PRVDTA_H</t>
  </si>
  <si>
    <t>PS_EMPLYE_REVIEW_H</t>
  </si>
  <si>
    <t>PS_EMP_APR_HR_H_XX</t>
  </si>
  <si>
    <t>PS_GARN_SPEC_H</t>
  </si>
  <si>
    <t>PS_JOB_HR_XX_H_XX</t>
  </si>
  <si>
    <t>PS_LOCL_TAX_DATA_H</t>
  </si>
  <si>
    <t>PS_STAT_TAX_DATA_H</t>
  </si>
  <si>
    <t>PS_TL_HRTESTG_H_XX</t>
  </si>
  <si>
    <t>PS_TL_PAYABLE_HST</t>
  </si>
  <si>
    <t>PS_TL_RTSALOC_H_XX</t>
  </si>
  <si>
    <t>PS_TL_XREF_TBL_HST</t>
  </si>
  <si>
    <t>PS_GP_ABS_OVRD_HXX</t>
  </si>
  <si>
    <t>PS_GP_ABSSSSTA_HXX</t>
  </si>
  <si>
    <t>PS_BAL_ADJ_CHK_H</t>
  </si>
  <si>
    <t>PS_HEALTH_DEPDNT_H</t>
  </si>
  <si>
    <t>PS_BNX75_CVG_H_XX</t>
  </si>
  <si>
    <t>PS_LIFE_AD_BNEFC_H</t>
  </si>
  <si>
    <t>PS_BENX74_AUD_H_XX</t>
  </si>
  <si>
    <t>PS_SCK_SPO_P_H_XX</t>
  </si>
  <si>
    <t>PS_SICK_CT_HR_H_XX</t>
  </si>
  <si>
    <t>PS_SICK_CT_PR_H_XX</t>
  </si>
  <si>
    <t>PS_SCK_NWN_HR_H_XX</t>
  </si>
  <si>
    <t>PS_SCK_AZ_HRS_H_XX</t>
  </si>
  <si>
    <t>PS_SCK_IL1_HR_H_XX</t>
  </si>
  <si>
    <t>PS_SCK_LAC_HR_H_XX</t>
  </si>
  <si>
    <t>PS_SCK_LC_PRO_H_XX</t>
  </si>
  <si>
    <t>PS_CAN_CHECK_YT_H</t>
  </si>
  <si>
    <t>PS_GP_RTOTRGR_HXX</t>
  </si>
  <si>
    <t>PS_CN_YE_AMND_E_H</t>
  </si>
  <si>
    <t>PS_SM_OB_C_BNR_HXX</t>
  </si>
  <si>
    <t>PS_SM_OB_W4FTX_HXX</t>
  </si>
  <si>
    <t>PS_SM_OB_ADRES_HXX</t>
  </si>
  <si>
    <t>PS_SM_OBINVPHN_HXX</t>
  </si>
  <si>
    <t>PS_SM_OB_NAME_HXX</t>
  </si>
  <si>
    <t>PS_PAY_CTX_OVRD_H</t>
  </si>
  <si>
    <t>PS_PAY_ONE_TIME_H</t>
  </si>
  <si>
    <t>PS_PAY_SPCL_EARN_H</t>
  </si>
  <si>
    <t>PS_PRCJOBSTAT_H_XX</t>
  </si>
  <si>
    <t>PS_PROJ_ACTST_H_XX</t>
  </si>
  <si>
    <t>PS_TL_RTS_TRC_H_XX</t>
  </si>
  <si>
    <t>PS_CNCRSAETBL_H_XX</t>
  </si>
  <si>
    <t>PS_HRUSRIDDUP_H_XX</t>
  </si>
  <si>
    <t>PS_PERX0048ST_H_XX</t>
  </si>
  <si>
    <t>PS_BENF_PARTIC_HXX</t>
  </si>
  <si>
    <t>PS_CITIZENSHP_H_XX</t>
  </si>
  <si>
    <t>PS_EMERGENCYC_H_XX</t>
  </si>
  <si>
    <t>PS_EMPAPPRDTL_H_XX</t>
  </si>
  <si>
    <t>PS_FMLA_HOURS_H_XX</t>
  </si>
  <si>
    <t>PS_HREXTEMP_H_XX</t>
  </si>
  <si>
    <t>PS_JOB_H_XX</t>
  </si>
  <si>
    <t>PS_PERSDATACA_H_XX</t>
  </si>
  <si>
    <t>PS_PERSDATAUS_H_XX</t>
  </si>
  <si>
    <t>PS_PERORGINST_H_XX</t>
  </si>
  <si>
    <t>PS_PERPOIT_XX_H_XX</t>
  </si>
  <si>
    <t>PS_PERX0033WR_H_XX</t>
  </si>
  <si>
    <t>PS_TRNX0004WR_H_XX</t>
  </si>
  <si>
    <t>PS_PURGEDATA_H_XX</t>
  </si>
  <si>
    <t>PS_TL_PAY_HIST_HST</t>
  </si>
  <si>
    <t>PS_TL_RT_ROP_H_XX</t>
  </si>
  <si>
    <t>PS_FSA_BENEFIT_H</t>
  </si>
  <si>
    <t>PS_HEALTH_BENFIT_H</t>
  </si>
  <si>
    <t>PS_BN_EROR_WK_H_XX</t>
  </si>
  <si>
    <t>PS_LEAVE_PLANN_H</t>
  </si>
  <si>
    <t>PS_SAVINGS_PLAN_H</t>
  </si>
  <si>
    <t>PS_SCK_SEA_HR_H_XX</t>
  </si>
  <si>
    <t>PS_SCK_NYC_HR_H_XX</t>
  </si>
  <si>
    <t>PS_SCK_AZ_PRO_H_XX</t>
  </si>
  <si>
    <t>PS_BEN_LVSP_H_XX</t>
  </si>
  <si>
    <t>PS_SCK_CA_P_H_XX</t>
  </si>
  <si>
    <t>PS_SCK_FED_P_H_XX</t>
  </si>
  <si>
    <t>PS_SCK_MN1_HR_H_XX</t>
  </si>
  <si>
    <t>PS_BEN_SICKHR_H_XX</t>
  </si>
  <si>
    <t>PS_EARNINGS_BAL_H</t>
  </si>
  <si>
    <t>PS_CAN_YE_EMPL_H</t>
  </si>
  <si>
    <t>PS_SM_OB_CC305_HXX</t>
  </si>
  <si>
    <t>PS_SM_DF_STINT_HXX</t>
  </si>
  <si>
    <t>PS_SM_OBSLF_ID_HXX</t>
  </si>
  <si>
    <t>PS_SM_OBVSLFID_HXX</t>
  </si>
  <si>
    <t>PS_SM_OBADLINF_HXX</t>
  </si>
  <si>
    <t>PS_PY_CHECKFG_H_XX</t>
  </si>
  <si>
    <t>PS_PYADV_SENT_H_XX</t>
  </si>
  <si>
    <t>PS_PY_ABANCHK_H_XX</t>
  </si>
  <si>
    <t>PS_PROJ_STAT_H_XX</t>
  </si>
  <si>
    <t>PS_PRJ_ACT_TM_H_XX</t>
  </si>
  <si>
    <t>PS_PERX0056D1_H_XX</t>
  </si>
  <si>
    <t>PS_PERX0061ST_H_XX</t>
  </si>
  <si>
    <t>PS_HCSCUSTEPA_H_XX</t>
  </si>
  <si>
    <t>PS_PERX0009_H_XX</t>
  </si>
  <si>
    <t>PS_PERX0056ST_H_XX</t>
  </si>
  <si>
    <t>PS_BN_PERSON_H</t>
  </si>
  <si>
    <t>PS_FMLA_H_XX</t>
  </si>
  <si>
    <t>PS_ADD_PAY_ERNCD_H</t>
  </si>
  <si>
    <t>PS_CBR_PRTC_OPTN_H</t>
  </si>
  <si>
    <t>PS_EMP_WAGEL_CAN_H</t>
  </si>
  <si>
    <t>PS_JOB_MIL_H_XX</t>
  </si>
  <si>
    <t>PS_PERSON_H_XX</t>
  </si>
  <si>
    <t>PS_PER_DT_FRA_H_XX</t>
  </si>
  <si>
    <t>PS_PERPOI_XX_H_XX</t>
  </si>
  <si>
    <t>PS_VISAPMTDAT_H_XX</t>
  </si>
  <si>
    <t>PS_PERX0020TM_H_XX</t>
  </si>
  <si>
    <t>PS_PERX33300T_H_XX</t>
  </si>
  <si>
    <t>PS_TL_APP_LA_H_XX</t>
  </si>
  <si>
    <t>PS_TLTCATTACH_H_XX</t>
  </si>
  <si>
    <t>PS_EOAW_SUMDTL_HXX</t>
  </si>
  <si>
    <t>PS_TL_PRJ_TM_H_XX</t>
  </si>
  <si>
    <t>PS_TL_COMPLEAV_HST</t>
  </si>
  <si>
    <t>PS_EOAW_HISCOM_HXX</t>
  </si>
  <si>
    <t>PS_GP_ABSINTLG_HXX</t>
  </si>
  <si>
    <t>PS_BL_ADJ_GRN_H</t>
  </si>
  <si>
    <t>PS_BAL_ADJ_TAX_H</t>
  </si>
  <si>
    <t>PS_SAVING_BNEFIC_H</t>
  </si>
  <si>
    <t>PS_SCK_SC_PRO_H_XX</t>
  </si>
  <si>
    <t>PS_SCK_OAK_HR_H_XX</t>
  </si>
  <si>
    <t>PS_GP_PIMNLDTA_HXX</t>
  </si>
  <si>
    <t>PS_SM_OBCTAX_P_HXX</t>
  </si>
  <si>
    <t>PS_SM_OBC_SFID_HXX</t>
  </si>
  <si>
    <t>PS_SM_OB_EMAIL_HXX</t>
  </si>
  <si>
    <t>PS_SM_OBINVADR_HXX</t>
  </si>
  <si>
    <t>PS_GENL_DEDUCTIN_H</t>
  </si>
  <si>
    <t>PS_PYCHECK_HS_H_XX</t>
  </si>
  <si>
    <t>PS_PYX0114_TM_H_XX</t>
  </si>
  <si>
    <t>PS_PAY_DEDUCTION_H</t>
  </si>
  <si>
    <t>PS_PERX0056B1_H_XX</t>
  </si>
  <si>
    <t>PS_PERX0056P1_H_XX</t>
  </si>
  <si>
    <t>PS_PERX0056S1_H_XX</t>
  </si>
  <si>
    <t>PS_PERX0048ER_H_XX</t>
  </si>
  <si>
    <t>PS_DIVERSITY_H_XX</t>
  </si>
  <si>
    <t>PS_ADDRESSES_H_XX</t>
  </si>
  <si>
    <t>PS_DEP_BEN_H_XX</t>
  </si>
  <si>
    <t>PS_DEPBENEFNI_H_XX</t>
  </si>
  <si>
    <t>PS_PERSNIDEXP_H_XX</t>
  </si>
  <si>
    <t>PS_PERX33700T_H_XX</t>
  </si>
  <si>
    <t>PS_PRIORWORKE_H_XX</t>
  </si>
  <si>
    <t>PS_TAX_DISTRIB_H</t>
  </si>
  <si>
    <t>PS_PERSDATAXX_H_XX</t>
  </si>
  <si>
    <t>PS_PRIORWORKS_H_XX</t>
  </si>
  <si>
    <t>PS_TL_MEALAUD_H_XX</t>
  </si>
  <si>
    <t>PS_OB_ATTACH_H_XX</t>
  </si>
  <si>
    <t>PS_TL_EXCEPTN_HST</t>
  </si>
  <si>
    <t>PS_TLTRCOMNT_H_XX</t>
  </si>
  <si>
    <t>ABSAPRXX</t>
  </si>
  <si>
    <t>ABSFCSXX</t>
  </si>
  <si>
    <t>ADJ_C_XX</t>
  </si>
  <si>
    <t>BEN5_XX</t>
  </si>
  <si>
    <t>BEN75_XX</t>
  </si>
  <si>
    <t>BEN8_XX</t>
  </si>
  <si>
    <t>BENX_74</t>
  </si>
  <si>
    <t>BSC17_XX</t>
  </si>
  <si>
    <t>BSCK2_XX</t>
  </si>
  <si>
    <t>CONTRCTS</t>
  </si>
  <si>
    <t>EEBAL_XX</t>
  </si>
  <si>
    <t>HRCAN_XX</t>
  </si>
  <si>
    <t>HRSE2_XX</t>
  </si>
  <si>
    <t>HRSE_XX</t>
  </si>
  <si>
    <t>N_PAY_XX</t>
  </si>
  <si>
    <t>PRCS_XX</t>
  </si>
  <si>
    <t>PRJCSTNG</t>
  </si>
  <si>
    <t>PS56E_XX</t>
  </si>
  <si>
    <t>PSEMP_XX</t>
  </si>
  <si>
    <t>PSPER_XX</t>
  </si>
  <si>
    <t>PSPSS_XX</t>
  </si>
  <si>
    <t>TLAPR_XX</t>
  </si>
  <si>
    <t>TLEMP_XX</t>
  </si>
  <si>
    <t>TLHDR_XX</t>
  </si>
  <si>
    <t>TLLIN_XX</t>
  </si>
  <si>
    <t>TEBUR_XX</t>
  </si>
  <si>
    <t>TLREP_XX</t>
  </si>
  <si>
    <t>TLRPT_XX</t>
  </si>
  <si>
    <t>TL_XCOST</t>
  </si>
  <si>
    <t>ADJ1_XX</t>
  </si>
  <si>
    <t>BEN4_XX</t>
  </si>
  <si>
    <t>BEN9_XX</t>
  </si>
  <si>
    <t>BSC14_XX</t>
  </si>
  <si>
    <t>BSC15_XX</t>
  </si>
  <si>
    <t>BSCK10XX</t>
  </si>
  <si>
    <t>BSCK11XX</t>
  </si>
  <si>
    <t>BSCK22XX</t>
  </si>
  <si>
    <t>BSCK3_XX</t>
  </si>
  <si>
    <t>BSCK5_XX</t>
  </si>
  <si>
    <t>BSCK8_XX</t>
  </si>
  <si>
    <t>EECAN_XX</t>
  </si>
  <si>
    <t>GPARC4XX</t>
  </si>
  <si>
    <t>HRFL_XX</t>
  </si>
  <si>
    <t>PS5E2_XX</t>
  </si>
  <si>
    <t>PS5E3_XX</t>
  </si>
  <si>
    <t>PSBN5_XX</t>
  </si>
  <si>
    <t>PSBNP_XX</t>
  </si>
  <si>
    <t>PSDAT_XX</t>
  </si>
  <si>
    <t>TLEID_XX</t>
  </si>
  <si>
    <t>TLROP_XX</t>
  </si>
  <si>
    <t>ABSSS_XX</t>
  </si>
  <si>
    <t>BSC16_XX</t>
  </si>
  <si>
    <t>BSC19_XX</t>
  </si>
  <si>
    <t>BSCK13XX</t>
  </si>
  <si>
    <t>BSCK6_XX</t>
  </si>
  <si>
    <t>EOUINSTX</t>
  </si>
  <si>
    <t>GPARC5XX</t>
  </si>
  <si>
    <t>NPAY1_XX</t>
  </si>
  <si>
    <t>PSP49_XX</t>
  </si>
  <si>
    <t>TLAUD_XX</t>
  </si>
  <si>
    <t>TLBIR_XX</t>
  </si>
  <si>
    <t>TLEOA_XX</t>
  </si>
  <si>
    <t>TLRTS_XX</t>
  </si>
  <si>
    <t>TLTRC_XX</t>
  </si>
  <si>
    <t>BEN10_XX</t>
  </si>
  <si>
    <t>BEN7_XX</t>
  </si>
  <si>
    <t>BSC18_XX</t>
  </si>
  <si>
    <t>BSCK4_XX</t>
  </si>
  <si>
    <t>BSCK_XX</t>
  </si>
  <si>
    <t>GPARC3XX</t>
  </si>
  <si>
    <t>GPARC6XX</t>
  </si>
  <si>
    <t>HRSE1_XX</t>
  </si>
  <si>
    <t>PS56L_XX</t>
  </si>
  <si>
    <t>TLPYTMXX</t>
  </si>
  <si>
    <t>TL_FRCPA</t>
  </si>
  <si>
    <t>BSCK12XX</t>
  </si>
  <si>
    <t>BSCK9_XX</t>
  </si>
  <si>
    <t>EUINSTX</t>
  </si>
  <si>
    <t>GPARC7XX</t>
  </si>
  <si>
    <t>PSJPM_XX</t>
  </si>
  <si>
    <t>TLHR_XX</t>
  </si>
  <si>
    <t>TL_XREF</t>
  </si>
  <si>
    <t>ABSOVRXX</t>
  </si>
  <si>
    <t>BEN2_XX</t>
  </si>
  <si>
    <t>BSC20_XX</t>
  </si>
  <si>
    <t>BSCK1_XX</t>
  </si>
  <si>
    <t>BSCK7_XX</t>
  </si>
  <si>
    <t>GPARC2XX</t>
  </si>
  <si>
    <t>PSCNC_XX</t>
  </si>
  <si>
    <t>PSHRU_XX</t>
  </si>
  <si>
    <t>PSP48_XX</t>
  </si>
  <si>
    <t>PSPUR_XX</t>
  </si>
  <si>
    <t>BEN3_XX</t>
  </si>
  <si>
    <t>BEN6_XX</t>
  </si>
  <si>
    <t>BSCK21XX</t>
  </si>
  <si>
    <t>PS56D_XX</t>
  </si>
  <si>
    <t>PS61S_XX</t>
  </si>
  <si>
    <t>PSHCS_XX</t>
  </si>
  <si>
    <t>PSP09_XX</t>
  </si>
  <si>
    <t>PSP56_XX</t>
  </si>
  <si>
    <t>TLAPP_XX</t>
  </si>
  <si>
    <t>TLATC_XX</t>
  </si>
  <si>
    <t>TLPRJ_XX</t>
  </si>
  <si>
    <t>TL_COMP</t>
  </si>
  <si>
    <t>ABSILGXX</t>
  </si>
  <si>
    <t>NGDED_XX</t>
  </si>
  <si>
    <t>PS56B_XX</t>
  </si>
  <si>
    <t>PS56P_XX</t>
  </si>
  <si>
    <t>PS56S_XX</t>
  </si>
  <si>
    <t>PSE48_XX</t>
  </si>
  <si>
    <t>TLMEL_XX</t>
  </si>
  <si>
    <t>TLOB_XX</t>
  </si>
  <si>
    <t>TLEXCPXX</t>
  </si>
  <si>
    <t>Table Name</t>
  </si>
  <si>
    <t>Count</t>
  </si>
  <si>
    <t>Temp</t>
  </si>
  <si>
    <t>Batch no.</t>
  </si>
  <si>
    <t>(blank)</t>
  </si>
  <si>
    <t>Grand Total</t>
  </si>
  <si>
    <t>Table name</t>
  </si>
  <si>
    <t>Export Count</t>
  </si>
  <si>
    <t>Count Compare</t>
  </si>
  <si>
    <t>ABSAPRXX,</t>
  </si>
  <si>
    <t>ABSFCSXX,</t>
  </si>
  <si>
    <t>ADJ_C_XX,</t>
  </si>
  <si>
    <t>BEN5_XX,</t>
  </si>
  <si>
    <t>BEN75_XX,</t>
  </si>
  <si>
    <t>BEN8_XX,</t>
  </si>
  <si>
    <t>BENX_74,</t>
  </si>
  <si>
    <t>BSC17_XX,</t>
  </si>
  <si>
    <t>BSCK2_XX,</t>
  </si>
  <si>
    <t>CONTRCTS,</t>
  </si>
  <si>
    <t>EEBAL_XX,</t>
  </si>
  <si>
    <t>HRCAN_XX,</t>
  </si>
  <si>
    <t>HRSE2_XX,</t>
  </si>
  <si>
    <t>HRSE_XX,</t>
  </si>
  <si>
    <t>N_PAY_XX,</t>
  </si>
  <si>
    <t>PRCS_XX,</t>
  </si>
  <si>
    <t>PRJCSTNG,</t>
  </si>
  <si>
    <t>PS56E_XX,</t>
  </si>
  <si>
    <t>PSEMP_XX,</t>
  </si>
  <si>
    <t>PSPER_XX,</t>
  </si>
  <si>
    <t>PSPSS_XX,</t>
  </si>
  <si>
    <t>TLAPR_XX,</t>
  </si>
  <si>
    <t>TLEMP_XX,</t>
  </si>
  <si>
    <t>TLHDR_XX,</t>
  </si>
  <si>
    <t>TLLIN_XX,</t>
  </si>
  <si>
    <t>TEBUR_XX,</t>
  </si>
  <si>
    <t>TLREP_XX,</t>
  </si>
  <si>
    <t>TLRPT_XX,</t>
  </si>
  <si>
    <t>TL_XCOST,</t>
  </si>
  <si>
    <t>ADJ1_XX,</t>
  </si>
  <si>
    <t>BEN4_XX,</t>
  </si>
  <si>
    <t>BEN9_XX,</t>
  </si>
  <si>
    <t>BSC14_XX,</t>
  </si>
  <si>
    <t>BSC15_XX,</t>
  </si>
  <si>
    <t>BSCK10XX,</t>
  </si>
  <si>
    <t>BSCK11XX,</t>
  </si>
  <si>
    <t>BSCK22XX,</t>
  </si>
  <si>
    <t>BSCK3_XX,</t>
  </si>
  <si>
    <t>BSCK5_XX,</t>
  </si>
  <si>
    <t>BSCK8_XX,</t>
  </si>
  <si>
    <t>EECAN_XX,</t>
  </si>
  <si>
    <t>GPARC4XX,</t>
  </si>
  <si>
    <t>HRFL_XX,</t>
  </si>
  <si>
    <t>PS5E2_XX,</t>
  </si>
  <si>
    <t>PS5E3_XX,</t>
  </si>
  <si>
    <t>PSBN5_XX,</t>
  </si>
  <si>
    <t>PSBNP_XX,</t>
  </si>
  <si>
    <t>PSDAT_XX,</t>
  </si>
  <si>
    <t>TLEID_XX,</t>
  </si>
  <si>
    <t>TLROP_XX,</t>
  </si>
  <si>
    <t>ABSSS_XX,</t>
  </si>
  <si>
    <t>BSC16_XX,</t>
  </si>
  <si>
    <t>BSC19_XX,</t>
  </si>
  <si>
    <t>BSCK13XX,</t>
  </si>
  <si>
    <t>BSCK6_XX,</t>
  </si>
  <si>
    <t>EOUINSTX,</t>
  </si>
  <si>
    <t>GPARC5XX,</t>
  </si>
  <si>
    <t>NPAY1_XX,</t>
  </si>
  <si>
    <t>PSP49_XX,</t>
  </si>
  <si>
    <t>TLAUD_XX,</t>
  </si>
  <si>
    <t>TLBIR_XX,</t>
  </si>
  <si>
    <t>TLEOA_XX,</t>
  </si>
  <si>
    <t>TLRTS_XX,</t>
  </si>
  <si>
    <t>TLTRC_XX,</t>
  </si>
  <si>
    <t>BEN10_XX,</t>
  </si>
  <si>
    <t>BEN7_XX,</t>
  </si>
  <si>
    <t>BSC18_XX,</t>
  </si>
  <si>
    <t>BSCK4_XX,</t>
  </si>
  <si>
    <t>BSCK_XX,</t>
  </si>
  <si>
    <t>GPARC3XX,</t>
  </si>
  <si>
    <t>GPARC6XX,</t>
  </si>
  <si>
    <t>HRSE1_XX,</t>
  </si>
  <si>
    <t>PS56L_XX,</t>
  </si>
  <si>
    <t>TLPYTMXX,</t>
  </si>
  <si>
    <t>TL_FRCPA,</t>
  </si>
  <si>
    <t>BSCK12XX,</t>
  </si>
  <si>
    <t>BSCK9_XX,</t>
  </si>
  <si>
    <t>EUINSTX,</t>
  </si>
  <si>
    <t>GPARC7XX,</t>
  </si>
  <si>
    <t>PSJPM_XX,</t>
  </si>
  <si>
    <t>TLHR_XX,</t>
  </si>
  <si>
    <t>TL_XREF,</t>
  </si>
  <si>
    <t>ABSOVRXX,</t>
  </si>
  <si>
    <t>BEN2_XX,</t>
  </si>
  <si>
    <t>BSC20_XX,</t>
  </si>
  <si>
    <t>BSCK1_XX,</t>
  </si>
  <si>
    <t>BSCK7_XX,</t>
  </si>
  <si>
    <t>GPARC2XX,</t>
  </si>
  <si>
    <t>PSCNC_XX,</t>
  </si>
  <si>
    <t>PSHRU_XX,</t>
  </si>
  <si>
    <t>PSP48_XX,</t>
  </si>
  <si>
    <t>PSPUR_XX,</t>
  </si>
  <si>
    <t>BEN3_XX,</t>
  </si>
  <si>
    <t>BEN6_XX,</t>
  </si>
  <si>
    <t>BSCK21XX,</t>
  </si>
  <si>
    <t>PS56D_XX,</t>
  </si>
  <si>
    <t>PS61S_XX,</t>
  </si>
  <si>
    <t>PSHCS_XX,</t>
  </si>
  <si>
    <t>PSP09_XX,</t>
  </si>
  <si>
    <t>PSP56_XX,</t>
  </si>
  <si>
    <t>TLAPP_XX,</t>
  </si>
  <si>
    <t>TLATC_XX,</t>
  </si>
  <si>
    <t>TLPRJ_XX,</t>
  </si>
  <si>
    <t>TL_COMP,</t>
  </si>
  <si>
    <t>ABSILGXX,</t>
  </si>
  <si>
    <t>NGDED_XX,</t>
  </si>
  <si>
    <t>PS56B_XX,</t>
  </si>
  <si>
    <t>PS56P_XX,</t>
  </si>
  <si>
    <t>PS56S_XX,</t>
  </si>
  <si>
    <t>PSE48_XX,</t>
  </si>
  <si>
    <t>TLMEL_XX,</t>
  </si>
  <si>
    <t>TLOB_XX,</t>
  </si>
  <si>
    <t>TLEXCPXX,</t>
  </si>
  <si>
    <t>Delete Count</t>
  </si>
  <si>
    <t>PRD EXPORT COUNT</t>
  </si>
  <si>
    <t>table name</t>
  </si>
  <si>
    <t>Prd Exp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</si>
</sst>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1" fillId="0" borderId="0" xfId="0" applyFont="1"/>
    <xf numFmtId="0" fontId="1" fillId="0" borderId="0" xfId="0" pivotButton="1" applyFont="1"/>
    <xf numFmtId="0" fontId="0" fillId="2" borderId="0" xfId="0" applyFill="1" applyAlignment="1">
      <alignment horizontal="left"/>
    </xf>
    <xf numFmtId="0" fontId="0" fillId="2" borderId="0" xfId="0" applyFill="1"/>
    <xf numFmtId="0" fontId="0" fillId="0" borderId="0" xfId="0" pivotButton="1"/>
    <xf numFmtId="0" fontId="1" fillId="3" borderId="0" xfId="0" applyFont="1" applyFill="1"/>
  </cellXfs>
  <cellStyles count="1">
    <cellStyle name="Normal" xfId="0" builtinId="0"/>
  </cellStyles>
  <dxfs count="10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ngh, Anandmohan" refreshedDate="46031.538756249996" createdVersion="8" refreshedVersion="8" minRefreshableVersion="3" recordCount="369" xr:uid="{701C6634-A11C-4E83-A1FE-0DFF43BD7F1A}">
  <cacheSource type="worksheet">
    <worksheetSource ref="A1:B1048576" sheet="Sheet1"/>
  </cacheSource>
  <cacheFields count="2">
    <cacheField name="Table Name" numFmtId="0">
      <sharedItems containsBlank="1" count="358">
        <s v="PS_EOAWSTPINST_HXX"/>
        <s v="PS_EOAW_SUMM_HXX"/>
        <s v="PS_EOAW_WL_HXX"/>
        <s v="PS_GP_ABSSXREF_HXX"/>
        <s v="PS_GP_ABS_FCST_HXX"/>
        <s v="PS_BL_ADJ_CN_TAX_H"/>
        <s v="PS_BN_DEMG_WK_H_XX"/>
        <s v="PS_BNX75_GEN_H_XX"/>
        <s v="PS_DISABILTY_BEN_H"/>
        <s v="PS_BNX74_STG_H_XX"/>
        <s v="PS_BNX74_GEN_H_XX"/>
        <s v="PS_SCK_SPO_HR_H_XX"/>
        <s v="PS_SCK_CA_HRS_H_XX"/>
        <s v="PS_CA_CNTRHDR_H_XX"/>
        <s v="PS_CHECK_YTD_H"/>
        <s v="PS_DEDUCTION_BAL_H"/>
        <s v="PS_CAN_YE_DETIL_H"/>
        <s v="PS_SM_DF_DCINT_HXX"/>
        <s v="PS_SM_OB_C_TAX_HXX"/>
        <s v="PS_SM_OB_EMCNT_HXX"/>
        <s v="PS_SM_OBINVEML_HXX"/>
        <s v="PS_SM_OB_TLICS_HXX"/>
        <s v="PS_PAY_CHKREN_H_XX"/>
        <s v="PS_PAY_GARNISH_H"/>
        <s v="PS_PAY_INS_EARNS_H"/>
        <s v="PS_PAY_LINE_H"/>
        <s v="PS_PAY_TAX_H"/>
        <s v="PS_PAY_TAX_GRSDE_H"/>
        <s v="PS_CDMLISTHIS_H_XX"/>
        <s v="PS_PRCRQSTFLE_H_XX"/>
        <s v="PS_PROJECT_H_XX"/>
        <s v="PS_PERX0056E1_H_XX"/>
        <s v="PS_EMPLMT_WL_H_XX"/>
        <s v="PS_DISABILITY_H_XX"/>
        <s v="PS_CAN_TX_BALNCE_H"/>
        <s v="PS_CAN_TAX_DATA_H"/>
        <s v="PS_CBR_PRTC_PLAN_H"/>
        <s v="PS_CITIZENPSS_H_XX"/>
        <s v="PS_EMRGNCYPHN_H_XX"/>
        <s v="PS_EMPLCHKLST_H_XX"/>
        <s v="PS_EMPL_PHOTO_H_XX"/>
        <s v="PS_GARNSPECXX_H_XX"/>
        <s v="PS_HPBDCKLOG_H_XX"/>
        <s v="PS_PERCHECKLI_H_XX"/>
        <s v="PS_PERCHKLSTI_H_XX"/>
        <s v="PS_PERORGASGN_H_XX"/>
        <s v="PS_PY_BNK_TBL_H_XX"/>
        <s v="PS_TLEMPLDATA_H_XX"/>
        <s v="PS_PERSSRCHWL_H_XX"/>
        <s v="PS_TL_APP_XRF_H_XX"/>
        <s v="PS_TL_EMPLAUD_H_XX"/>
        <s v="PS_TL_APP_HDR_H_XX"/>
        <s v="PS_TL_APP_RPT_H_XX"/>
        <s v="PS_TRNX0004_H_XX"/>
        <s v="PS_TEBURDENX_H_XX"/>
        <s v="PS_TL_REP_LR_H_XX"/>
        <s v="PS_TL_RPT_TIME_HST"/>
        <s v="PS_TL_XREFCOST_HST"/>
        <s v="PS_BAL_ADJ_DED_H"/>
        <s v="PS_LEAVE_ACCRUAL_H"/>
        <s v="PS_BNX75_EMP_H_XX"/>
        <s v="PS_LIFE_ADD_BEN_H"/>
        <s v="PS_SCK_RI_P_H_XX"/>
        <s v="PS_SCK_SDC_HR_H_XX"/>
        <s v="PS_SCK_NN_PRO_H_XX"/>
        <s v="PS_SCK_NC_PRO_H_XX"/>
        <s v="PS_PTO_CK_PRO_H_XX"/>
        <s v="PS_SCK_DC_HRS_H_XX"/>
        <s v="PS_SCK_IL_PRO_H_XX"/>
        <s v="PS_SCK_MGC_HR_H_XX"/>
        <s v="PS_CA_DETAIL_H_XX"/>
        <s v="PS_TAX_BALANCE_H"/>
        <s v="PS_CAN_EN_BALNCE_H"/>
        <s v="PS_GP_PYESOVR_HXX"/>
        <s v="PS_FINAL_HRS3_H_XX"/>
        <s v="PS_FINAL_HRS0_H_XX"/>
        <s v="PS_SM_OBUPDHR_HXX"/>
        <s v="PS_SM_OB_DRDPD_HXX"/>
        <s v="PS_PAY_DISTRIBTN_H"/>
        <s v="PS_PRCRQSTHIS_H_XX"/>
        <s v="PS_PROJ_ACT_H_XX"/>
        <s v="PS_PERX0056E2_H_XX"/>
        <s v="PS_PERX0056E3_H_XX"/>
        <s v="PS_BN55EMPSTG_H_XX"/>
        <s v="PS_BN55PAYTM1_H_XX"/>
        <s v="PS_DATACHGFIL_H_XX"/>
        <s v="PS_DIVERSRELI_H_XX"/>
        <s v="PS_PERSONALDA_H_XX"/>
        <s v="PS_ADD_PY_DRW_H_XX"/>
        <s v="PS_DEPBENADDR_H_XX"/>
        <s v="PS_EMAILADRS_H_XX"/>
        <s v="PS_EMPLOYEES_H_XX"/>
        <s v="PS_EMPLCHECKL_H_XX"/>
        <s v="PS_EXCP_AUDIT_H_XX"/>
        <s v="PS_GARN_RULE_H"/>
        <s v="PS_JOB_XX_H_XX"/>
        <s v="PS_NAMES_H_XX"/>
        <s v="PS_PERSAPPLIN_H_XX"/>
        <s v="PS_PERSAPPLRE_H_XX"/>
        <s v="PS_PERS_NID_H_XX"/>
        <s v="PS_PERSSMOKER_H_XX"/>
        <s v="PS_PERX0019WR_H_XX"/>
        <s v="PS_VISAPMTSUP_H_XX"/>
        <s v="PS_PERX33300W_H_XX"/>
        <s v="PS_EID_FILETL_H_XX"/>
        <s v="PS_TL_RTROPER_H_XX"/>
        <s v="PS_GP_ABSSSDAT_HXX"/>
        <s v="PS_BAL_ADJ_ERN_H"/>
        <s v="PS_BL_ADJ_CN_CHK_H"/>
        <s v="PS_BL_ADJ_CN_DED_H"/>
        <s v="PS_SCK_SA_PRO_H_XX"/>
        <s v="PS_SCK_WA_HRS_H_XX"/>
        <s v="PS_SCK_POR_PR_H_XX"/>
        <s v="PS_SCK_JR_HRS_H_XX"/>
        <s v="PS_SCK_JR_PRO_H_XX"/>
        <s v="PS_CA_BILLPLN_H_XX"/>
        <s v="PS_CABLLPLNXX_H_XX"/>
        <s v="PS_EOAW_UINST_HXX"/>
        <s v="PS_GPPOS_INSTGXX_H"/>
        <s v="PS_GPX0003_STGXX_H"/>
        <s v="PS_CAN_YE_SLIP_H"/>
        <s v="PS_SM_OB_W_REC_HXX"/>
        <s v="PS_SM_OB_PHONE_HXX"/>
        <s v="PS_DOL_PAY_AD_H_XX"/>
        <s v="PS_PAY_TM_EXP_H_XX"/>
        <s v="PS_PAY_CHECK_H"/>
        <s v="PS_PAY_TAX_CAN_H"/>
        <s v="PS_CDMAUTHIST_H_XX"/>
        <s v="PS_PROJ_TEAM_H_XX"/>
        <s v="PS_TL_RTS_PRJ_H_XX"/>
        <s v="PS_PERX0049TM_H_XX"/>
        <s v="PS_BEN_PRGPRTC_HXX"/>
        <s v="PS_CBR_PARTIC_H"/>
        <s v="PS_COMPNSTION_H_XX"/>
        <s v="PS_CONTRACTDA_H_XX"/>
        <s v="PS_DEPBENRIDE_H_XX"/>
        <s v="PS_GARN_BALANCE_H"/>
        <s v="PS_GARN_EMPL_DED_H"/>
        <s v="PS_GARN_SCHED_H"/>
        <s v="PS_GENL_DED_CD_H"/>
        <s v="PS_JOB_ERNDST_H_XX"/>
        <s v="PS_JOB_IND_H_XX"/>
        <s v="PS_JOB_JR_H_XX"/>
        <s v="PS_PAYROLL_DATA_H"/>
        <s v="PS_PERSDATAEF_H_XX"/>
        <s v="PS_PERX0019TM_H_XX"/>
        <s v="PS_PERX33700W_H_XX"/>
        <s v="PS_PYEBANKACT_H_XX"/>
        <s v="PS_PERX0020WR_H_XX"/>
        <s v="PS_AUDITTLRTS_H_XX"/>
        <s v="PS_TL_BIR_EID_H_XX"/>
        <s v="PS_EOAW_COMNTS_HXX"/>
        <s v="PS_TLTRCOMNTS_H_XX"/>
        <s v="PS_PSL_PAYDAT_H_XX"/>
        <s v="PS_BN_ENRL_WK_H_XX"/>
        <s v="PS_SAVING_PLN_H_XX"/>
        <s v="PS_SCK_RI_HR_H_XX"/>
        <s v="PS_SCK_TAC_P_H_XX"/>
        <s v="PS_SCK_DC_PRO_H_XX"/>
        <s v="PS_SCK_FED_HR_H_XX"/>
        <s v="PS_BEN_SICK_H_XX"/>
        <s v="PS_CA_DT_PROJ_H_XX"/>
        <s v="PS_CAN_DD_BALANC_H"/>
        <s v="PS_GP_PYEOVRD_H_XX"/>
        <s v="PS_GP_POVRSOVR_HXX"/>
        <s v="PS_GP_PIMNSOVR_HXX"/>
        <s v="PS_SM_OB_DFXRF_HXX"/>
        <s v="PS_SM_OB_PERSN_HXX"/>
        <s v="PS_SM_OBPYOPTN_HXX"/>
        <s v="PS_SM_OBADLPY_HXX"/>
        <s v="PS_SM_OB_BONUS_HXX"/>
        <s v="PS_SM_OBINVHDR_HXX"/>
        <s v="PS_PAY_EXP_DT_H_XX"/>
        <s v="PS_PAY_OTH_EARNS_H"/>
        <s v="PS_PAY_PAGE_H"/>
        <s v="PS_PAY_TAX_OVRD_H"/>
        <s v="PS_CDM_F_LTXX_H_XX"/>
        <s v="PS_PRCDISTHIS_H_XX"/>
        <s v="PS_PRCTXFRHIS_H_XX"/>
        <s v="PS_PRJ_TMACDT_H_XX"/>
        <s v="PS_TL_RTS_ACT_H_XX"/>
        <s v="PS_PERX0056L2_H_XX"/>
        <s v="PS_ADDL_PAY_DATA_H"/>
        <s v="PS_ADD_PAY_EFFDT_H"/>
        <s v="PS_DEPBEN_EFF_H_XX"/>
        <s v="PS_DEPBENNAME_H_XX"/>
        <s v="PS_DRIVERSLIC_H_XX"/>
        <s v="PS_FED_TAX_DATA_H"/>
        <s v="PS_PERSONALPH_H_XX"/>
        <s v="PS_PERSONINFO_H_XX"/>
        <s v="PS_PER_DT_EME_H_XX"/>
        <s v="PS_PERX0033TM_H_XX"/>
        <s v="PS_TL_IPT1_CNT_HST"/>
        <s v="PS_TL_FRCSPYBL_HST"/>
        <s v="PS_BL_ADJ_CN_ERN_H"/>
        <s v="PS_SCK_TAC_HR_H_XX"/>
        <s v="PS_SCK_WA_PRO_H_XX"/>
        <s v="PS_SCK_OAK_P_H_XX"/>
        <s v="PS_SCK_POR_HR_H_XX"/>
        <s v="PS_SCK_MC_PRO_H_XX"/>
        <s v="PS_SCK_MN1_P_H_XX"/>
        <s v="PS_CA_BPLINES_H_XX"/>
        <s v="PS_GP_SEGTRGR_HXX"/>
        <s v="PS_FINAL_HRS1_H_XX"/>
        <s v="PS_FINAL_HRS2_H_XX"/>
        <s v="PS_SM_OBEM_NAM_HXX"/>
        <s v="PS_SM_OBEM_PHN_HXX"/>
        <s v="PS_PY_COMMENT_H_XX"/>
        <s v="PS_PAY_EARNINGS_H"/>
        <s v="PS_PAY_GARN_OVRD_H"/>
        <s v="PS_PRCPARMHIS_H_XX"/>
        <s v="PS_PRCQUEHIS_H_XX"/>
        <s v="PS_PRCRQSTSTR_H_XX"/>
        <s v="PS_PRCTXTHIS_H_XX"/>
        <s v="PS_PRJ_TMSCHD_H_XX"/>
        <s v="PS_JPMPROFILE_H_XX"/>
        <s v="PS_DIVERSETHN_H_XX"/>
        <s v="PS_CN_TX_PRVDTA_H"/>
        <s v="PS_EMPLYE_REVIEW_H"/>
        <s v="PS_EMP_APR_HR_H_XX"/>
        <s v="PS_GARN_SPEC_H"/>
        <s v="PS_JOB_HR_XX_H_XX"/>
        <s v="PS_LOCL_TAX_DATA_H"/>
        <s v="PS_STAT_TAX_DATA_H"/>
        <s v="PS_TL_HRTESTG_H_XX"/>
        <s v="PS_TL_PAYABLE_HST"/>
        <s v="PS_TL_RTSALOC_H_XX"/>
        <s v="PS_TL_XREF_TBL_HST"/>
        <s v="PS_GP_ABS_OVRD_HXX"/>
        <s v="PS_GP_ABSSSSTA_HXX"/>
        <s v="PS_BAL_ADJ_CHK_H"/>
        <s v="PS_HEALTH_DEPDNT_H"/>
        <s v="PS_BNX75_CVG_H_XX"/>
        <s v="PS_LIFE_AD_BNEFC_H"/>
        <s v="PS_BENX74_AUD_H_XX"/>
        <s v="PS_SCK_SPO_P_H_XX"/>
        <s v="PS_SICK_CT_HR_H_XX"/>
        <s v="PS_SICK_CT_PR_H_XX"/>
        <s v="PS_SCK_NWN_HR_H_XX"/>
        <s v="PS_SCK_AZ_HRS_H_XX"/>
        <s v="PS_SCK_IL1_HR_H_XX"/>
        <s v="PS_SCK_LAC_HR_H_XX"/>
        <s v="PS_SCK_LC_PRO_H_XX"/>
        <s v="PS_CAN_CHECK_YT_H"/>
        <s v="PS_GP_RTOTRGR_HXX"/>
        <s v="PS_CN_YE_AMND_E_H"/>
        <s v="PS_SM_OB_C_BNR_HXX"/>
        <s v="PS_SM_OB_W4FTX_HXX"/>
        <s v="PS_SM_OB_ADRES_HXX"/>
        <s v="PS_SM_OBINVPHN_HXX"/>
        <s v="PS_SM_OB_NAME_HXX"/>
        <s v="PS_PAY_CTX_OVRD_H"/>
        <s v="PS_PAY_ONE_TIME_H"/>
        <s v="PS_PAY_SPCL_EARN_H"/>
        <s v="PS_PRCJOBSTAT_H_XX"/>
        <s v="PS_PROJ_ACTST_H_XX"/>
        <s v="PS_TL_RTS_TRC_H_XX"/>
        <s v="PS_CNCRSAETBL_H_XX"/>
        <s v="PS_HRUSRIDDUP_H_XX"/>
        <s v="PS_PERX0048ST_H_XX"/>
        <s v="PS_BENF_PARTIC_HXX"/>
        <s v="PS_CITIZENSHP_H_XX"/>
        <s v="PS_EMERGENCYC_H_XX"/>
        <s v="PS_EMPAPPRDTL_H_XX"/>
        <s v="PS_FMLA_HOURS_H_XX"/>
        <s v="PS_HREXTEMP_H_XX"/>
        <s v="PS_JOB_H_XX"/>
        <s v="PS_PERSDATACA_H_XX"/>
        <s v="PS_PERSDATAUS_H_XX"/>
        <s v="PS_PERORGINST_H_XX"/>
        <s v="PS_PERPOIT_XX_H_XX"/>
        <s v="PS_PERX0033WR_H_XX"/>
        <s v="PS_TRNX0004WR_H_XX"/>
        <s v="PS_PURGEDATA_H_XX"/>
        <s v="PS_TL_PAY_HIST_HST"/>
        <s v="PS_TL_RT_ROP_H_XX"/>
        <s v="PS_FSA_BENEFIT_H"/>
        <s v="PS_HEALTH_BENFIT_H"/>
        <s v="PS_BN_EROR_WK_H_XX"/>
        <s v="PS_LEAVE_PLANN_H"/>
        <s v="PS_SAVINGS_PLAN_H"/>
        <s v="PS_SCK_SEA_HR_H_XX"/>
        <s v="PS_SCK_NYC_HR_H_XX"/>
        <s v="PS_SCK_AZ_PRO_H_XX"/>
        <s v="PS_BEN_LVSP_H_XX"/>
        <s v="PS_SCK_CA_P_H_XX"/>
        <s v="PS_SCK_FED_P_H_XX"/>
        <s v="PS_SCK_MN1_HR_H_XX"/>
        <s v="PS_BEN_SICKHR_H_XX"/>
        <s v="PS_EARNINGS_BAL_H"/>
        <s v="PS_CAN_YE_EMPL_H"/>
        <s v="PS_SM_OB_CC305_HXX"/>
        <s v="PS_SM_DF_STINT_HXX"/>
        <s v="PS_SM_OBSLF_ID_HXX"/>
        <s v="PS_SM_OBVSLFID_HXX"/>
        <s v="PS_SM_OBADLINF_HXX"/>
        <s v="PS_PY_CHECKFG_H_XX"/>
        <s v="PS_PYADV_SENT_H_XX"/>
        <s v="PS_PY_ABANCHK_H_XX"/>
        <s v="PS_PROJ_STAT_H_XX"/>
        <s v="PS_PRJ_ACT_TM_H_XX"/>
        <s v="PS_PERX0056D1_H_XX"/>
        <s v="PS_PERX0061ST_H_XX"/>
        <s v="PS_HCSCUSTEPA_H_XX"/>
        <s v="PS_PERX0009_H_XX"/>
        <s v="PS_PERX0056ST_H_XX"/>
        <s v="PS_BN_PERSON_H"/>
        <s v="PS_FMLA_H_XX"/>
        <s v="PS_ADD_PAY_ERNCD_H"/>
        <s v="PS_CBR_PRTC_OPTN_H"/>
        <s v="PS_EMP_WAGEL_CAN_H"/>
        <s v="PS_JOB_MIL_H_XX"/>
        <s v="PS_PERSON_H_XX"/>
        <s v="PS_PER_DT_FRA_H_XX"/>
        <s v="PS_PERPOI_XX_H_XX"/>
        <s v="PS_VISAPMTDAT_H_XX"/>
        <s v="PS_PERX0020TM_H_XX"/>
        <s v="PS_PERX33300T_H_XX"/>
        <s v="PS_TL_APP_LA_H_XX"/>
        <s v="PS_TLTCATTACH_H_XX"/>
        <s v="PS_EOAW_SUMDTL_HXX"/>
        <s v="PS_TL_PRJ_TM_H_XX"/>
        <s v="PS_TL_COMPLEAV_HST"/>
        <s v="PS_EOAW_HISCOM_HXX"/>
        <s v="PS_GP_ABSINTLG_HXX"/>
        <s v="PS_BL_ADJ_GRN_H"/>
        <s v="PS_BAL_ADJ_TAX_H"/>
        <s v="PS_SAVING_BNEFIC_H"/>
        <s v="PS_SCK_SC_PRO_H_XX"/>
        <s v="PS_SCK_OAK_HR_H_XX"/>
        <s v="PS_GP_PIMNLDTA_HXX"/>
        <s v="PS_SM_OBCTAX_P_HXX"/>
        <s v="PS_SM_OBC_SFID_HXX"/>
        <s v="PS_SM_OB_EMAIL_HXX"/>
        <s v="PS_SM_OBINVADR_HXX"/>
        <s v="PS_GENL_DEDUCTIN_H"/>
        <s v="PS_PYCHECK_HS_H_XX"/>
        <s v="PS_PYX0114_TM_H_XX"/>
        <s v="PS_PAY_DEDUCTION_H"/>
        <s v="PS_PERX0056B1_H_XX"/>
        <s v="PS_PERX0056P1_H_XX"/>
        <s v="PS_PERX0056S1_H_XX"/>
        <s v="PS_PERX0048ER_H_XX"/>
        <s v="PS_DIVERSITY_H_XX"/>
        <s v="PS_ADDRESSES_H_XX"/>
        <s v="PS_DEP_BEN_H_XX"/>
        <s v="PS_DEPBENEFNI_H_XX"/>
        <s v="PS_PERSNIDEXP_H_XX"/>
        <s v="PS_PERX33700T_H_XX"/>
        <s v="PS_PRIORWORKE_H_XX"/>
        <s v="PS_TAX_DISTRIB_H"/>
        <s v="PS_PERSDATAXX_H_XX"/>
        <s v="PS_PRIORWORKS_H_XX"/>
        <s v="PS_TL_MEALAUD_H_XX"/>
        <s v="PS_OB_ATTACH_H_XX"/>
        <s v="PS_TL_EXCEPTN_HST"/>
        <s v="PS_TLTRCOMNT_H_XX"/>
        <m/>
      </sharedItems>
    </cacheField>
    <cacheField name="Count" numFmtId="0">
      <sharedItems containsString="0" containsBlank="1" containsNumber="1" containsInteger="1" minValue="0" maxValue="459852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ngh, Anandmohan" refreshedDate="46034.525379050923" createdVersion="8" refreshedVersion="8" minRefreshableVersion="3" recordCount="369" xr:uid="{339ED4E2-ADC2-4B22-9A7D-E02ECEAB19E1}">
  <cacheSource type="worksheet">
    <worksheetSource ref="D1:E1048576" sheet="Generic 2"/>
  </cacheSource>
  <cacheFields count="2">
    <cacheField name="Table Name" numFmtId="0">
      <sharedItems containsBlank="1" count="358">
        <s v="PS_EOAWSTPINST_HXX"/>
        <s v="PS_EOAW_SUMM_HXX"/>
        <s v="PS_EOAW_WL_HXX"/>
        <s v="PS_GP_ABSSXREF_HXX"/>
        <s v="PS_GP_ABS_FCST_HXX"/>
        <s v="PS_BL_ADJ_CN_TAX_H"/>
        <s v="PS_BN_DEMG_WK_H_XX"/>
        <s v="PS_BNX75_GEN_H_XX"/>
        <s v="PS_DISABILTY_BEN_H"/>
        <s v="PS_BNX74_STG_H_XX"/>
        <s v="PS_BNX74_GEN_H_XX"/>
        <s v="PS_SCK_SPO_HR_H_XX"/>
        <s v="PS_SCK_CA_HRS_H_XX"/>
        <s v="PS_CA_CNTRHDR_H_XX"/>
        <s v="PS_CHECK_YTD_H"/>
        <s v="PS_DEDUCTION_BAL_H"/>
        <s v="PS_CAN_YE_DETIL_H"/>
        <s v="PS_SM_DF_DCINT_HXX"/>
        <s v="PS_SM_OB_C_TAX_HXX"/>
        <s v="PS_SM_OB_EMCNT_HXX"/>
        <s v="PS_SM_OBINVEML_HXX"/>
        <s v="PS_SM_OB_TLICS_HXX"/>
        <s v="PS_PAY_CHKREN_H_XX"/>
        <s v="PS_PAY_GARNISH_H"/>
        <s v="PS_PAY_INS_EARNS_H"/>
        <s v="PS_PAY_LINE_H"/>
        <s v="PS_PAY_TAX_H"/>
        <s v="PS_PAY_TAX_GRSDE_H"/>
        <s v="PS_CDMLISTHIS_H_XX"/>
        <s v="PS_PRCRQSTFLE_H_XX"/>
        <s v="PS_PROJECT_H_XX"/>
        <s v="PS_PERX0056E1_H_XX"/>
        <s v="PS_EMPLMT_WL_H_XX"/>
        <s v="PS_DISABILITY_H_XX"/>
        <s v="PS_CAN_TX_BALNCE_H"/>
        <s v="PS_CAN_TAX_DATA_H"/>
        <s v="PS_CBR_PRTC_PLAN_H"/>
        <s v="PS_CITIZENPSS_H_XX"/>
        <s v="PS_EMRGNCYPHN_H_XX"/>
        <s v="PS_EMPLCHKLST_H_XX"/>
        <s v="PS_EMPL_PHOTO_H_XX"/>
        <s v="PS_GARNSPECXX_H_XX"/>
        <s v="PS_HPBDCKLOG_H_XX"/>
        <s v="PS_PERCHECKLI_H_XX"/>
        <s v="PS_PERCHKLSTI_H_XX"/>
        <s v="PS_PERORGASGN_H_XX"/>
        <s v="PS_PY_BNK_TBL_H_XX"/>
        <s v="PS_TLEMPLDATA_H_XX"/>
        <s v="PS_PERSSRCHWL_H_XX"/>
        <s v="PS_TL_APP_XRF_H_XX"/>
        <s v="PS_TL_EMPLAUD_H_XX"/>
        <s v="PS_TL_APP_HDR_H_XX"/>
        <s v="PS_TL_APP_RPT_H_XX"/>
        <s v="PS_TRNX0004_H_XX"/>
        <s v="PS_TEBURDENX_H_XX"/>
        <s v="PS_TL_REP_LR_H_XX"/>
        <s v="PS_TL_RPT_TIME_HST"/>
        <s v="PS_TL_XREFCOST_HST"/>
        <s v="PS_BAL_ADJ_DED_H"/>
        <s v="PS_LEAVE_ACCRUAL_H"/>
        <s v="PS_BNX75_EMP_H_XX"/>
        <s v="PS_LIFE_ADD_BEN_H"/>
        <s v="PS_SCK_RI_P_H_XX"/>
        <s v="PS_SCK_SDC_HR_H_XX"/>
        <s v="PS_SCK_NN_PRO_H_XX"/>
        <s v="PS_SCK_NC_PRO_H_XX"/>
        <s v="PS_PTO_CK_PRO_H_XX"/>
        <s v="PS_SCK_DC_HRS_H_XX"/>
        <s v="PS_SCK_IL_PRO_H_XX"/>
        <s v="PS_SCK_MGC_HR_H_XX"/>
        <s v="PS_CA_DETAIL_H_XX"/>
        <s v="PS_TAX_BALANCE_H"/>
        <s v="PS_CAN_EN_BALNCE_H"/>
        <s v="PS_GP_PYESOVR_HXX"/>
        <s v="PS_FINAL_HRS3_H_XX"/>
        <s v="PS_FINAL_HRS0_H_XX"/>
        <s v="PS_SM_OBUPDHR_HXX"/>
        <s v="PS_SM_OB_DRDPD_HXX"/>
        <s v="PS_PAY_DISTRIBTN_H"/>
        <s v="PS_PRCRQSTHIS_H_XX"/>
        <s v="PS_PROJ_ACT_H_XX"/>
        <s v="PS_PERX0056E2_H_XX"/>
        <s v="PS_PERX0056E3_H_XX"/>
        <s v="PS_BN55EMPSTG_H_XX"/>
        <s v="PS_BN55PAYTM1_H_XX"/>
        <s v="PS_DATACHGFIL_H_XX"/>
        <s v="PS_DIVERSRELI_H_XX"/>
        <s v="PS_PERSONALDA_H_XX"/>
        <s v="PS_ADD_PY_DRW_H_XX"/>
        <s v="PS_DEPBENADDR_H_XX"/>
        <s v="PS_EMAILADRS_H_XX"/>
        <s v="PS_EMPLOYEES_H_XX"/>
        <s v="PS_EMPLCHECKL_H_XX"/>
        <s v="PS_EXCP_AUDIT_H_XX"/>
        <s v="PS_GARN_RULE_H"/>
        <s v="PS_JOB_XX_H_XX"/>
        <s v="PS_NAMES_H_XX"/>
        <s v="PS_PERSAPPLIN_H_XX"/>
        <s v="PS_PERSAPPLRE_H_XX"/>
        <s v="PS_PERS_NID_H_XX"/>
        <s v="PS_PERSSMOKER_H_XX"/>
        <s v="PS_PERX0019WR_H_XX"/>
        <s v="PS_VISAPMTSUP_H_XX"/>
        <s v="PS_PERX33300W_H_XX"/>
        <s v="PS_EID_FILETL_H_XX"/>
        <s v="PS_TL_RTROPER_H_XX"/>
        <s v="PS_GP_ABSSSDAT_HXX"/>
        <s v="PS_BAL_ADJ_ERN_H"/>
        <s v="PS_BL_ADJ_CN_CHK_H"/>
        <s v="PS_BL_ADJ_CN_DED_H"/>
        <s v="PS_SCK_SA_PRO_H_XX"/>
        <s v="PS_SCK_WA_HRS_H_XX"/>
        <s v="PS_SCK_POR_PR_H_XX"/>
        <s v="PS_SCK_JR_HRS_H_XX"/>
        <s v="PS_SCK_JR_PRO_H_XX"/>
        <s v="PS_CA_BILLPLN_H_XX"/>
        <s v="PS_CABLLPLNXX_H_XX"/>
        <s v="PS_EOAW_UINST_HXX"/>
        <s v="PS_GPPOS_INSTGXX_H"/>
        <s v="PS_GPX0003_STGXX_H"/>
        <s v="PS_CAN_YE_SLIP_H"/>
        <s v="PS_SM_OB_W_REC_HXX"/>
        <s v="PS_SM_OB_PHONE_HXX"/>
        <s v="PS_DOL_PAY_AD_H_XX"/>
        <s v="PS_PAY_TM_EXP_H_XX"/>
        <s v="PS_PAY_CHECK_H"/>
        <s v="PS_PAY_TAX_CAN_H"/>
        <s v="PS_CDMAUTHIST_H_XX"/>
        <s v="PS_PROJ_TEAM_H_XX"/>
        <s v="PS_TL_RTS_PRJ_H_XX"/>
        <s v="PS_PERX0049TM_H_XX"/>
        <s v="PS_BEN_PRGPRTC_HXX"/>
        <s v="PS_CBR_PARTIC_H"/>
        <s v="PS_COMPNSTION_H_XX"/>
        <s v="PS_CONTRACTDA_H_XX"/>
        <s v="PS_DEPBENRIDE_H_XX"/>
        <s v="PS_GARN_BALANCE_H"/>
        <s v="PS_GARN_EMPL_DED_H"/>
        <s v="PS_GARN_SCHED_H"/>
        <s v="PS_GENL_DED_CD_H"/>
        <s v="PS_JOB_ERNDST_H_XX"/>
        <s v="PS_JOB_IND_H_XX"/>
        <s v="PS_JOB_JR_H_XX"/>
        <s v="PS_PAYROLL_DATA_H"/>
        <s v="PS_PERSDATAEF_H_XX"/>
        <s v="PS_PERX0019TM_H_XX"/>
        <s v="PS_PERX33700W_H_XX"/>
        <s v="PS_PYEBANKACT_H_XX"/>
        <s v="PS_PERX0020WR_H_XX"/>
        <s v="PS_AUDITTLRTS_H_XX"/>
        <s v="PS_TL_BIR_EID_H_XX"/>
        <s v="PS_EOAW_COMNTS_HXX"/>
        <s v="PS_TLTRCOMNTS_H_XX"/>
        <s v="PS_PSL_PAYDAT_H_XX"/>
        <s v="PS_BN_ENRL_WK_H_XX"/>
        <s v="PS_SAVING_PLN_H_XX"/>
        <s v="PS_SCK_RI_HR_H_XX"/>
        <s v="PS_SCK_TAC_P_H_XX"/>
        <s v="PS_SCK_DC_PRO_H_XX"/>
        <s v="PS_SCK_FED_HR_H_XX"/>
        <s v="PS_BEN_SICK_H_XX"/>
        <s v="PS_CA_DT_PROJ_H_XX"/>
        <s v="PS_CAN_DD_BALANC_H"/>
        <s v="PS_GP_PYEOVRD_H_XX"/>
        <s v="PS_GP_POVRSOVR_HXX"/>
        <s v="PS_GP_PIMNSOVR_HXX"/>
        <s v="PS_SM_OB_DFXRF_HXX"/>
        <s v="PS_SM_OB_PERSN_HXX"/>
        <s v="PS_SM_OBPYOPTN_HXX"/>
        <s v="PS_SM_OBADLPY_HXX"/>
        <s v="PS_SM_OB_BONUS_HXX"/>
        <s v="PS_SM_OBINVHDR_HXX"/>
        <s v="PS_PAY_EXP_DT_H_XX"/>
        <s v="PS_PAY_OTH_EARNS_H"/>
        <s v="PS_PAY_PAGE_H"/>
        <s v="PS_PAY_TAX_OVRD_H"/>
        <s v="PS_CDM_F_LTXX_H_XX"/>
        <s v="PS_PRCDISTHIS_H_XX"/>
        <s v="PS_PRCTXFRHIS_H_XX"/>
        <s v="PS_PRJ_TMACDT_H_XX"/>
        <s v="PS_TL_RTS_ACT_H_XX"/>
        <s v="PS_PERX0056L2_H_XX"/>
        <s v="PS_ADDL_PAY_DATA_H"/>
        <s v="PS_ADD_PAY_EFFDT_H"/>
        <s v="PS_DEPBEN_EFF_H_XX"/>
        <s v="PS_DEPBENNAME_H_XX"/>
        <s v="PS_DRIVERSLIC_H_XX"/>
        <s v="PS_FED_TAX_DATA_H"/>
        <s v="PS_PERSONALPH_H_XX"/>
        <s v="PS_PERSONINFO_H_XX"/>
        <s v="PS_PER_DT_EME_H_XX"/>
        <s v="PS_PERX0033TM_H_XX"/>
        <s v="PS_TL_IPT1_CNT_HST"/>
        <s v="PS_TL_FRCSPYBL_HST"/>
        <s v="PS_BL_ADJ_CN_ERN_H"/>
        <s v="PS_SCK_TAC_HR_H_XX"/>
        <s v="PS_SCK_WA_PRO_H_XX"/>
        <s v="PS_SCK_OAK_P_H_XX"/>
        <s v="PS_SCK_POR_HR_H_XX"/>
        <s v="PS_SCK_MC_PRO_H_XX"/>
        <s v="PS_SCK_MN1_P_H_XX"/>
        <s v="PS_CA_BPLINES_H_XX"/>
        <s v="PS_GP_SEGTRGR_HXX"/>
        <s v="PS_FINAL_HRS1_H_XX"/>
        <s v="PS_FINAL_HRS2_H_XX"/>
        <s v="PS_SM_OBEM_NAM_HXX"/>
        <s v="PS_SM_OBEM_PHN_HXX"/>
        <s v="PS_PY_COMMENT_H_XX"/>
        <s v="PS_PAY_EARNINGS_H"/>
        <s v="PS_PAY_GARN_OVRD_H"/>
        <s v="PS_PRCPARMHIS_H_XX"/>
        <s v="PS_PRCQUEHIS_H_XX"/>
        <s v="PS_PRCRQSTSTR_H_XX"/>
        <s v="PS_PRCTXTHIS_H_XX"/>
        <s v="PS_PRJ_TMSCHD_H_XX"/>
        <s v="PS_JPMPROFILE_H_XX"/>
        <s v="PS_DIVERSETHN_H_XX"/>
        <s v="PS_CN_TX_PRVDTA_H"/>
        <s v="PS_EMPLYE_REVIEW_H"/>
        <s v="PS_EMP_APR_HR_H_XX"/>
        <s v="PS_GARN_SPEC_H"/>
        <s v="PS_JOB_HR_XX_H_XX"/>
        <s v="PS_LOCL_TAX_DATA_H"/>
        <s v="PS_STAT_TAX_DATA_H"/>
        <s v="PS_TL_HRTESTG_H_XX"/>
        <s v="PS_TL_PAYABLE_HST"/>
        <s v="PS_TL_RTSALOC_H_XX"/>
        <s v="PS_TL_XREF_TBL_HST"/>
        <s v="PS_GP_ABS_OVRD_HXX"/>
        <s v="PS_GP_ABSSSSTA_HXX"/>
        <s v="PS_BAL_ADJ_CHK_H"/>
        <s v="PS_HEALTH_DEPDNT_H"/>
        <s v="PS_BNX75_CVG_H_XX"/>
        <s v="PS_LIFE_AD_BNEFC_H"/>
        <s v="PS_BENX74_AUD_H_XX"/>
        <s v="PS_SCK_SPO_P_H_XX"/>
        <s v="PS_SICK_CT_HR_H_XX"/>
        <s v="PS_SICK_CT_PR_H_XX"/>
        <s v="PS_SCK_NWN_HR_H_XX"/>
        <s v="PS_SCK_AZ_HRS_H_XX"/>
        <s v="PS_SCK_IL1_HR_H_XX"/>
        <s v="PS_SCK_LAC_HR_H_XX"/>
        <s v="PS_SCK_LC_PRO_H_XX"/>
        <s v="PS_CAN_CHECK_YT_H"/>
        <s v="PS_GP_RTOTRGR_HXX"/>
        <s v="PS_CN_YE_AMND_E_H"/>
        <s v="PS_SM_OB_C_BNR_HXX"/>
        <s v="PS_SM_OB_W4FTX_HXX"/>
        <s v="PS_SM_OB_ADRES_HXX"/>
        <s v="PS_SM_OBINVPHN_HXX"/>
        <s v="PS_SM_OB_NAME_HXX"/>
        <s v="PS_PAY_CTX_OVRD_H"/>
        <s v="PS_PAY_ONE_TIME_H"/>
        <s v="PS_PAY_SPCL_EARN_H"/>
        <s v="PS_PRCJOBSTAT_H_XX"/>
        <s v="PS_PROJ_ACTST_H_XX"/>
        <s v="PS_TL_RTS_TRC_H_XX"/>
        <s v="PS_CNCRSAETBL_H_XX"/>
        <s v="PS_HRUSRIDDUP_H_XX"/>
        <s v="PS_PERX0048ST_H_XX"/>
        <s v="PS_BENF_PARTIC_HXX"/>
        <s v="PS_CITIZENSHP_H_XX"/>
        <s v="PS_EMERGENCYC_H_XX"/>
        <s v="PS_EMPAPPRDTL_H_XX"/>
        <s v="PS_FMLA_HOURS_H_XX"/>
        <s v="PS_HREXTEMP_H_XX"/>
        <s v="PS_JOB_H_XX"/>
        <s v="PS_PERSDATACA_H_XX"/>
        <s v="PS_PERSDATAUS_H_XX"/>
        <s v="PS_PERORGINST_H_XX"/>
        <s v="PS_PERPOIT_XX_H_XX"/>
        <s v="PS_PERX0033WR_H_XX"/>
        <s v="PS_TRNX0004WR_H_XX"/>
        <s v="PS_PURGEDATA_H_XX"/>
        <s v="PS_TL_PAY_HIST_HST"/>
        <s v="PS_TL_RT_ROP_H_XX"/>
        <s v="PS_FSA_BENEFIT_H"/>
        <s v="PS_HEALTH_BENFIT_H"/>
        <s v="PS_BN_EROR_WK_H_XX"/>
        <s v="PS_LEAVE_PLANN_H"/>
        <s v="PS_SAVINGS_PLAN_H"/>
        <s v="PS_SCK_SEA_HR_H_XX"/>
        <s v="PS_SCK_NYC_HR_H_XX"/>
        <s v="PS_SCK_AZ_PRO_H_XX"/>
        <s v="PS_BEN_LVSP_H_XX"/>
        <s v="PS_SCK_CA_P_H_XX"/>
        <s v="PS_SCK_FED_P_H_XX"/>
        <s v="PS_SCK_MN1_HR_H_XX"/>
        <s v="PS_BEN_SICKHR_H_XX"/>
        <s v="PS_EARNINGS_BAL_H"/>
        <s v="PS_CAN_YE_EMPL_H"/>
        <s v="PS_SM_OB_CC305_HXX"/>
        <s v="PS_SM_DF_STINT_HXX"/>
        <s v="PS_SM_OBSLF_ID_HXX"/>
        <s v="PS_SM_OBVSLFID_HXX"/>
        <s v="PS_SM_OBADLINF_HXX"/>
        <s v="PS_PY_CHECKFG_H_XX"/>
        <s v="PS_PYADV_SENT_H_XX"/>
        <s v="PS_PY_ABANCHK_H_XX"/>
        <s v="PS_PROJ_STAT_H_XX"/>
        <s v="PS_PRJ_ACT_TM_H_XX"/>
        <s v="PS_PERX0056D1_H_XX"/>
        <s v="PS_PERX0061ST_H_XX"/>
        <s v="PS_HCSCUSTEPA_H_XX"/>
        <s v="PS_PERX0009_H_XX"/>
        <s v="PS_PERX0056ST_H_XX"/>
        <s v="PS_BN_PERSON_H"/>
        <s v="PS_FMLA_H_XX"/>
        <s v="PS_ADD_PAY_ERNCD_H"/>
        <s v="PS_CBR_PRTC_OPTN_H"/>
        <s v="PS_EMP_WAGEL_CAN_H"/>
        <s v="PS_JOB_MIL_H_XX"/>
        <s v="PS_PERSON_H_XX"/>
        <s v="PS_PER_DT_FRA_H_XX"/>
        <s v="PS_PERPOI_XX_H_XX"/>
        <s v="PS_VISAPMTDAT_H_XX"/>
        <s v="PS_PERX0020TM_H_XX"/>
        <s v="PS_PERX33300T_H_XX"/>
        <s v="PS_TL_APP_LA_H_XX"/>
        <s v="PS_TLTCATTACH_H_XX"/>
        <s v="PS_EOAW_SUMDTL_HXX"/>
        <s v="PS_TL_PRJ_TM_H_XX"/>
        <s v="PS_TL_COMPLEAV_HST"/>
        <s v="PS_EOAW_HISCOM_HXX"/>
        <s v="PS_GP_ABSINTLG_HXX"/>
        <s v="PS_BL_ADJ_GRN_H"/>
        <s v="PS_BAL_ADJ_TAX_H"/>
        <s v="PS_SAVING_BNEFIC_H"/>
        <s v="PS_SCK_SC_PRO_H_XX"/>
        <s v="PS_SCK_OAK_HR_H_XX"/>
        <s v="PS_GP_PIMNLDTA_HXX"/>
        <s v="PS_SM_OBCTAX_P_HXX"/>
        <s v="PS_SM_OBC_SFID_HXX"/>
        <s v="PS_SM_OB_EMAIL_HXX"/>
        <s v="PS_SM_OBINVADR_HXX"/>
        <s v="PS_GENL_DEDUCTIN_H"/>
        <s v="PS_PYCHECK_HS_H_XX"/>
        <s v="PS_PYX0114_TM_H_XX"/>
        <s v="PS_PAY_DEDUCTION_H"/>
        <s v="PS_PERX0056B1_H_XX"/>
        <s v="PS_PERX0056P1_H_XX"/>
        <s v="PS_PERX0056S1_H_XX"/>
        <s v="PS_PERX0048ER_H_XX"/>
        <s v="PS_DIVERSITY_H_XX"/>
        <s v="PS_ADDRESSES_H_XX"/>
        <s v="PS_DEP_BEN_H_XX"/>
        <s v="PS_DEPBENEFNI_H_XX"/>
        <s v="PS_PERSNIDEXP_H_XX"/>
        <s v="PS_PERX33700T_H_XX"/>
        <s v="PS_PRIORWORKE_H_XX"/>
        <s v="PS_TAX_DISTRIB_H"/>
        <s v="PS_PERSDATAXX_H_XX"/>
        <s v="PS_PRIORWORKS_H_XX"/>
        <s v="PS_TL_MEALAUD_H_XX"/>
        <s v="PS_OB_ATTACH_H_XX"/>
        <s v="PS_TL_EXCEPTN_HST"/>
        <s v="PS_TLTRCOMNT_H_XX"/>
        <m/>
      </sharedItems>
    </cacheField>
    <cacheField name="Count" numFmtId="0">
      <sharedItems containsString="0" containsBlank="1" containsNumber="1" containsInteger="1" minValue="0" maxValue="459852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ngh, Anandmohan" refreshedDate="46034.536808217592" createdVersion="8" refreshedVersion="8" minRefreshableVersion="3" recordCount="367" xr:uid="{723BBAC6-EEA5-490D-B595-648DDFA457FB}">
  <cacheSource type="worksheet">
    <worksheetSource ref="A1:B1048576" sheet="Sheet4"/>
  </cacheSource>
  <cacheFields count="2">
    <cacheField name="Table Name" numFmtId="0">
      <sharedItems containsBlank="1" count="357">
        <s v="PS_EOAWSTPINST_HXX"/>
        <s v="PS_EOAW_COMNTS_HXX"/>
        <s v="PS_EOAW_HISCOM_HXX"/>
        <s v="PS_EOAW_SUMDTL_HXX"/>
        <s v="PS_EOAW_SUMM_HXX"/>
        <s v="PS_EOAW_WL_HXX"/>
        <s v="PS_GP_ABSSXREF_HXX"/>
        <s v="PS_GP_ABS_FCST_HXX"/>
        <s v="PS_GP_ABSINTLG_HXX"/>
        <s v="PS_GP_ABS_OVRD_HXX"/>
        <s v="PS_GP_ABSSSDAT_HXX"/>
        <s v="PS_GP_ABSSSSTA_HXX"/>
        <s v="PS_BAL_ADJ_TAX_H"/>
        <s v="PS_BAL_ADJ_ERN_H"/>
        <s v="PS_BAL_ADJ_CHK_H"/>
        <s v="PS_BAL_ADJ_DED_H"/>
        <s v="PS_BL_ADJ_GRN_H"/>
        <s v="PS_BL_ADJ_CN_TAX_H"/>
        <s v="PS_BL_ADJ_CN_ERN_H"/>
        <s v="PS_BL_ADJ_CN_CHK_H"/>
        <s v="PS_BL_ADJ_CN_DED_H"/>
        <s v="PS_PSL_PAYDAT_H_XX"/>
        <s v="PS_HEALTH_BENFIT_H"/>
        <s v="PS_HEALTH_DEPDNT_H"/>
        <s v="PS_FSA_BENEFIT_H"/>
        <s v="PS_LEAVE_ACCRUAL_H"/>
        <s v="PS_BN_ENRL_WK_H_XX"/>
        <s v="PS_BN_DEMG_WK_H_XX"/>
        <s v="PS_BN_EROR_WK_H_XX"/>
        <s v="PS_LEAVE_PLANN_H"/>
        <s v="PS_BNX75_CVG_H_XX"/>
        <s v="PS_BNX75_EMP_H_XX"/>
        <s v="PS_BNX75_GEN_H_XX"/>
        <s v="PS_SAVINGS_PLAN_H"/>
        <s v="PS_SAVING_BNEFIC_H"/>
        <s v="PS_SAVING_PLN_H_XX"/>
        <s v="PS_DISABILTY_BEN_H"/>
        <s v="PS_LIFE_ADD_BEN_H"/>
        <s v="PS_LIFE_AD_BNEFC_H"/>
        <s v="PS_BENX74_AUD_H_XX"/>
        <s v="PS_BNX74_GEN_H_XX"/>
        <s v="PS_BNX74_STG_H_XX"/>
        <s v="PS_SCK_RI_HR_H_XX"/>
        <s v="PS_SCK_RI_P_H_XX"/>
        <s v="PS_SCK_SC_PRO_H_XX"/>
        <s v="PS_SCK_SDC_HR_H_XX"/>
        <s v="PS_SCK_SA_PRO_H_XX"/>
        <s v="PS_SCK_SEA_HR_H_XX"/>
        <s v="PS_SCK_SPO_HR_H_XX"/>
        <s v="PS_SCK_SPO_P_H_XX"/>
        <s v="PS_SCK_TAC_HR_H_XX"/>
        <s v="PS_SCK_TAC_P_H_XX"/>
        <s v="PS_SCK_WA_HRS_H_XX"/>
        <s v="PS_SCK_WA_PRO_H_XX"/>
        <s v="PS_SICK_CT_HR_H_XX"/>
        <s v="PS_SICK_CT_PR_H_XX"/>
        <s v="PS_SCK_NN_PRO_H_XX"/>
        <s v="PS_SCK_NWN_HR_H_XX"/>
        <s v="PS_SCK_NC_PRO_H_XX"/>
        <s v="PS_SCK_NYC_HR_H_XX"/>
        <s v="PS_SCK_OAK_HR_H_XX"/>
        <s v="PS_SCK_OAK_P_H_XX"/>
        <s v="PS_SCK_POR_HR_H_XX"/>
        <s v="PS_SCK_POR_PR_H_XX"/>
        <s v="PS_SCK_AZ_HRS_H_XX"/>
        <s v="PS_SCK_AZ_PRO_H_XX"/>
        <s v="PS_BEN_LVSP_H_XX"/>
        <s v="PS_PTO_CK_PRO_H_XX"/>
        <s v="PS_SCK_CA_HRS_H_XX"/>
        <s v="PS_SCK_CA_P_H_XX"/>
        <s v="PS_SCK_DC_HRS_H_XX"/>
        <s v="PS_SCK_DC_PRO_H_XX"/>
        <s v="PS_SCK_FED_HR_H_XX"/>
        <s v="PS_SCK_FED_P_H_XX"/>
        <s v="PS_SCK_IL1_HR_H_XX"/>
        <s v="PS_SCK_IL_PRO_H_XX"/>
        <s v="PS_SCK_JR_HRS_H_XX"/>
        <s v="PS_SCK_JR_PRO_H_XX"/>
        <s v="PS_SCK_LAC_HR_H_XX"/>
        <s v="PS_SCK_LC_PRO_H_XX"/>
        <s v="PS_SCK_MC_PRO_H_XX"/>
        <s v="PS_SCK_MGC_HR_H_XX"/>
        <s v="PS_SCK_MN1_HR_H_XX"/>
        <s v="PS_SCK_MN1_P_H_XX"/>
        <s v="PS_BEN_SICKHR_H_XX"/>
        <s v="PS_BEN_SICK_H_XX"/>
        <s v="PS_CA_DT_PROJ_H_XX"/>
        <s v="PS_CA_DETAIL_H_XX"/>
        <s v="PS_CA_BILLPLN_H_XX"/>
        <s v="PS_CA_CNTRHDR_H_XX"/>
        <s v="PS_CA_BPLINES_H_XX"/>
        <s v="PS_CABLLPLNXX_H_XX"/>
        <s v="PS_EARNINGS_BAL_H"/>
        <s v="PS_TAX_BALANCE_H"/>
        <s v="PS_CHECK_YTD_H"/>
        <s v="PS_DEDUCTION_BAL_H"/>
        <s v="PS_CAN_CHECK_YT_H"/>
        <s v="PS_CAN_EN_BALNCE_H"/>
        <s v="PS_CAN_DD_BALANC_H"/>
        <s v="PS_EOAW_UINST_HXX"/>
        <s v="PS_GP_RTOTRGR_HXX"/>
        <s v="PS_GP_POVRSOVR_HXX"/>
        <s v="PS_GP_PYEOVRD_H_XX"/>
        <s v="PS_GP_PYESOVR_HXX"/>
        <s v="PS_GPPOS_INSTGXX_H"/>
        <s v="PS_GPX0003_STGXX_H"/>
        <s v="PS_GP_PIMNLDTA_HXX"/>
        <s v="PS_GP_PIMNSOVR_HXX"/>
        <s v="PS_GP_SEGTRGR_HXX"/>
        <s v="PS_CAN_YE_DETIL_H"/>
        <s v="PS_CAN_YE_EMPL_H"/>
        <s v="PS_CAN_YE_SLIP_H"/>
        <s v="PS_CN_YE_AMND_E_H"/>
        <s v="PS_FINAL_HRS0_H_XX"/>
        <s v="PS_FINAL_HRS1_H_XX"/>
        <s v="PS_FINAL_HRS2_H_XX"/>
        <s v="PS_FINAL_HRS3_H_XX"/>
        <s v="PS_SM_OB_DFXRF_HXX"/>
        <s v="PS_SM_DF_DCINT_HXX"/>
        <s v="PS_SM_DF_STINT_HXX"/>
        <s v="PS_SM_OBADLINF_HXX"/>
        <s v="PS_SM_OBADLPY_HXX"/>
        <s v="PS_SM_OBCTAX_P_HXX"/>
        <s v="PS_SM_OBC_SFID_HXX"/>
        <s v="PS_SM_OBEM_NAM_HXX"/>
        <s v="PS_SM_OBEM_PHN_HXX"/>
        <s v="PS_SM_OBINVADR_HXX"/>
        <s v="PS_SM_OBINVEML_HXX"/>
        <s v="PS_SM_OBINVHDR_HXX"/>
        <s v="PS_SM_OBINVPHN_HXX"/>
        <s v="PS_SM_OBPYOPTN_HXX"/>
        <s v="PS_SM_OBSLF_ID_HXX"/>
        <s v="PS_SM_OBUPDHR_HXX"/>
        <s v="PS_SM_OBVSLFID_HXX"/>
        <s v="PS_SM_OB_ADRES_HXX"/>
        <s v="PS_SM_OB_BONUS_HXX"/>
        <s v="PS_SM_OB_CC305_HXX"/>
        <s v="PS_SM_OB_C_BNR_HXX"/>
        <s v="PS_SM_OB_C_TAX_HXX"/>
        <s v="PS_SM_OB_DRDPD_HXX"/>
        <s v="PS_SM_OB_EMAIL_HXX"/>
        <s v="PS_SM_OB_EMCNT_HXX"/>
        <s v="PS_SM_OB_NAME_HXX"/>
        <s v="PS_SM_OB_PERSN_HXX"/>
        <s v="PS_SM_OB_PHONE_HXX"/>
        <s v="PS_SM_OB_TLICS_HXX"/>
        <s v="PS_SM_OB_W4FTX_HXX"/>
        <s v="PS_SM_OB_W_REC_HXX"/>
        <s v="PS_GENL_DEDUCTIN_H"/>
        <s v="PS_DOL_PAY_AD_H_XX"/>
        <s v="PS_PAY_TAX_H"/>
        <s v="PS_PAY_OTH_EARNS_H"/>
        <s v="PS_PAY_DISTRIBTN_H"/>
        <s v="PS_PY_COMMENT_H_XX"/>
        <s v="PS_PAY_INS_EARNS_H"/>
        <s v="PS_PAY_EXP_DT_H_XX"/>
        <s v="PS_PAY_TM_EXP_H_XX"/>
        <s v="PS_PYCHECK_HS_H_XX"/>
        <s v="PS_PAY_TAX_OVRD_H"/>
        <s v="PS_PY_ABANCHK_H_XX"/>
        <s v="PS_PAY_GARNISH_H"/>
        <s v="PS_PY_CHECKFG_H_XX"/>
        <s v="PS_PAY_GARN_OVRD_H"/>
        <s v="PS_PAY_CTX_OVRD_H"/>
        <s v="PS_PAY_CHKREN_H_XX"/>
        <s v="PS_PAY_TAX_GRSDE_H"/>
        <s v="PS_PYADV_SENT_H_XX"/>
        <s v="PS_PYX0114_TM_H_XX"/>
        <s v="PS_PAY_ONE_TIME_H"/>
        <s v="PS_PAY_PAGE_H"/>
        <s v="PS_PAY_TAX_CAN_H"/>
        <s v="PS_PAY_LINE_H"/>
        <s v="PS_PAY_DEDUCTION_H"/>
        <s v="PS_PAY_CHECK_H"/>
        <s v="PS_PAY_EARNINGS_H"/>
        <s v="PS_PAY_SPCL_EARN_H"/>
        <s v="PS_CDMLISTHIS_H_XX"/>
        <s v="PS_PRCRQSTSTR_H_XX"/>
        <s v="PS_CDMAUTHIST_H_XX"/>
        <s v="PS_PRCRQSTFLE_H_XX"/>
        <s v="PS_PRCTXFRHIS_H_XX"/>
        <s v="PS_PRCJOBSTAT_H_XX"/>
        <s v="PS_PRCDISTHIS_H_XX"/>
        <s v="PS_PRCTXTHIS_H_XX"/>
        <s v="PS_PRCRQSTHIS_H_XX"/>
        <s v="PS_CDM_F_LTXX_H_XX"/>
        <s v="PS_PRCQUEHIS_H_XX"/>
        <s v="PS_PRCPARMHIS_H_XX"/>
        <s v="PS_PROJ_ACT_H_XX"/>
        <s v="PS_PROJECT_H_XX"/>
        <s v="PS_PROJ_STAT_H_XX"/>
        <s v="PS_PROJ_ACTST_H_XX"/>
        <s v="PS_PRJ_TMSCHD_H_XX"/>
        <s v="PS_PROJ_TEAM_H_XX"/>
        <s v="PS_TL_RTS_TRC_H_XX"/>
        <s v="PS_TL_RTS_ACT_H_XX"/>
        <s v="PS_TL_RTS_PRJ_H_XX"/>
        <s v="PS_PRJ_ACT_TM_H_XX"/>
        <s v="PS_PRJ_TMACDT_H_XX"/>
        <s v="PS_PERX0056B1_H_XX"/>
        <s v="PS_PERX0056D1_H_XX"/>
        <s v="PS_PERX0056E1_H_XX"/>
        <s v="PS_PERX0056L2_H_XX"/>
        <s v="PS_PERX0056P1_H_XX"/>
        <s v="PS_PERX0056S1_H_XX"/>
        <s v="PS_PERX0056E2_H_XX"/>
        <s v="PS_PERX0056E3_H_XX"/>
        <s v="PS_PERX0061ST_H_XX"/>
        <s v="PS_BN55EMPSTG_H_XX"/>
        <s v="PS_BN55PAYTM1_H_XX"/>
        <s v="PS_CNCRSAETBL_H_XX"/>
        <s v="PS_DATACHGFIL_H_XX"/>
        <s v="PS_PERX0048ER_H_XX"/>
        <s v="PS_EMPLMT_WL_H_XX"/>
        <s v="PS_HCSCUSTEPA_H_XX"/>
        <s v="PS_HRUSRIDDUP_H_XX"/>
        <s v="PS_JPMPROFILE_H_XX"/>
        <s v="PS_PERX0009_H_XX"/>
        <s v="PS_PERX0048ST_H_XX"/>
        <s v="PS_PERX0049TM_H_XX"/>
        <s v="PS_PERX0056ST_H_XX"/>
        <s v="PS_ADDL_PAY_DATA_H"/>
        <s v="PS_ADDRESSES_H_XX"/>
        <s v="PS_ADD_PAY_EFFDT_H"/>
        <s v="PS_ADD_PAY_ERNCD_H"/>
        <s v="PS_ADD_PY_DRW_H_XX"/>
        <s v="PS_BENF_PARTIC_HXX"/>
        <s v="PS_BEN_PRGPRTC_HXX"/>
        <s v="PS_BN_PERSON_H"/>
        <s v="PS_CAN_TAX_DATA_H"/>
        <s v="PS_CAN_TX_BALNCE_H"/>
        <s v="PS_CBR_PARTIC_H"/>
        <s v="PS_CBR_PRTC_OPTN_H"/>
        <s v="PS_CBR_PRTC_PLAN_H"/>
        <s v="PS_CITIZENPSS_H_XX"/>
        <s v="PS_CITIZENSHP_H_XX"/>
        <s v="PS_CN_TX_PRVDTA_H"/>
        <s v="PS_COMPNSTION_H_XX"/>
        <s v="PS_CONTRACTDA_H_XX"/>
        <s v="PS_DEPBENADDR_H_XX"/>
        <s v="PS_DEPBENEFNI_H_XX"/>
        <s v="PS_DEPBENNAME_H_XX"/>
        <s v="PS_DEPBENRIDE_H_XX"/>
        <s v="PS_DEPBEN_EFF_H_XX"/>
        <s v="PS_DEP_BEN_H_XX"/>
        <s v="PS_DISABILITY_H_XX"/>
        <s v="PS_DIVERSETHN_H_XX"/>
        <s v="PS_DIVERSITY_H_XX"/>
        <s v="PS_DIVERSRELI_H_XX"/>
        <s v="PS_DRIVERSLIC_H_XX"/>
        <s v="PS_EMAILADRS_H_XX"/>
        <s v="PS_EMERGENCYC_H_XX"/>
        <s v="PS_EMPAPPRDTL_H_XX"/>
        <s v="PS_EMPLCHECKL_H_XX"/>
        <s v="PS_EMPLCHKLST_H_XX"/>
        <s v="PS_EMPLOYEES_H_XX"/>
        <s v="PS_EMPLYE_REVIEW_H"/>
        <s v="PS_EMPL_PHOTO_H_XX"/>
        <s v="PS_EMP_APR_HR_H_XX"/>
        <s v="PS_EMP_WAGEL_CAN_H"/>
        <s v="PS_EMRGNCYPHN_H_XX"/>
        <s v="PS_EXCP_AUDIT_H_XX"/>
        <s v="PS_FED_TAX_DATA_H"/>
        <s v="PS_FMLA_HOURS_H_XX"/>
        <s v="PS_FMLA_H_XX"/>
        <s v="PS_GARNSPECXX_H_XX"/>
        <s v="PS_GARN_BALANCE_H"/>
        <s v="PS_GARN_EMPL_DED_H"/>
        <s v="PS_GARN_RULE_H"/>
        <s v="PS_GARN_SCHED_H"/>
        <s v="PS_GARN_SPEC_H"/>
        <s v="PS_GENL_DED_CD_H"/>
        <s v="PS_HPBDCKLOG_H_XX"/>
        <s v="PS_HREXTEMP_H_XX"/>
        <s v="PS_JOB_ERNDST_H_XX"/>
        <s v="PS_JOB_HR_XX_H_XX"/>
        <s v="PS_JOB_H_XX"/>
        <s v="PS_JOB_IND_H_XX"/>
        <s v="PS_JOB_JR_H_XX"/>
        <s v="PS_JOB_MIL_H_XX"/>
        <s v="PS_JOB_XX_H_XX"/>
        <s v="PS_LOCL_TAX_DATA_H"/>
        <s v="PS_NAMES_H_XX"/>
        <s v="PS_PAYROLL_DATA_H"/>
        <s v="PS_PERCHECKLI_H_XX"/>
        <s v="PS_TLEMPLDATA_H_XX"/>
        <s v="PS_PERCHKLSTI_H_XX"/>
        <s v="PS_TRNX0004WR_H_XX"/>
        <s v="PS_PERORGASGN_H_XX"/>
        <s v="PS_PERORGINST_H_XX"/>
        <s v="PS_TRNX0004_H_XX"/>
        <s v="PS_PERPOIT_XX_H_XX"/>
        <s v="PS_PERPOI_XX_H_XX"/>
        <s v="PS_VISAPMTDAT_H_XX"/>
        <s v="PS_PERSAPPLIN_H_XX"/>
        <s v="PS_PERSAPPLRE_H_XX"/>
        <s v="PS_VISAPMTSUP_H_XX"/>
        <s v="PS_PERSDATACA_H_XX"/>
        <s v="PS_PERSDATAEF_H_XX"/>
        <s v="PS_PERSDATAUS_H_XX"/>
        <s v="PS_PERSDATAXX_H_XX"/>
        <s v="PS_PERSNIDEXP_H_XX"/>
        <s v="PS_PERSONALDA_H_XX"/>
        <s v="PS_PERSONALPH_H_XX"/>
        <s v="PS_PERSONINFO_H_XX"/>
        <s v="PS_PERSON_H_XX"/>
        <s v="PS_PERSSMOKER_H_XX"/>
        <s v="PS_PERS_NID_H_XX"/>
        <s v="PS_PERX0019TM_H_XX"/>
        <s v="PS_PERX0019WR_H_XX"/>
        <s v="PS_PERX0020TM_H_XX"/>
        <s v="PS_PERX0020WR_H_XX"/>
        <s v="PS_PERX0033TM_H_XX"/>
        <s v="PS_PERX0033WR_H_XX"/>
        <s v="PS_PERX33300T_H_XX"/>
        <s v="PS_PERX33300W_H_XX"/>
        <s v="PS_PERX33700T_H_XX"/>
        <s v="PS_PERX33700W_H_XX"/>
        <s v="PS_PER_DT_EME_H_XX"/>
        <s v="PS_PER_DT_FRA_H_XX"/>
        <s v="PS_PRIORWORKE_H_XX"/>
        <s v="PS_PRIORWORKS_H_XX"/>
        <s v="PS_PYEBANKACT_H_XX"/>
        <s v="PS_PY_BNK_TBL_H_XX"/>
        <s v="PS_STAT_TAX_DATA_H"/>
        <s v="PS_TAX_DISTRIB_H"/>
        <s v="PS_PERSSRCHWL_H_XX"/>
        <s v="PS_PURGEDATA_H_XX"/>
        <s v="PS_TEBURDENX_H_XX"/>
        <s v="PS_TL_APP_LA_H_XX"/>
        <s v="PS_TL_APP_XRF_H_XX"/>
        <s v="PS_TLTCATTACH_H_XX"/>
        <s v="PS_AUDITTLRTS_H_XX"/>
        <s v="PS_TL_BIR_EID_H_XX"/>
        <s v="PS_EID_FILETL_H_XX"/>
        <s v="PS_TL_EMPLAUD_H_XX"/>
        <s v="PS_TL_EXCEPTN_HST"/>
        <s v="PS_TL_APP_HDR_H_XX"/>
        <s v="PS_TL_HRTESTG_H_XX"/>
        <s v="PS_TL_APP_RPT_H_XX"/>
        <s v="PS_TL_MEALAUD_H_XX"/>
        <s v="PS_OB_ATTACH_H_XX"/>
        <s v="PS_TL_PRJ_TM_H_XX"/>
        <s v="PS_TL_IPT1_CNT_HST"/>
        <s v="PS_TL_PAYABLE_HST"/>
        <s v="PS_TL_PAY_HIST_HST"/>
        <s v="PS_TL_REP_LR_H_XX"/>
        <s v="PS_TL_RTROPER_H_XX"/>
        <s v="PS_TL_RT_ROP_H_XX"/>
        <s v="PS_TL_RTSALOC_H_XX"/>
        <s v="PS_TLTRCOMNTS_H_XX"/>
        <s v="PS_TLTRCOMNT_H_XX"/>
        <s v="PS_TL_COMPLEAV_HST"/>
        <s v="PS_TL_FRCSPYBL_HST"/>
        <s v="PS_TL_XREFCOST_HST"/>
        <s v="PS_TL_XREF_TBL_HST"/>
        <m/>
      </sharedItems>
    </cacheField>
    <cacheField name="Count" numFmtId="0">
      <sharedItems containsString="0" containsBlank="1" containsNumber="1" containsInteger="1" minValue="0" maxValue="459852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9"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4261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2"/>
  </r>
  <r>
    <x v="14"/>
    <n v="2090896"/>
  </r>
  <r>
    <x v="15"/>
    <n v="1186095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187928"/>
  </r>
  <r>
    <x v="24"/>
    <n v="647"/>
  </r>
  <r>
    <x v="25"/>
    <n v="7390532"/>
  </r>
  <r>
    <x v="26"/>
    <n v="45985292"/>
  </r>
  <r>
    <x v="27"/>
    <n v="0"/>
  </r>
  <r>
    <x v="28"/>
    <n v="0"/>
  </r>
  <r>
    <x v="29"/>
    <n v="0"/>
  </r>
  <r>
    <x v="30"/>
    <n v="8919"/>
  </r>
  <r>
    <x v="31"/>
    <n v="0"/>
  </r>
  <r>
    <x v="32"/>
    <n v="0"/>
  </r>
  <r>
    <x v="33"/>
    <n v="0"/>
  </r>
  <r>
    <x v="34"/>
    <n v="0"/>
  </r>
  <r>
    <x v="35"/>
    <n v="0"/>
  </r>
  <r>
    <x v="36"/>
    <n v="0"/>
  </r>
  <r>
    <x v="37"/>
    <n v="0"/>
  </r>
  <r>
    <x v="38"/>
    <n v="0"/>
  </r>
  <r>
    <x v="39"/>
    <n v="0"/>
  </r>
  <r>
    <x v="40"/>
    <n v="0"/>
  </r>
  <r>
    <x v="41"/>
    <n v="0"/>
  </r>
  <r>
    <x v="42"/>
    <n v="0"/>
  </r>
  <r>
    <x v="43"/>
    <n v="0"/>
  </r>
  <r>
    <x v="44"/>
    <n v="0"/>
  </r>
  <r>
    <x v="45"/>
    <n v="0"/>
  </r>
  <r>
    <x v="46"/>
    <n v="0"/>
  </r>
  <r>
    <x v="47"/>
    <n v="0"/>
  </r>
  <r>
    <x v="48"/>
    <n v="0"/>
  </r>
  <r>
    <x v="49"/>
    <n v="0"/>
  </r>
  <r>
    <x v="50"/>
    <n v="0"/>
  </r>
  <r>
    <x v="51"/>
    <n v="0"/>
  </r>
  <r>
    <x v="52"/>
    <n v="0"/>
  </r>
  <r>
    <x v="53"/>
    <n v="0"/>
  </r>
  <r>
    <x v="54"/>
    <n v="2328237"/>
  </r>
  <r>
    <x v="55"/>
    <n v="0"/>
  </r>
  <r>
    <x v="56"/>
    <n v="0"/>
  </r>
  <r>
    <x v="57"/>
    <n v="0"/>
  </r>
  <r>
    <x v="58"/>
    <n v="18"/>
  </r>
  <r>
    <x v="59"/>
    <n v="1661481"/>
  </r>
  <r>
    <x v="60"/>
    <n v="0"/>
  </r>
  <r>
    <x v="61"/>
    <n v="0"/>
  </r>
  <r>
    <x v="62"/>
    <n v="0"/>
  </r>
  <r>
    <x v="63"/>
    <n v="0"/>
  </r>
  <r>
    <x v="64"/>
    <n v="0"/>
  </r>
  <r>
    <x v="65"/>
    <n v="0"/>
  </r>
  <r>
    <x v="66"/>
    <n v="0"/>
  </r>
  <r>
    <x v="67"/>
    <n v="0"/>
  </r>
  <r>
    <x v="68"/>
    <n v="0"/>
  </r>
  <r>
    <x v="69"/>
    <n v="0"/>
  </r>
  <r>
    <x v="70"/>
    <n v="2"/>
  </r>
  <r>
    <x v="71"/>
    <n v="13119254"/>
  </r>
  <r>
    <x v="72"/>
    <n v="0"/>
  </r>
  <r>
    <x v="73"/>
    <n v="0"/>
  </r>
  <r>
    <x v="74"/>
    <n v="0"/>
  </r>
  <r>
    <x v="75"/>
    <n v="0"/>
  </r>
  <r>
    <x v="76"/>
    <n v="0"/>
  </r>
  <r>
    <x v="77"/>
    <n v="0"/>
  </r>
  <r>
    <x v="78"/>
    <n v="3597701"/>
  </r>
  <r>
    <x v="79"/>
    <n v="0"/>
  </r>
  <r>
    <x v="80"/>
    <n v="9771"/>
  </r>
  <r>
    <x v="81"/>
    <n v="0"/>
  </r>
  <r>
    <x v="82"/>
    <n v="0"/>
  </r>
  <r>
    <x v="83"/>
    <n v="0"/>
  </r>
  <r>
    <x v="84"/>
    <n v="0"/>
  </r>
  <r>
    <x v="85"/>
    <n v="0"/>
  </r>
  <r>
    <x v="86"/>
    <n v="0"/>
  </r>
  <r>
    <x v="87"/>
    <n v="0"/>
  </r>
  <r>
    <x v="88"/>
    <n v="0"/>
  </r>
  <r>
    <x v="89"/>
    <n v="0"/>
  </r>
  <r>
    <x v="90"/>
    <n v="0"/>
  </r>
  <r>
    <x v="91"/>
    <n v="0"/>
  </r>
  <r>
    <x v="92"/>
    <n v="0"/>
  </r>
  <r>
    <x v="93"/>
    <n v="0"/>
  </r>
  <r>
    <x v="94"/>
    <n v="0"/>
  </r>
  <r>
    <x v="95"/>
    <n v="0"/>
  </r>
  <r>
    <x v="96"/>
    <n v="0"/>
  </r>
  <r>
    <x v="97"/>
    <n v="0"/>
  </r>
  <r>
    <x v="98"/>
    <n v="0"/>
  </r>
  <r>
    <x v="99"/>
    <n v="0"/>
  </r>
  <r>
    <x v="100"/>
    <n v="0"/>
  </r>
  <r>
    <x v="101"/>
    <n v="0"/>
  </r>
  <r>
    <x v="102"/>
    <n v="0"/>
  </r>
  <r>
    <x v="103"/>
    <n v="0"/>
  </r>
  <r>
    <x v="104"/>
    <n v="0"/>
  </r>
  <r>
    <x v="105"/>
    <n v="0"/>
  </r>
  <r>
    <x v="106"/>
    <n v="0"/>
  </r>
  <r>
    <x v="107"/>
    <n v="40"/>
  </r>
  <r>
    <x v="108"/>
    <n v="0"/>
  </r>
  <r>
    <x v="109"/>
    <n v="0"/>
  </r>
  <r>
    <x v="110"/>
    <n v="0"/>
  </r>
  <r>
    <x v="111"/>
    <n v="0"/>
  </r>
  <r>
    <x v="112"/>
    <n v="0"/>
  </r>
  <r>
    <x v="113"/>
    <n v="0"/>
  </r>
  <r>
    <x v="114"/>
    <n v="0"/>
  </r>
  <r>
    <x v="115"/>
    <n v="2"/>
  </r>
  <r>
    <x v="116"/>
    <n v="2"/>
  </r>
  <r>
    <x v="117"/>
    <n v="0"/>
  </r>
  <r>
    <x v="118"/>
    <n v="0"/>
  </r>
  <r>
    <x v="119"/>
    <n v="0"/>
  </r>
  <r>
    <x v="120"/>
    <n v="0"/>
  </r>
  <r>
    <x v="121"/>
    <n v="0"/>
  </r>
  <r>
    <x v="122"/>
    <n v="0"/>
  </r>
  <r>
    <x v="123"/>
    <n v="0"/>
  </r>
  <r>
    <x v="124"/>
    <n v="115856"/>
  </r>
  <r>
    <x v="125"/>
    <n v="7523118"/>
  </r>
  <r>
    <x v="126"/>
    <n v="4543"/>
  </r>
  <r>
    <x v="127"/>
    <n v="0"/>
  </r>
  <r>
    <x v="128"/>
    <n v="9034"/>
  </r>
  <r>
    <x v="129"/>
    <n v="0"/>
  </r>
  <r>
    <x v="130"/>
    <n v="0"/>
  </r>
  <r>
    <x v="131"/>
    <n v="0"/>
  </r>
  <r>
    <x v="132"/>
    <n v="0"/>
  </r>
  <r>
    <x v="133"/>
    <n v="0"/>
  </r>
  <r>
    <x v="134"/>
    <n v="0"/>
  </r>
  <r>
    <x v="135"/>
    <n v="0"/>
  </r>
  <r>
    <x v="136"/>
    <n v="0"/>
  </r>
  <r>
    <x v="137"/>
    <n v="0"/>
  </r>
  <r>
    <x v="138"/>
    <n v="0"/>
  </r>
  <r>
    <x v="139"/>
    <n v="0"/>
  </r>
  <r>
    <x v="140"/>
    <n v="0"/>
  </r>
  <r>
    <x v="141"/>
    <n v="0"/>
  </r>
  <r>
    <x v="142"/>
    <n v="0"/>
  </r>
  <r>
    <x v="143"/>
    <n v="0"/>
  </r>
  <r>
    <x v="144"/>
    <n v="0"/>
  </r>
  <r>
    <x v="145"/>
    <n v="0"/>
  </r>
  <r>
    <x v="146"/>
    <n v="0"/>
  </r>
  <r>
    <x v="147"/>
    <n v="0"/>
  </r>
  <r>
    <x v="148"/>
    <n v="0"/>
  </r>
  <r>
    <x v="149"/>
    <n v="0"/>
  </r>
  <r>
    <x v="150"/>
    <n v="0"/>
  </r>
  <r>
    <x v="151"/>
    <n v="0"/>
  </r>
  <r>
    <x v="129"/>
    <n v="0"/>
  </r>
  <r>
    <x v="152"/>
    <n v="0"/>
  </r>
  <r>
    <x v="153"/>
    <n v="0"/>
  </r>
  <r>
    <x v="154"/>
    <n v="9069"/>
  </r>
  <r>
    <x v="155"/>
    <n v="0"/>
  </r>
  <r>
    <x v="156"/>
    <n v="0"/>
  </r>
  <r>
    <x v="157"/>
    <n v="0"/>
  </r>
  <r>
    <x v="158"/>
    <n v="0"/>
  </r>
  <r>
    <x v="159"/>
    <n v="0"/>
  </r>
  <r>
    <x v="160"/>
    <n v="0"/>
  </r>
  <r>
    <x v="161"/>
    <n v="4"/>
  </r>
  <r>
    <x v="162"/>
    <n v="0"/>
  </r>
  <r>
    <x v="163"/>
    <n v="0"/>
  </r>
  <r>
    <x v="164"/>
    <n v="0"/>
  </r>
  <r>
    <x v="165"/>
    <n v="0"/>
  </r>
  <r>
    <x v="166"/>
    <n v="0"/>
  </r>
  <r>
    <x v="167"/>
    <n v="0"/>
  </r>
  <r>
    <x v="168"/>
    <n v="0"/>
  </r>
  <r>
    <x v="169"/>
    <n v="0"/>
  </r>
  <r>
    <x v="170"/>
    <n v="0"/>
  </r>
  <r>
    <x v="171"/>
    <n v="0"/>
  </r>
  <r>
    <x v="172"/>
    <n v="277490"/>
  </r>
  <r>
    <x v="173"/>
    <n v="10836094"/>
  </r>
  <r>
    <x v="174"/>
    <n v="1156556"/>
  </r>
  <r>
    <x v="175"/>
    <n v="83154"/>
  </r>
  <r>
    <x v="176"/>
    <n v="0"/>
  </r>
  <r>
    <x v="177"/>
    <n v="0"/>
  </r>
  <r>
    <x v="178"/>
    <n v="0"/>
  </r>
  <r>
    <x v="179"/>
    <n v="0"/>
  </r>
  <r>
    <x v="180"/>
    <n v="0"/>
  </r>
  <r>
    <x v="181"/>
    <n v="0"/>
  </r>
  <r>
    <x v="182"/>
    <n v="0"/>
  </r>
  <r>
    <x v="183"/>
    <n v="0"/>
  </r>
  <r>
    <x v="184"/>
    <n v="0"/>
  </r>
  <r>
    <x v="185"/>
    <n v="0"/>
  </r>
  <r>
    <x v="186"/>
    <n v="0"/>
  </r>
  <r>
    <x v="187"/>
    <n v="0"/>
  </r>
  <r>
    <x v="188"/>
    <n v="0"/>
  </r>
  <r>
    <x v="189"/>
    <n v="0"/>
  </r>
  <r>
    <x v="190"/>
    <n v="0"/>
  </r>
  <r>
    <x v="191"/>
    <n v="0"/>
  </r>
  <r>
    <x v="2"/>
    <n v="0"/>
  </r>
  <r>
    <x v="192"/>
    <n v="0"/>
  </r>
  <r>
    <x v="193"/>
    <n v="0"/>
  </r>
  <r>
    <x v="194"/>
    <n v="0"/>
  </r>
  <r>
    <x v="195"/>
    <n v="0"/>
  </r>
  <r>
    <x v="196"/>
    <n v="0"/>
  </r>
  <r>
    <x v="197"/>
    <n v="0"/>
  </r>
  <r>
    <x v="198"/>
    <n v="0"/>
  </r>
  <r>
    <x v="199"/>
    <n v="0"/>
  </r>
  <r>
    <x v="200"/>
    <n v="0"/>
  </r>
  <r>
    <x v="201"/>
    <n v="1"/>
  </r>
  <r>
    <x v="117"/>
    <n v="0"/>
  </r>
  <r>
    <x v="202"/>
    <n v="0"/>
  </r>
  <r>
    <x v="203"/>
    <n v="0"/>
  </r>
  <r>
    <x v="204"/>
    <n v="0"/>
  </r>
  <r>
    <x v="205"/>
    <n v="0"/>
  </r>
  <r>
    <x v="206"/>
    <n v="0"/>
  </r>
  <r>
    <x v="207"/>
    <n v="5764"/>
  </r>
  <r>
    <x v="208"/>
    <n v="10833774"/>
  </r>
  <r>
    <x v="209"/>
    <n v="999"/>
  </r>
  <r>
    <x v="210"/>
    <n v="0"/>
  </r>
  <r>
    <x v="211"/>
    <n v="0"/>
  </r>
  <r>
    <x v="212"/>
    <n v="0"/>
  </r>
  <r>
    <x v="213"/>
    <n v="0"/>
  </r>
  <r>
    <x v="214"/>
    <n v="9035"/>
  </r>
  <r>
    <x v="181"/>
    <n v="0"/>
  </r>
  <r>
    <x v="215"/>
    <n v="0"/>
  </r>
  <r>
    <x v="216"/>
    <n v="0"/>
  </r>
  <r>
    <x v="217"/>
    <n v="0"/>
  </r>
  <r>
    <x v="218"/>
    <n v="0"/>
  </r>
  <r>
    <x v="219"/>
    <n v="0"/>
  </r>
  <r>
    <x v="220"/>
    <n v="0"/>
  </r>
  <r>
    <x v="221"/>
    <n v="0"/>
  </r>
  <r>
    <x v="222"/>
    <n v="0"/>
  </r>
  <r>
    <x v="223"/>
    <n v="0"/>
  </r>
  <r>
    <x v="224"/>
    <n v="0"/>
  </r>
  <r>
    <x v="225"/>
    <n v="0"/>
  </r>
  <r>
    <x v="226"/>
    <n v="0"/>
  </r>
  <r>
    <x v="227"/>
    <n v="0"/>
  </r>
  <r>
    <x v="228"/>
    <n v="0"/>
  </r>
  <r>
    <x v="229"/>
    <n v="0"/>
  </r>
  <r>
    <x v="230"/>
    <n v="54"/>
  </r>
  <r>
    <x v="231"/>
    <n v="0"/>
  </r>
  <r>
    <x v="232"/>
    <n v="0"/>
  </r>
  <r>
    <x v="233"/>
    <n v="0"/>
  </r>
  <r>
    <x v="234"/>
    <n v="0"/>
  </r>
  <r>
    <x v="235"/>
    <n v="0"/>
  </r>
  <r>
    <x v="236"/>
    <n v="0"/>
  </r>
  <r>
    <x v="237"/>
    <n v="0"/>
  </r>
  <r>
    <x v="238"/>
    <n v="0"/>
  </r>
  <r>
    <x v="239"/>
    <n v="0"/>
  </r>
  <r>
    <x v="240"/>
    <n v="0"/>
  </r>
  <r>
    <x v="241"/>
    <n v="0"/>
  </r>
  <r>
    <x v="242"/>
    <n v="0"/>
  </r>
  <r>
    <x v="243"/>
    <n v="0"/>
  </r>
  <r>
    <x v="244"/>
    <n v="0"/>
  </r>
  <r>
    <x v="245"/>
    <n v="0"/>
  </r>
  <r>
    <x v="246"/>
    <n v="0"/>
  </r>
  <r>
    <x v="247"/>
    <n v="0"/>
  </r>
  <r>
    <x v="248"/>
    <n v="0"/>
  </r>
  <r>
    <x v="249"/>
    <n v="0"/>
  </r>
  <r>
    <x v="250"/>
    <n v="0"/>
  </r>
  <r>
    <x v="251"/>
    <n v="0"/>
  </r>
  <r>
    <x v="252"/>
    <n v="92492"/>
  </r>
  <r>
    <x v="253"/>
    <n v="14517983"/>
  </r>
  <r>
    <x v="254"/>
    <n v="0"/>
  </r>
  <r>
    <x v="255"/>
    <n v="0"/>
  </r>
  <r>
    <x v="256"/>
    <n v="0"/>
  </r>
  <r>
    <x v="257"/>
    <n v="0"/>
  </r>
  <r>
    <x v="258"/>
    <n v="0"/>
  </r>
  <r>
    <x v="259"/>
    <n v="0"/>
  </r>
  <r>
    <x v="260"/>
    <n v="0"/>
  </r>
  <r>
    <x v="261"/>
    <n v="0"/>
  </r>
  <r>
    <x v="262"/>
    <n v="0"/>
  </r>
  <r>
    <x v="263"/>
    <n v="0"/>
  </r>
  <r>
    <x v="264"/>
    <n v="0"/>
  </r>
  <r>
    <x v="265"/>
    <n v="0"/>
  </r>
  <r>
    <x v="266"/>
    <n v="0"/>
  </r>
  <r>
    <x v="267"/>
    <n v="0"/>
  </r>
  <r>
    <x v="268"/>
    <n v="0"/>
  </r>
  <r>
    <x v="269"/>
    <n v="0"/>
  </r>
  <r>
    <x v="270"/>
    <n v="0"/>
  </r>
  <r>
    <x v="271"/>
    <n v="0"/>
  </r>
  <r>
    <x v="1"/>
    <n v="0"/>
  </r>
  <r>
    <x v="272"/>
    <n v="0"/>
  </r>
  <r>
    <x v="273"/>
    <n v="0"/>
  </r>
  <r>
    <x v="274"/>
    <n v="0"/>
  </r>
  <r>
    <x v="275"/>
    <n v="0"/>
  </r>
  <r>
    <x v="151"/>
    <n v="0"/>
  </r>
  <r>
    <x v="276"/>
    <n v="0"/>
  </r>
  <r>
    <x v="277"/>
    <n v="0"/>
  </r>
  <r>
    <x v="278"/>
    <n v="2343"/>
  </r>
  <r>
    <x v="279"/>
    <n v="0"/>
  </r>
  <r>
    <x v="280"/>
    <n v="0"/>
  </r>
  <r>
    <x v="281"/>
    <n v="0"/>
  </r>
  <r>
    <x v="282"/>
    <n v="0"/>
  </r>
  <r>
    <x v="283"/>
    <n v="0"/>
  </r>
  <r>
    <x v="284"/>
    <n v="481505"/>
  </r>
  <r>
    <x v="285"/>
    <n v="0"/>
  </r>
  <r>
    <x v="286"/>
    <n v="0"/>
  </r>
  <r>
    <x v="287"/>
    <n v="0"/>
  </r>
  <r>
    <x v="288"/>
    <n v="0"/>
  </r>
  <r>
    <x v="289"/>
    <n v="8564349"/>
  </r>
  <r>
    <x v="290"/>
    <n v="0"/>
  </r>
  <r>
    <x v="291"/>
    <n v="0"/>
  </r>
  <r>
    <x v="292"/>
    <n v="0"/>
  </r>
  <r>
    <x v="293"/>
    <n v="0"/>
  </r>
  <r>
    <x v="294"/>
    <n v="0"/>
  </r>
  <r>
    <x v="295"/>
    <n v="0"/>
  </r>
  <r>
    <x v="296"/>
    <n v="7918"/>
  </r>
  <r>
    <x v="297"/>
    <n v="0"/>
  </r>
  <r>
    <x v="298"/>
    <n v="5216"/>
  </r>
  <r>
    <x v="299"/>
    <n v="18178"/>
  </r>
  <r>
    <x v="300"/>
    <n v="0"/>
  </r>
  <r>
    <x v="301"/>
    <n v="0"/>
  </r>
  <r>
    <x v="302"/>
    <n v="0"/>
  </r>
  <r>
    <x v="303"/>
    <n v="0"/>
  </r>
  <r>
    <x v="304"/>
    <n v="0"/>
  </r>
  <r>
    <x v="305"/>
    <n v="0"/>
  </r>
  <r>
    <x v="306"/>
    <n v="0"/>
  </r>
  <r>
    <x v="307"/>
    <n v="0"/>
  </r>
  <r>
    <x v="308"/>
    <n v="0"/>
  </r>
  <r>
    <x v="309"/>
    <n v="0"/>
  </r>
  <r>
    <x v="310"/>
    <n v="0"/>
  </r>
  <r>
    <x v="311"/>
    <n v="0"/>
  </r>
  <r>
    <x v="312"/>
    <n v="0"/>
  </r>
  <r>
    <x v="313"/>
    <n v="0"/>
  </r>
  <r>
    <x v="314"/>
    <n v="0"/>
  </r>
  <r>
    <x v="315"/>
    <n v="0"/>
  </r>
  <r>
    <x v="316"/>
    <n v="0"/>
  </r>
  <r>
    <x v="317"/>
    <n v="0"/>
  </r>
  <r>
    <x v="318"/>
    <n v="0"/>
  </r>
  <r>
    <x v="319"/>
    <n v="0"/>
  </r>
  <r>
    <x v="0"/>
    <n v="0"/>
  </r>
  <r>
    <x v="320"/>
    <n v="0"/>
  </r>
  <r>
    <x v="321"/>
    <n v="0"/>
  </r>
  <r>
    <x v="180"/>
    <n v="0"/>
  </r>
  <r>
    <x v="322"/>
    <n v="0"/>
  </r>
  <r>
    <x v="323"/>
    <n v="0"/>
  </r>
  <r>
    <x v="320"/>
    <n v="0"/>
  </r>
  <r>
    <x v="324"/>
    <n v="0"/>
  </r>
  <r>
    <x v="325"/>
    <n v="0"/>
  </r>
  <r>
    <x v="326"/>
    <n v="183"/>
  </r>
  <r>
    <x v="327"/>
    <n v="0"/>
  </r>
  <r>
    <x v="328"/>
    <n v="0"/>
  </r>
  <r>
    <x v="329"/>
    <n v="0"/>
  </r>
  <r>
    <x v="330"/>
    <n v="0"/>
  </r>
  <r>
    <x v="331"/>
    <n v="0"/>
  </r>
  <r>
    <x v="332"/>
    <n v="0"/>
  </r>
  <r>
    <x v="333"/>
    <n v="0"/>
  </r>
  <r>
    <x v="334"/>
    <n v="0"/>
  </r>
  <r>
    <x v="335"/>
    <n v="0"/>
  </r>
  <r>
    <x v="336"/>
    <n v="0"/>
  </r>
  <r>
    <x v="337"/>
    <n v="0"/>
  </r>
  <r>
    <x v="338"/>
    <n v="4200782"/>
  </r>
  <r>
    <x v="339"/>
    <n v="0"/>
  </r>
  <r>
    <x v="340"/>
    <n v="0"/>
  </r>
  <r>
    <x v="341"/>
    <n v="0"/>
  </r>
  <r>
    <x v="342"/>
    <n v="0"/>
  </r>
  <r>
    <x v="343"/>
    <n v="0"/>
  </r>
  <r>
    <x v="344"/>
    <n v="0"/>
  </r>
  <r>
    <x v="345"/>
    <n v="0"/>
  </r>
  <r>
    <x v="346"/>
    <n v="0"/>
  </r>
  <r>
    <x v="347"/>
    <n v="0"/>
  </r>
  <r>
    <x v="348"/>
    <n v="0"/>
  </r>
  <r>
    <x v="349"/>
    <n v="0"/>
  </r>
  <r>
    <x v="350"/>
    <n v="0"/>
  </r>
  <r>
    <x v="351"/>
    <n v="0"/>
  </r>
  <r>
    <x v="352"/>
    <n v="0"/>
  </r>
  <r>
    <x v="323"/>
    <n v="0"/>
  </r>
  <r>
    <x v="353"/>
    <n v="0"/>
  </r>
  <r>
    <x v="354"/>
    <n v="0"/>
  </r>
  <r>
    <x v="355"/>
    <n v="0"/>
  </r>
  <r>
    <x v="256"/>
    <n v="0"/>
  </r>
  <r>
    <x v="356"/>
    <n v="0"/>
  </r>
  <r>
    <x v="357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9"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4261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2"/>
  </r>
  <r>
    <x v="14"/>
    <n v="2090896"/>
  </r>
  <r>
    <x v="15"/>
    <n v="1186095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187928"/>
  </r>
  <r>
    <x v="24"/>
    <n v="647"/>
  </r>
  <r>
    <x v="25"/>
    <n v="7390532"/>
  </r>
  <r>
    <x v="26"/>
    <n v="45985292"/>
  </r>
  <r>
    <x v="27"/>
    <n v="0"/>
  </r>
  <r>
    <x v="28"/>
    <n v="0"/>
  </r>
  <r>
    <x v="29"/>
    <n v="0"/>
  </r>
  <r>
    <x v="30"/>
    <n v="8919"/>
  </r>
  <r>
    <x v="31"/>
    <n v="0"/>
  </r>
  <r>
    <x v="32"/>
    <n v="0"/>
  </r>
  <r>
    <x v="33"/>
    <n v="0"/>
  </r>
  <r>
    <x v="34"/>
    <n v="0"/>
  </r>
  <r>
    <x v="35"/>
    <n v="0"/>
  </r>
  <r>
    <x v="36"/>
    <n v="0"/>
  </r>
  <r>
    <x v="37"/>
    <n v="0"/>
  </r>
  <r>
    <x v="38"/>
    <n v="0"/>
  </r>
  <r>
    <x v="39"/>
    <n v="0"/>
  </r>
  <r>
    <x v="40"/>
    <n v="0"/>
  </r>
  <r>
    <x v="41"/>
    <n v="0"/>
  </r>
  <r>
    <x v="42"/>
    <n v="0"/>
  </r>
  <r>
    <x v="43"/>
    <n v="0"/>
  </r>
  <r>
    <x v="44"/>
    <n v="0"/>
  </r>
  <r>
    <x v="45"/>
    <n v="0"/>
  </r>
  <r>
    <x v="46"/>
    <n v="0"/>
  </r>
  <r>
    <x v="47"/>
    <n v="0"/>
  </r>
  <r>
    <x v="48"/>
    <n v="0"/>
  </r>
  <r>
    <x v="49"/>
    <n v="0"/>
  </r>
  <r>
    <x v="50"/>
    <n v="0"/>
  </r>
  <r>
    <x v="51"/>
    <n v="0"/>
  </r>
  <r>
    <x v="52"/>
    <n v="0"/>
  </r>
  <r>
    <x v="53"/>
    <n v="0"/>
  </r>
  <r>
    <x v="54"/>
    <n v="2328237"/>
  </r>
  <r>
    <x v="55"/>
    <n v="0"/>
  </r>
  <r>
    <x v="56"/>
    <n v="0"/>
  </r>
  <r>
    <x v="57"/>
    <n v="0"/>
  </r>
  <r>
    <x v="58"/>
    <n v="18"/>
  </r>
  <r>
    <x v="59"/>
    <n v="1661481"/>
  </r>
  <r>
    <x v="60"/>
    <n v="0"/>
  </r>
  <r>
    <x v="61"/>
    <n v="0"/>
  </r>
  <r>
    <x v="62"/>
    <n v="0"/>
  </r>
  <r>
    <x v="63"/>
    <n v="0"/>
  </r>
  <r>
    <x v="64"/>
    <n v="0"/>
  </r>
  <r>
    <x v="65"/>
    <n v="0"/>
  </r>
  <r>
    <x v="66"/>
    <n v="0"/>
  </r>
  <r>
    <x v="67"/>
    <n v="0"/>
  </r>
  <r>
    <x v="68"/>
    <n v="0"/>
  </r>
  <r>
    <x v="69"/>
    <n v="0"/>
  </r>
  <r>
    <x v="70"/>
    <n v="2"/>
  </r>
  <r>
    <x v="71"/>
    <n v="13119254"/>
  </r>
  <r>
    <x v="72"/>
    <n v="0"/>
  </r>
  <r>
    <x v="73"/>
    <n v="0"/>
  </r>
  <r>
    <x v="74"/>
    <n v="0"/>
  </r>
  <r>
    <x v="75"/>
    <n v="0"/>
  </r>
  <r>
    <x v="76"/>
    <n v="0"/>
  </r>
  <r>
    <x v="77"/>
    <n v="0"/>
  </r>
  <r>
    <x v="78"/>
    <n v="3597701"/>
  </r>
  <r>
    <x v="79"/>
    <n v="0"/>
  </r>
  <r>
    <x v="80"/>
    <n v="9771"/>
  </r>
  <r>
    <x v="81"/>
    <n v="0"/>
  </r>
  <r>
    <x v="82"/>
    <n v="0"/>
  </r>
  <r>
    <x v="83"/>
    <n v="0"/>
  </r>
  <r>
    <x v="84"/>
    <n v="0"/>
  </r>
  <r>
    <x v="85"/>
    <n v="0"/>
  </r>
  <r>
    <x v="86"/>
    <n v="0"/>
  </r>
  <r>
    <x v="87"/>
    <n v="0"/>
  </r>
  <r>
    <x v="88"/>
    <n v="0"/>
  </r>
  <r>
    <x v="89"/>
    <n v="0"/>
  </r>
  <r>
    <x v="90"/>
    <n v="0"/>
  </r>
  <r>
    <x v="91"/>
    <n v="0"/>
  </r>
  <r>
    <x v="92"/>
    <n v="0"/>
  </r>
  <r>
    <x v="93"/>
    <n v="0"/>
  </r>
  <r>
    <x v="94"/>
    <n v="0"/>
  </r>
  <r>
    <x v="95"/>
    <n v="0"/>
  </r>
  <r>
    <x v="96"/>
    <n v="0"/>
  </r>
  <r>
    <x v="97"/>
    <n v="0"/>
  </r>
  <r>
    <x v="98"/>
    <n v="0"/>
  </r>
  <r>
    <x v="99"/>
    <n v="0"/>
  </r>
  <r>
    <x v="100"/>
    <n v="0"/>
  </r>
  <r>
    <x v="101"/>
    <n v="0"/>
  </r>
  <r>
    <x v="102"/>
    <n v="0"/>
  </r>
  <r>
    <x v="103"/>
    <n v="0"/>
  </r>
  <r>
    <x v="104"/>
    <n v="0"/>
  </r>
  <r>
    <x v="105"/>
    <n v="0"/>
  </r>
  <r>
    <x v="106"/>
    <n v="0"/>
  </r>
  <r>
    <x v="107"/>
    <n v="40"/>
  </r>
  <r>
    <x v="108"/>
    <n v="0"/>
  </r>
  <r>
    <x v="109"/>
    <n v="0"/>
  </r>
  <r>
    <x v="110"/>
    <n v="0"/>
  </r>
  <r>
    <x v="111"/>
    <n v="0"/>
  </r>
  <r>
    <x v="112"/>
    <n v="0"/>
  </r>
  <r>
    <x v="113"/>
    <n v="0"/>
  </r>
  <r>
    <x v="114"/>
    <n v="0"/>
  </r>
  <r>
    <x v="115"/>
    <n v="2"/>
  </r>
  <r>
    <x v="116"/>
    <n v="2"/>
  </r>
  <r>
    <x v="117"/>
    <n v="0"/>
  </r>
  <r>
    <x v="118"/>
    <n v="0"/>
  </r>
  <r>
    <x v="119"/>
    <n v="0"/>
  </r>
  <r>
    <x v="120"/>
    <n v="0"/>
  </r>
  <r>
    <x v="121"/>
    <n v="0"/>
  </r>
  <r>
    <x v="122"/>
    <n v="0"/>
  </r>
  <r>
    <x v="123"/>
    <n v="0"/>
  </r>
  <r>
    <x v="124"/>
    <n v="115856"/>
  </r>
  <r>
    <x v="125"/>
    <n v="7523118"/>
  </r>
  <r>
    <x v="126"/>
    <n v="4543"/>
  </r>
  <r>
    <x v="127"/>
    <n v="0"/>
  </r>
  <r>
    <x v="128"/>
    <n v="9034"/>
  </r>
  <r>
    <x v="129"/>
    <n v="0"/>
  </r>
  <r>
    <x v="130"/>
    <n v="0"/>
  </r>
  <r>
    <x v="131"/>
    <n v="0"/>
  </r>
  <r>
    <x v="132"/>
    <n v="0"/>
  </r>
  <r>
    <x v="133"/>
    <n v="0"/>
  </r>
  <r>
    <x v="134"/>
    <n v="0"/>
  </r>
  <r>
    <x v="135"/>
    <n v="0"/>
  </r>
  <r>
    <x v="136"/>
    <n v="0"/>
  </r>
  <r>
    <x v="137"/>
    <n v="0"/>
  </r>
  <r>
    <x v="138"/>
    <n v="0"/>
  </r>
  <r>
    <x v="139"/>
    <n v="0"/>
  </r>
  <r>
    <x v="140"/>
    <n v="0"/>
  </r>
  <r>
    <x v="141"/>
    <n v="0"/>
  </r>
  <r>
    <x v="142"/>
    <n v="0"/>
  </r>
  <r>
    <x v="143"/>
    <n v="0"/>
  </r>
  <r>
    <x v="144"/>
    <n v="0"/>
  </r>
  <r>
    <x v="145"/>
    <n v="0"/>
  </r>
  <r>
    <x v="146"/>
    <n v="0"/>
  </r>
  <r>
    <x v="147"/>
    <n v="0"/>
  </r>
  <r>
    <x v="148"/>
    <n v="0"/>
  </r>
  <r>
    <x v="149"/>
    <n v="0"/>
  </r>
  <r>
    <x v="150"/>
    <n v="0"/>
  </r>
  <r>
    <x v="151"/>
    <n v="0"/>
  </r>
  <r>
    <x v="129"/>
    <n v="0"/>
  </r>
  <r>
    <x v="152"/>
    <n v="0"/>
  </r>
  <r>
    <x v="153"/>
    <n v="0"/>
  </r>
  <r>
    <x v="154"/>
    <n v="9069"/>
  </r>
  <r>
    <x v="155"/>
    <n v="0"/>
  </r>
  <r>
    <x v="156"/>
    <n v="0"/>
  </r>
  <r>
    <x v="157"/>
    <n v="0"/>
  </r>
  <r>
    <x v="158"/>
    <n v="0"/>
  </r>
  <r>
    <x v="159"/>
    <n v="0"/>
  </r>
  <r>
    <x v="160"/>
    <n v="0"/>
  </r>
  <r>
    <x v="161"/>
    <n v="4"/>
  </r>
  <r>
    <x v="162"/>
    <n v="0"/>
  </r>
  <r>
    <x v="163"/>
    <n v="0"/>
  </r>
  <r>
    <x v="164"/>
    <n v="0"/>
  </r>
  <r>
    <x v="165"/>
    <n v="0"/>
  </r>
  <r>
    <x v="166"/>
    <n v="0"/>
  </r>
  <r>
    <x v="167"/>
    <n v="0"/>
  </r>
  <r>
    <x v="168"/>
    <n v="0"/>
  </r>
  <r>
    <x v="169"/>
    <n v="0"/>
  </r>
  <r>
    <x v="170"/>
    <n v="0"/>
  </r>
  <r>
    <x v="171"/>
    <n v="0"/>
  </r>
  <r>
    <x v="172"/>
    <n v="277490"/>
  </r>
  <r>
    <x v="173"/>
    <n v="10836094"/>
  </r>
  <r>
    <x v="174"/>
    <n v="1156556"/>
  </r>
  <r>
    <x v="175"/>
    <n v="83154"/>
  </r>
  <r>
    <x v="176"/>
    <n v="0"/>
  </r>
  <r>
    <x v="177"/>
    <n v="0"/>
  </r>
  <r>
    <x v="178"/>
    <n v="0"/>
  </r>
  <r>
    <x v="179"/>
    <n v="0"/>
  </r>
  <r>
    <x v="180"/>
    <n v="0"/>
  </r>
  <r>
    <x v="181"/>
    <n v="0"/>
  </r>
  <r>
    <x v="182"/>
    <n v="0"/>
  </r>
  <r>
    <x v="183"/>
    <n v="0"/>
  </r>
  <r>
    <x v="184"/>
    <n v="0"/>
  </r>
  <r>
    <x v="185"/>
    <n v="0"/>
  </r>
  <r>
    <x v="186"/>
    <n v="0"/>
  </r>
  <r>
    <x v="187"/>
    <n v="0"/>
  </r>
  <r>
    <x v="188"/>
    <n v="0"/>
  </r>
  <r>
    <x v="189"/>
    <n v="0"/>
  </r>
  <r>
    <x v="190"/>
    <n v="0"/>
  </r>
  <r>
    <x v="191"/>
    <n v="0"/>
  </r>
  <r>
    <x v="2"/>
    <n v="0"/>
  </r>
  <r>
    <x v="192"/>
    <n v="0"/>
  </r>
  <r>
    <x v="193"/>
    <n v="0"/>
  </r>
  <r>
    <x v="194"/>
    <n v="0"/>
  </r>
  <r>
    <x v="195"/>
    <n v="0"/>
  </r>
  <r>
    <x v="196"/>
    <n v="0"/>
  </r>
  <r>
    <x v="197"/>
    <n v="0"/>
  </r>
  <r>
    <x v="198"/>
    <n v="0"/>
  </r>
  <r>
    <x v="199"/>
    <n v="0"/>
  </r>
  <r>
    <x v="200"/>
    <n v="0"/>
  </r>
  <r>
    <x v="201"/>
    <n v="1"/>
  </r>
  <r>
    <x v="117"/>
    <n v="0"/>
  </r>
  <r>
    <x v="202"/>
    <n v="0"/>
  </r>
  <r>
    <x v="203"/>
    <n v="0"/>
  </r>
  <r>
    <x v="204"/>
    <n v="0"/>
  </r>
  <r>
    <x v="205"/>
    <n v="0"/>
  </r>
  <r>
    <x v="206"/>
    <n v="0"/>
  </r>
  <r>
    <x v="207"/>
    <n v="5764"/>
  </r>
  <r>
    <x v="208"/>
    <n v="10833774"/>
  </r>
  <r>
    <x v="209"/>
    <n v="999"/>
  </r>
  <r>
    <x v="210"/>
    <n v="0"/>
  </r>
  <r>
    <x v="211"/>
    <n v="0"/>
  </r>
  <r>
    <x v="212"/>
    <n v="0"/>
  </r>
  <r>
    <x v="213"/>
    <n v="0"/>
  </r>
  <r>
    <x v="214"/>
    <n v="9035"/>
  </r>
  <r>
    <x v="181"/>
    <n v="0"/>
  </r>
  <r>
    <x v="215"/>
    <n v="0"/>
  </r>
  <r>
    <x v="216"/>
    <n v="0"/>
  </r>
  <r>
    <x v="217"/>
    <n v="0"/>
  </r>
  <r>
    <x v="218"/>
    <n v="0"/>
  </r>
  <r>
    <x v="219"/>
    <n v="0"/>
  </r>
  <r>
    <x v="220"/>
    <n v="0"/>
  </r>
  <r>
    <x v="221"/>
    <n v="0"/>
  </r>
  <r>
    <x v="222"/>
    <n v="0"/>
  </r>
  <r>
    <x v="223"/>
    <n v="0"/>
  </r>
  <r>
    <x v="224"/>
    <n v="0"/>
  </r>
  <r>
    <x v="225"/>
    <n v="0"/>
  </r>
  <r>
    <x v="226"/>
    <n v="0"/>
  </r>
  <r>
    <x v="227"/>
    <n v="0"/>
  </r>
  <r>
    <x v="228"/>
    <n v="0"/>
  </r>
  <r>
    <x v="229"/>
    <n v="0"/>
  </r>
  <r>
    <x v="230"/>
    <n v="54"/>
  </r>
  <r>
    <x v="231"/>
    <n v="0"/>
  </r>
  <r>
    <x v="232"/>
    <n v="0"/>
  </r>
  <r>
    <x v="233"/>
    <n v="0"/>
  </r>
  <r>
    <x v="234"/>
    <n v="0"/>
  </r>
  <r>
    <x v="235"/>
    <n v="0"/>
  </r>
  <r>
    <x v="236"/>
    <n v="0"/>
  </r>
  <r>
    <x v="237"/>
    <n v="0"/>
  </r>
  <r>
    <x v="238"/>
    <n v="0"/>
  </r>
  <r>
    <x v="239"/>
    <n v="0"/>
  </r>
  <r>
    <x v="240"/>
    <n v="0"/>
  </r>
  <r>
    <x v="241"/>
    <n v="0"/>
  </r>
  <r>
    <x v="242"/>
    <n v="0"/>
  </r>
  <r>
    <x v="243"/>
    <n v="0"/>
  </r>
  <r>
    <x v="244"/>
    <n v="0"/>
  </r>
  <r>
    <x v="245"/>
    <n v="0"/>
  </r>
  <r>
    <x v="246"/>
    <n v="0"/>
  </r>
  <r>
    <x v="247"/>
    <n v="0"/>
  </r>
  <r>
    <x v="248"/>
    <n v="0"/>
  </r>
  <r>
    <x v="249"/>
    <n v="0"/>
  </r>
  <r>
    <x v="250"/>
    <n v="0"/>
  </r>
  <r>
    <x v="251"/>
    <n v="0"/>
  </r>
  <r>
    <x v="252"/>
    <n v="92492"/>
  </r>
  <r>
    <x v="253"/>
    <n v="14517983"/>
  </r>
  <r>
    <x v="254"/>
    <n v="0"/>
  </r>
  <r>
    <x v="255"/>
    <n v="0"/>
  </r>
  <r>
    <x v="256"/>
    <n v="0"/>
  </r>
  <r>
    <x v="257"/>
    <n v="0"/>
  </r>
  <r>
    <x v="258"/>
    <n v="0"/>
  </r>
  <r>
    <x v="259"/>
    <n v="0"/>
  </r>
  <r>
    <x v="260"/>
    <n v="0"/>
  </r>
  <r>
    <x v="261"/>
    <n v="0"/>
  </r>
  <r>
    <x v="262"/>
    <n v="0"/>
  </r>
  <r>
    <x v="263"/>
    <n v="0"/>
  </r>
  <r>
    <x v="264"/>
    <n v="0"/>
  </r>
  <r>
    <x v="265"/>
    <n v="0"/>
  </r>
  <r>
    <x v="266"/>
    <n v="0"/>
  </r>
  <r>
    <x v="267"/>
    <n v="0"/>
  </r>
  <r>
    <x v="268"/>
    <n v="0"/>
  </r>
  <r>
    <x v="269"/>
    <n v="0"/>
  </r>
  <r>
    <x v="270"/>
    <n v="0"/>
  </r>
  <r>
    <x v="271"/>
    <n v="0"/>
  </r>
  <r>
    <x v="1"/>
    <n v="0"/>
  </r>
  <r>
    <x v="272"/>
    <n v="0"/>
  </r>
  <r>
    <x v="273"/>
    <n v="0"/>
  </r>
  <r>
    <x v="274"/>
    <n v="0"/>
  </r>
  <r>
    <x v="275"/>
    <n v="0"/>
  </r>
  <r>
    <x v="151"/>
    <n v="0"/>
  </r>
  <r>
    <x v="276"/>
    <n v="0"/>
  </r>
  <r>
    <x v="277"/>
    <n v="0"/>
  </r>
  <r>
    <x v="278"/>
    <n v="2343"/>
  </r>
  <r>
    <x v="279"/>
    <n v="0"/>
  </r>
  <r>
    <x v="280"/>
    <n v="0"/>
  </r>
  <r>
    <x v="281"/>
    <n v="0"/>
  </r>
  <r>
    <x v="282"/>
    <n v="0"/>
  </r>
  <r>
    <x v="283"/>
    <n v="0"/>
  </r>
  <r>
    <x v="284"/>
    <n v="481505"/>
  </r>
  <r>
    <x v="285"/>
    <n v="0"/>
  </r>
  <r>
    <x v="286"/>
    <n v="0"/>
  </r>
  <r>
    <x v="287"/>
    <n v="0"/>
  </r>
  <r>
    <x v="288"/>
    <n v="0"/>
  </r>
  <r>
    <x v="289"/>
    <n v="8564349"/>
  </r>
  <r>
    <x v="290"/>
    <n v="0"/>
  </r>
  <r>
    <x v="291"/>
    <n v="0"/>
  </r>
  <r>
    <x v="292"/>
    <n v="0"/>
  </r>
  <r>
    <x v="293"/>
    <n v="0"/>
  </r>
  <r>
    <x v="294"/>
    <n v="0"/>
  </r>
  <r>
    <x v="295"/>
    <n v="0"/>
  </r>
  <r>
    <x v="296"/>
    <n v="7918"/>
  </r>
  <r>
    <x v="297"/>
    <n v="0"/>
  </r>
  <r>
    <x v="298"/>
    <n v="5216"/>
  </r>
  <r>
    <x v="299"/>
    <n v="18178"/>
  </r>
  <r>
    <x v="300"/>
    <n v="0"/>
  </r>
  <r>
    <x v="301"/>
    <n v="0"/>
  </r>
  <r>
    <x v="302"/>
    <n v="0"/>
  </r>
  <r>
    <x v="303"/>
    <n v="0"/>
  </r>
  <r>
    <x v="304"/>
    <n v="0"/>
  </r>
  <r>
    <x v="305"/>
    <n v="0"/>
  </r>
  <r>
    <x v="306"/>
    <n v="0"/>
  </r>
  <r>
    <x v="307"/>
    <n v="0"/>
  </r>
  <r>
    <x v="308"/>
    <n v="0"/>
  </r>
  <r>
    <x v="309"/>
    <n v="0"/>
  </r>
  <r>
    <x v="310"/>
    <n v="0"/>
  </r>
  <r>
    <x v="311"/>
    <n v="0"/>
  </r>
  <r>
    <x v="312"/>
    <n v="0"/>
  </r>
  <r>
    <x v="313"/>
    <n v="0"/>
  </r>
  <r>
    <x v="314"/>
    <n v="0"/>
  </r>
  <r>
    <x v="315"/>
    <n v="0"/>
  </r>
  <r>
    <x v="316"/>
    <n v="0"/>
  </r>
  <r>
    <x v="317"/>
    <n v="0"/>
  </r>
  <r>
    <x v="318"/>
    <n v="0"/>
  </r>
  <r>
    <x v="319"/>
    <n v="0"/>
  </r>
  <r>
    <x v="0"/>
    <n v="0"/>
  </r>
  <r>
    <x v="320"/>
    <n v="0"/>
  </r>
  <r>
    <x v="321"/>
    <n v="0"/>
  </r>
  <r>
    <x v="180"/>
    <n v="0"/>
  </r>
  <r>
    <x v="322"/>
    <n v="0"/>
  </r>
  <r>
    <x v="323"/>
    <n v="0"/>
  </r>
  <r>
    <x v="320"/>
    <n v="0"/>
  </r>
  <r>
    <x v="324"/>
    <n v="0"/>
  </r>
  <r>
    <x v="325"/>
    <n v="0"/>
  </r>
  <r>
    <x v="326"/>
    <n v="183"/>
  </r>
  <r>
    <x v="327"/>
    <n v="0"/>
  </r>
  <r>
    <x v="328"/>
    <n v="0"/>
  </r>
  <r>
    <x v="329"/>
    <n v="0"/>
  </r>
  <r>
    <x v="330"/>
    <n v="0"/>
  </r>
  <r>
    <x v="331"/>
    <n v="0"/>
  </r>
  <r>
    <x v="332"/>
    <n v="0"/>
  </r>
  <r>
    <x v="333"/>
    <n v="0"/>
  </r>
  <r>
    <x v="334"/>
    <n v="0"/>
  </r>
  <r>
    <x v="335"/>
    <n v="0"/>
  </r>
  <r>
    <x v="336"/>
    <n v="0"/>
  </r>
  <r>
    <x v="337"/>
    <n v="0"/>
  </r>
  <r>
    <x v="338"/>
    <n v="4200782"/>
  </r>
  <r>
    <x v="339"/>
    <n v="0"/>
  </r>
  <r>
    <x v="340"/>
    <n v="0"/>
  </r>
  <r>
    <x v="341"/>
    <n v="0"/>
  </r>
  <r>
    <x v="342"/>
    <n v="0"/>
  </r>
  <r>
    <x v="343"/>
    <n v="0"/>
  </r>
  <r>
    <x v="344"/>
    <n v="0"/>
  </r>
  <r>
    <x v="345"/>
    <n v="0"/>
  </r>
  <r>
    <x v="346"/>
    <n v="0"/>
  </r>
  <r>
    <x v="347"/>
    <n v="0"/>
  </r>
  <r>
    <x v="348"/>
    <n v="0"/>
  </r>
  <r>
    <x v="349"/>
    <n v="0"/>
  </r>
  <r>
    <x v="350"/>
    <n v="0"/>
  </r>
  <r>
    <x v="351"/>
    <n v="0"/>
  </r>
  <r>
    <x v="352"/>
    <n v="0"/>
  </r>
  <r>
    <x v="323"/>
    <n v="0"/>
  </r>
  <r>
    <x v="353"/>
    <n v="0"/>
  </r>
  <r>
    <x v="354"/>
    <n v="0"/>
  </r>
  <r>
    <x v="355"/>
    <n v="0"/>
  </r>
  <r>
    <x v="256"/>
    <n v="0"/>
  </r>
  <r>
    <x v="356"/>
    <n v="0"/>
  </r>
  <r>
    <x v="357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7"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183"/>
  </r>
  <r>
    <x v="13"/>
    <n v="40"/>
  </r>
  <r>
    <x v="14"/>
    <n v="54"/>
  </r>
  <r>
    <x v="15"/>
    <n v="18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24"/>
    <n v="0"/>
  </r>
  <r>
    <x v="25"/>
    <n v="1661481"/>
  </r>
  <r>
    <x v="26"/>
    <n v="9069"/>
  </r>
  <r>
    <x v="27"/>
    <n v="4261"/>
  </r>
  <r>
    <x v="28"/>
    <n v="2343"/>
  </r>
  <r>
    <x v="29"/>
    <n v="0"/>
  </r>
  <r>
    <x v="30"/>
    <n v="0"/>
  </r>
  <r>
    <x v="31"/>
    <n v="0"/>
  </r>
  <r>
    <x v="32"/>
    <n v="0"/>
  </r>
  <r>
    <x v="33"/>
    <n v="0"/>
  </r>
  <r>
    <x v="34"/>
    <n v="0"/>
  </r>
  <r>
    <x v="35"/>
    <n v="0"/>
  </r>
  <r>
    <x v="36"/>
    <n v="0"/>
  </r>
  <r>
    <x v="37"/>
    <n v="0"/>
  </r>
  <r>
    <x v="38"/>
    <n v="0"/>
  </r>
  <r>
    <x v="39"/>
    <n v="0"/>
  </r>
  <r>
    <x v="40"/>
    <n v="0"/>
  </r>
  <r>
    <x v="41"/>
    <n v="0"/>
  </r>
  <r>
    <x v="42"/>
    <n v="0"/>
  </r>
  <r>
    <x v="43"/>
    <n v="0"/>
  </r>
  <r>
    <x v="44"/>
    <n v="0"/>
  </r>
  <r>
    <x v="45"/>
    <n v="0"/>
  </r>
  <r>
    <x v="46"/>
    <n v="0"/>
  </r>
  <r>
    <x v="47"/>
    <n v="0"/>
  </r>
  <r>
    <x v="48"/>
    <n v="0"/>
  </r>
  <r>
    <x v="49"/>
    <n v="0"/>
  </r>
  <r>
    <x v="50"/>
    <n v="0"/>
  </r>
  <r>
    <x v="51"/>
    <n v="0"/>
  </r>
  <r>
    <x v="52"/>
    <n v="0"/>
  </r>
  <r>
    <x v="53"/>
    <n v="0"/>
  </r>
  <r>
    <x v="54"/>
    <n v="0"/>
  </r>
  <r>
    <x v="55"/>
    <n v="0"/>
  </r>
  <r>
    <x v="56"/>
    <n v="0"/>
  </r>
  <r>
    <x v="57"/>
    <n v="0"/>
  </r>
  <r>
    <x v="58"/>
    <n v="0"/>
  </r>
  <r>
    <x v="59"/>
    <n v="0"/>
  </r>
  <r>
    <x v="60"/>
    <n v="0"/>
  </r>
  <r>
    <x v="61"/>
    <n v="0"/>
  </r>
  <r>
    <x v="62"/>
    <n v="0"/>
  </r>
  <r>
    <x v="63"/>
    <n v="0"/>
  </r>
  <r>
    <x v="64"/>
    <n v="0"/>
  </r>
  <r>
    <x v="65"/>
    <n v="0"/>
  </r>
  <r>
    <x v="66"/>
    <n v="481505"/>
  </r>
  <r>
    <x v="67"/>
    <n v="0"/>
  </r>
  <r>
    <x v="68"/>
    <n v="0"/>
  </r>
  <r>
    <x v="69"/>
    <n v="0"/>
  </r>
  <r>
    <x v="70"/>
    <n v="0"/>
  </r>
  <r>
    <x v="71"/>
    <n v="0"/>
  </r>
  <r>
    <x v="72"/>
    <n v="0"/>
  </r>
  <r>
    <x v="73"/>
    <n v="0"/>
  </r>
  <r>
    <x v="74"/>
    <n v="0"/>
  </r>
  <r>
    <x v="75"/>
    <n v="0"/>
  </r>
  <r>
    <x v="76"/>
    <n v="0"/>
  </r>
  <r>
    <x v="77"/>
    <n v="0"/>
  </r>
  <r>
    <x v="78"/>
    <n v="0"/>
  </r>
  <r>
    <x v="79"/>
    <n v="0"/>
  </r>
  <r>
    <x v="80"/>
    <n v="0"/>
  </r>
  <r>
    <x v="81"/>
    <n v="0"/>
  </r>
  <r>
    <x v="82"/>
    <n v="0"/>
  </r>
  <r>
    <x v="83"/>
    <n v="0"/>
  </r>
  <r>
    <x v="84"/>
    <n v="0"/>
  </r>
  <r>
    <x v="85"/>
    <n v="0"/>
  </r>
  <r>
    <x v="86"/>
    <n v="4"/>
  </r>
  <r>
    <x v="87"/>
    <n v="2"/>
  </r>
  <r>
    <x v="88"/>
    <n v="2"/>
  </r>
  <r>
    <x v="89"/>
    <n v="2"/>
  </r>
  <r>
    <x v="90"/>
    <n v="1"/>
  </r>
  <r>
    <x v="91"/>
    <n v="2"/>
  </r>
  <r>
    <x v="92"/>
    <n v="8564349"/>
  </r>
  <r>
    <x v="93"/>
    <n v="13119254"/>
  </r>
  <r>
    <x v="94"/>
    <n v="2090896"/>
  </r>
  <r>
    <x v="95"/>
    <n v="1186095"/>
  </r>
  <r>
    <x v="96"/>
    <n v="0"/>
  </r>
  <r>
    <x v="97"/>
    <n v="0"/>
  </r>
  <r>
    <x v="98"/>
    <n v="0"/>
  </r>
  <r>
    <x v="99"/>
    <n v="0"/>
  </r>
  <r>
    <x v="99"/>
    <n v="0"/>
  </r>
  <r>
    <x v="100"/>
    <n v="0"/>
  </r>
  <r>
    <x v="101"/>
    <n v="0"/>
  </r>
  <r>
    <x v="102"/>
    <n v="0"/>
  </r>
  <r>
    <x v="103"/>
    <n v="0"/>
  </r>
  <r>
    <x v="104"/>
    <n v="0"/>
  </r>
  <r>
    <x v="105"/>
    <n v="0"/>
  </r>
  <r>
    <x v="106"/>
    <n v="0"/>
  </r>
  <r>
    <x v="107"/>
    <n v="0"/>
  </r>
  <r>
    <x v="108"/>
    <n v="0"/>
  </r>
  <r>
    <x v="109"/>
    <n v="0"/>
  </r>
  <r>
    <x v="110"/>
    <n v="0"/>
  </r>
  <r>
    <x v="111"/>
    <n v="0"/>
  </r>
  <r>
    <x v="112"/>
    <n v="0"/>
  </r>
  <r>
    <x v="113"/>
    <n v="0"/>
  </r>
  <r>
    <x v="114"/>
    <n v="0"/>
  </r>
  <r>
    <x v="115"/>
    <n v="0"/>
  </r>
  <r>
    <x v="116"/>
    <n v="0"/>
  </r>
  <r>
    <x v="117"/>
    <n v="0"/>
  </r>
  <r>
    <x v="118"/>
    <n v="0"/>
  </r>
  <r>
    <x v="119"/>
    <n v="0"/>
  </r>
  <r>
    <x v="120"/>
    <n v="0"/>
  </r>
  <r>
    <x v="121"/>
    <n v="0"/>
  </r>
  <r>
    <x v="122"/>
    <n v="0"/>
  </r>
  <r>
    <x v="123"/>
    <n v="0"/>
  </r>
  <r>
    <x v="124"/>
    <n v="0"/>
  </r>
  <r>
    <x v="125"/>
    <n v="0"/>
  </r>
  <r>
    <x v="126"/>
    <n v="0"/>
  </r>
  <r>
    <x v="127"/>
    <n v="0"/>
  </r>
  <r>
    <x v="128"/>
    <n v="0"/>
  </r>
  <r>
    <x v="129"/>
    <n v="0"/>
  </r>
  <r>
    <x v="130"/>
    <n v="0"/>
  </r>
  <r>
    <x v="131"/>
    <n v="0"/>
  </r>
  <r>
    <x v="132"/>
    <n v="0"/>
  </r>
  <r>
    <x v="133"/>
    <n v="0"/>
  </r>
  <r>
    <x v="134"/>
    <n v="0"/>
  </r>
  <r>
    <x v="135"/>
    <n v="0"/>
  </r>
  <r>
    <x v="136"/>
    <n v="0"/>
  </r>
  <r>
    <x v="137"/>
    <n v="0"/>
  </r>
  <r>
    <x v="138"/>
    <n v="0"/>
  </r>
  <r>
    <x v="139"/>
    <n v="0"/>
  </r>
  <r>
    <x v="140"/>
    <n v="0"/>
  </r>
  <r>
    <x v="141"/>
    <n v="0"/>
  </r>
  <r>
    <x v="142"/>
    <n v="0"/>
  </r>
  <r>
    <x v="143"/>
    <n v="0"/>
  </r>
  <r>
    <x v="144"/>
    <n v="0"/>
  </r>
  <r>
    <x v="145"/>
    <n v="0"/>
  </r>
  <r>
    <x v="146"/>
    <n v="0"/>
  </r>
  <r>
    <x v="147"/>
    <n v="0"/>
  </r>
  <r>
    <x v="148"/>
    <n v="0"/>
  </r>
  <r>
    <x v="149"/>
    <n v="0"/>
  </r>
  <r>
    <x v="150"/>
    <n v="45985292"/>
  </r>
  <r>
    <x v="151"/>
    <n v="10836094"/>
  </r>
  <r>
    <x v="152"/>
    <n v="3597701"/>
  </r>
  <r>
    <x v="153"/>
    <n v="5764"/>
  </r>
  <r>
    <x v="154"/>
    <n v="647"/>
  </r>
  <r>
    <x v="155"/>
    <n v="277490"/>
  </r>
  <r>
    <x v="156"/>
    <n v="115856"/>
  </r>
  <r>
    <x v="157"/>
    <n v="0"/>
  </r>
  <r>
    <x v="158"/>
    <n v="83154"/>
  </r>
  <r>
    <x v="159"/>
    <n v="5216"/>
  </r>
  <r>
    <x v="160"/>
    <n v="187928"/>
  </r>
  <r>
    <x v="161"/>
    <n v="7918"/>
  </r>
  <r>
    <x v="162"/>
    <n v="999"/>
  </r>
  <r>
    <x v="163"/>
    <n v="0"/>
  </r>
  <r>
    <x v="164"/>
    <n v="0"/>
  </r>
  <r>
    <x v="165"/>
    <n v="0"/>
  </r>
  <r>
    <x v="166"/>
    <n v="0"/>
  </r>
  <r>
    <x v="167"/>
    <n v="0"/>
  </r>
  <r>
    <x v="168"/>
    <n v="92492"/>
  </r>
  <r>
    <x v="169"/>
    <n v="1156556"/>
  </r>
  <r>
    <x v="170"/>
    <n v="4543"/>
  </r>
  <r>
    <x v="171"/>
    <n v="7390532"/>
  </r>
  <r>
    <x v="172"/>
    <n v="4200782"/>
  </r>
  <r>
    <x v="173"/>
    <n v="7523118"/>
  </r>
  <r>
    <x v="174"/>
    <n v="10833774"/>
  </r>
  <r>
    <x v="175"/>
    <n v="14517983"/>
  </r>
  <r>
    <x v="176"/>
    <n v="0"/>
  </r>
  <r>
    <x v="177"/>
    <n v="0"/>
  </r>
  <r>
    <x v="178"/>
    <n v="0"/>
  </r>
  <r>
    <x v="179"/>
    <n v="0"/>
  </r>
  <r>
    <x v="180"/>
    <n v="0"/>
  </r>
  <r>
    <x v="181"/>
    <n v="0"/>
  </r>
  <r>
    <x v="182"/>
    <n v="0"/>
  </r>
  <r>
    <x v="183"/>
    <n v="0"/>
  </r>
  <r>
    <x v="184"/>
    <n v="0"/>
  </r>
  <r>
    <x v="185"/>
    <n v="0"/>
  </r>
  <r>
    <x v="186"/>
    <n v="0"/>
  </r>
  <r>
    <x v="187"/>
    <n v="0"/>
  </r>
  <r>
    <x v="188"/>
    <n v="9771"/>
  </r>
  <r>
    <x v="189"/>
    <n v="8919"/>
  </r>
  <r>
    <x v="190"/>
    <n v="18178"/>
  </r>
  <r>
    <x v="191"/>
    <n v="0"/>
  </r>
  <r>
    <x v="192"/>
    <n v="9035"/>
  </r>
  <r>
    <x v="193"/>
    <n v="9034"/>
  </r>
  <r>
    <x v="194"/>
    <n v="0"/>
  </r>
  <r>
    <x v="195"/>
    <n v="0"/>
  </r>
  <r>
    <x v="196"/>
    <n v="0"/>
  </r>
  <r>
    <x v="197"/>
    <n v="0"/>
  </r>
  <r>
    <x v="198"/>
    <n v="0"/>
  </r>
  <r>
    <x v="199"/>
    <n v="0"/>
  </r>
  <r>
    <x v="200"/>
    <n v="0"/>
  </r>
  <r>
    <x v="201"/>
    <n v="0"/>
  </r>
  <r>
    <x v="202"/>
    <n v="0"/>
  </r>
  <r>
    <x v="203"/>
    <n v="0"/>
  </r>
  <r>
    <x v="204"/>
    <n v="0"/>
  </r>
  <r>
    <x v="205"/>
    <n v="0"/>
  </r>
  <r>
    <x v="206"/>
    <n v="0"/>
  </r>
  <r>
    <x v="207"/>
    <n v="0"/>
  </r>
  <r>
    <x v="208"/>
    <n v="0"/>
  </r>
  <r>
    <x v="209"/>
    <n v="0"/>
  </r>
  <r>
    <x v="210"/>
    <n v="0"/>
  </r>
  <r>
    <x v="211"/>
    <n v="0"/>
  </r>
  <r>
    <x v="212"/>
    <n v="0"/>
  </r>
  <r>
    <x v="213"/>
    <n v="0"/>
  </r>
  <r>
    <x v="214"/>
    <n v="0"/>
  </r>
  <r>
    <x v="215"/>
    <n v="0"/>
  </r>
  <r>
    <x v="216"/>
    <n v="0"/>
  </r>
  <r>
    <x v="217"/>
    <n v="0"/>
  </r>
  <r>
    <x v="218"/>
    <n v="0"/>
  </r>
  <r>
    <x v="219"/>
    <n v="0"/>
  </r>
  <r>
    <x v="220"/>
    <n v="0"/>
  </r>
  <r>
    <x v="221"/>
    <n v="0"/>
  </r>
  <r>
    <x v="222"/>
    <n v="0"/>
  </r>
  <r>
    <x v="223"/>
    <n v="0"/>
  </r>
  <r>
    <x v="224"/>
    <n v="0"/>
  </r>
  <r>
    <x v="225"/>
    <n v="0"/>
  </r>
  <r>
    <x v="226"/>
    <n v="0"/>
  </r>
  <r>
    <x v="227"/>
    <n v="0"/>
  </r>
  <r>
    <x v="228"/>
    <n v="0"/>
  </r>
  <r>
    <x v="229"/>
    <n v="0"/>
  </r>
  <r>
    <x v="230"/>
    <n v="0"/>
  </r>
  <r>
    <x v="231"/>
    <n v="0"/>
  </r>
  <r>
    <x v="232"/>
    <n v="0"/>
  </r>
  <r>
    <x v="233"/>
    <n v="0"/>
  </r>
  <r>
    <x v="234"/>
    <n v="0"/>
  </r>
  <r>
    <x v="235"/>
    <n v="0"/>
  </r>
  <r>
    <x v="236"/>
    <n v="0"/>
  </r>
  <r>
    <x v="237"/>
    <n v="0"/>
  </r>
  <r>
    <x v="238"/>
    <n v="0"/>
  </r>
  <r>
    <x v="239"/>
    <n v="0"/>
  </r>
  <r>
    <x v="240"/>
    <n v="0"/>
  </r>
  <r>
    <x v="241"/>
    <n v="0"/>
  </r>
  <r>
    <x v="242"/>
    <n v="0"/>
  </r>
  <r>
    <x v="243"/>
    <n v="0"/>
  </r>
  <r>
    <x v="244"/>
    <n v="0"/>
  </r>
  <r>
    <x v="245"/>
    <n v="0"/>
  </r>
  <r>
    <x v="246"/>
    <n v="0"/>
  </r>
  <r>
    <x v="247"/>
    <n v="0"/>
  </r>
  <r>
    <x v="248"/>
    <n v="0"/>
  </r>
  <r>
    <x v="249"/>
    <n v="0"/>
  </r>
  <r>
    <x v="250"/>
    <n v="0"/>
  </r>
  <r>
    <x v="251"/>
    <n v="0"/>
  </r>
  <r>
    <x v="252"/>
    <n v="0"/>
  </r>
  <r>
    <x v="253"/>
    <n v="0"/>
  </r>
  <r>
    <x v="254"/>
    <n v="0"/>
  </r>
  <r>
    <x v="255"/>
    <n v="0"/>
  </r>
  <r>
    <x v="256"/>
    <n v="0"/>
  </r>
  <r>
    <x v="257"/>
    <n v="0"/>
  </r>
  <r>
    <x v="258"/>
    <n v="0"/>
  </r>
  <r>
    <x v="259"/>
    <n v="0"/>
  </r>
  <r>
    <x v="260"/>
    <n v="0"/>
  </r>
  <r>
    <x v="261"/>
    <n v="0"/>
  </r>
  <r>
    <x v="262"/>
    <n v="0"/>
  </r>
  <r>
    <x v="263"/>
    <n v="0"/>
  </r>
  <r>
    <x v="264"/>
    <n v="0"/>
  </r>
  <r>
    <x v="265"/>
    <n v="0"/>
  </r>
  <r>
    <x v="266"/>
    <n v="0"/>
  </r>
  <r>
    <x v="267"/>
    <n v="0"/>
  </r>
  <r>
    <x v="268"/>
    <n v="0"/>
  </r>
  <r>
    <x v="269"/>
    <n v="0"/>
  </r>
  <r>
    <x v="270"/>
    <n v="0"/>
  </r>
  <r>
    <x v="271"/>
    <n v="0"/>
  </r>
  <r>
    <x v="272"/>
    <n v="0"/>
  </r>
  <r>
    <x v="273"/>
    <n v="0"/>
  </r>
  <r>
    <x v="274"/>
    <n v="0"/>
  </r>
  <r>
    <x v="275"/>
    <n v="0"/>
  </r>
  <r>
    <x v="276"/>
    <n v="0"/>
  </r>
  <r>
    <x v="277"/>
    <n v="0"/>
  </r>
  <r>
    <x v="278"/>
    <n v="0"/>
  </r>
  <r>
    <x v="279"/>
    <n v="0"/>
  </r>
  <r>
    <x v="280"/>
    <n v="0"/>
  </r>
  <r>
    <x v="281"/>
    <n v="0"/>
  </r>
  <r>
    <x v="282"/>
    <n v="0"/>
  </r>
  <r>
    <x v="283"/>
    <n v="0"/>
  </r>
  <r>
    <x v="284"/>
    <n v="0"/>
  </r>
  <r>
    <x v="285"/>
    <n v="0"/>
  </r>
  <r>
    <x v="286"/>
    <n v="0"/>
  </r>
  <r>
    <x v="287"/>
    <n v="0"/>
  </r>
  <r>
    <x v="288"/>
    <n v="0"/>
  </r>
  <r>
    <x v="289"/>
    <n v="0"/>
  </r>
  <r>
    <x v="290"/>
    <n v="0"/>
  </r>
  <r>
    <x v="291"/>
    <n v="0"/>
  </r>
  <r>
    <x v="292"/>
    <n v="0"/>
  </r>
  <r>
    <x v="293"/>
    <n v="0"/>
  </r>
  <r>
    <x v="294"/>
    <n v="0"/>
  </r>
  <r>
    <x v="295"/>
    <n v="0"/>
  </r>
  <r>
    <x v="296"/>
    <n v="0"/>
  </r>
  <r>
    <x v="297"/>
    <n v="0"/>
  </r>
  <r>
    <x v="298"/>
    <n v="0"/>
  </r>
  <r>
    <x v="299"/>
    <n v="0"/>
  </r>
  <r>
    <x v="300"/>
    <n v="0"/>
  </r>
  <r>
    <x v="301"/>
    <n v="0"/>
  </r>
  <r>
    <x v="302"/>
    <n v="0"/>
  </r>
  <r>
    <x v="303"/>
    <n v="0"/>
  </r>
  <r>
    <x v="304"/>
    <n v="0"/>
  </r>
  <r>
    <x v="305"/>
    <n v="0"/>
  </r>
  <r>
    <x v="306"/>
    <n v="0"/>
  </r>
  <r>
    <x v="307"/>
    <n v="0"/>
  </r>
  <r>
    <x v="308"/>
    <n v="0"/>
  </r>
  <r>
    <x v="309"/>
    <n v="0"/>
  </r>
  <r>
    <x v="310"/>
    <n v="0"/>
  </r>
  <r>
    <x v="311"/>
    <n v="0"/>
  </r>
  <r>
    <x v="312"/>
    <n v="0"/>
  </r>
  <r>
    <x v="313"/>
    <n v="0"/>
  </r>
  <r>
    <x v="314"/>
    <n v="0"/>
  </r>
  <r>
    <x v="315"/>
    <n v="0"/>
  </r>
  <r>
    <x v="316"/>
    <n v="0"/>
  </r>
  <r>
    <x v="317"/>
    <n v="0"/>
  </r>
  <r>
    <x v="318"/>
    <n v="0"/>
  </r>
  <r>
    <x v="319"/>
    <n v="0"/>
  </r>
  <r>
    <x v="320"/>
    <n v="0"/>
  </r>
  <r>
    <x v="321"/>
    <n v="0"/>
  </r>
  <r>
    <x v="322"/>
    <n v="0"/>
  </r>
  <r>
    <x v="323"/>
    <n v="0"/>
  </r>
  <r>
    <x v="324"/>
    <n v="0"/>
  </r>
  <r>
    <x v="325"/>
    <n v="0"/>
  </r>
  <r>
    <x v="326"/>
    <n v="0"/>
  </r>
  <r>
    <x v="327"/>
    <n v="0"/>
  </r>
  <r>
    <x v="328"/>
    <n v="2328237"/>
  </r>
  <r>
    <x v="329"/>
    <n v="0"/>
  </r>
  <r>
    <x v="330"/>
    <n v="0"/>
  </r>
  <r>
    <x v="331"/>
    <n v="0"/>
  </r>
  <r>
    <x v="332"/>
    <n v="0"/>
  </r>
  <r>
    <x v="333"/>
    <n v="0"/>
  </r>
  <r>
    <x v="334"/>
    <n v="0"/>
  </r>
  <r>
    <x v="335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336"/>
    <n v="0"/>
  </r>
  <r>
    <x v="337"/>
    <n v="0"/>
  </r>
  <r>
    <x v="338"/>
    <n v="0"/>
  </r>
  <r>
    <x v="339"/>
    <n v="0"/>
  </r>
  <r>
    <x v="340"/>
    <n v="0"/>
  </r>
  <r>
    <x v="341"/>
    <n v="0"/>
  </r>
  <r>
    <x v="342"/>
    <n v="0"/>
  </r>
  <r>
    <x v="343"/>
    <n v="0"/>
  </r>
  <r>
    <x v="344"/>
    <n v="0"/>
  </r>
  <r>
    <x v="345"/>
    <n v="0"/>
  </r>
  <r>
    <x v="346"/>
    <n v="0"/>
  </r>
  <r>
    <x v="347"/>
    <n v="0"/>
  </r>
  <r>
    <x v="348"/>
    <n v="0"/>
  </r>
  <r>
    <x v="194"/>
    <n v="0"/>
  </r>
  <r>
    <x v="195"/>
    <n v="0"/>
  </r>
  <r>
    <x v="196"/>
    <n v="0"/>
  </r>
  <r>
    <x v="349"/>
    <n v="0"/>
  </r>
  <r>
    <x v="350"/>
    <n v="0"/>
  </r>
  <r>
    <x v="351"/>
    <n v="0"/>
  </r>
  <r>
    <x v="352"/>
    <n v="0"/>
  </r>
  <r>
    <x v="353"/>
    <n v="0"/>
  </r>
  <r>
    <x v="354"/>
    <n v="0"/>
  </r>
  <r>
    <x v="355"/>
    <n v="0"/>
  </r>
  <r>
    <x v="35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62F24B-F778-460D-A6C9-FA747DA55EA7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able name">
  <location ref="F1:G360" firstHeaderRow="1" firstDataRow="1" firstDataCol="1"/>
  <pivotFields count="2">
    <pivotField axis="axisRow" showAll="0">
      <items count="359">
        <item x="183"/>
        <item x="308"/>
        <item x="88"/>
        <item x="182"/>
        <item x="344"/>
        <item x="149"/>
        <item x="230"/>
        <item x="58"/>
        <item x="107"/>
        <item x="326"/>
        <item x="284"/>
        <item x="131"/>
        <item x="160"/>
        <item x="288"/>
        <item x="260"/>
        <item x="234"/>
        <item x="108"/>
        <item x="109"/>
        <item x="194"/>
        <item x="5"/>
        <item x="325"/>
        <item x="6"/>
        <item x="154"/>
        <item x="278"/>
        <item x="306"/>
        <item x="83"/>
        <item x="84"/>
        <item x="10"/>
        <item x="9"/>
        <item x="232"/>
        <item x="60"/>
        <item x="7"/>
        <item x="115"/>
        <item x="201"/>
        <item x="13"/>
        <item x="70"/>
        <item x="161"/>
        <item x="116"/>
        <item x="243"/>
        <item x="162"/>
        <item x="72"/>
        <item x="35"/>
        <item x="34"/>
        <item x="16"/>
        <item x="290"/>
        <item x="120"/>
        <item x="132"/>
        <item x="309"/>
        <item x="36"/>
        <item x="176"/>
        <item x="127"/>
        <item x="28"/>
        <item x="14"/>
        <item x="37"/>
        <item x="261"/>
        <item x="217"/>
        <item x="245"/>
        <item x="257"/>
        <item x="133"/>
        <item x="134"/>
        <item x="85"/>
        <item x="15"/>
        <item x="345"/>
        <item x="184"/>
        <item x="89"/>
        <item x="346"/>
        <item x="185"/>
        <item x="135"/>
        <item x="33"/>
        <item x="8"/>
        <item x="216"/>
        <item x="343"/>
        <item x="86"/>
        <item x="123"/>
        <item x="186"/>
        <item x="289"/>
        <item x="104"/>
        <item x="90"/>
        <item x="262"/>
        <item x="219"/>
        <item x="310"/>
        <item x="263"/>
        <item x="40"/>
        <item x="92"/>
        <item x="39"/>
        <item x="32"/>
        <item x="91"/>
        <item x="218"/>
        <item x="38"/>
        <item x="151"/>
        <item x="323"/>
        <item x="320"/>
        <item x="1"/>
        <item x="117"/>
        <item x="2"/>
        <item x="0"/>
        <item x="93"/>
        <item x="187"/>
        <item x="75"/>
        <item x="203"/>
        <item x="204"/>
        <item x="74"/>
        <item x="307"/>
        <item x="264"/>
        <item x="276"/>
        <item x="136"/>
        <item x="137"/>
        <item x="94"/>
        <item x="138"/>
        <item x="220"/>
        <item x="41"/>
        <item x="139"/>
        <item x="335"/>
        <item x="4"/>
        <item x="228"/>
        <item x="324"/>
        <item x="106"/>
        <item x="229"/>
        <item x="3"/>
        <item x="330"/>
        <item x="165"/>
        <item x="164"/>
        <item x="163"/>
        <item x="73"/>
        <item x="244"/>
        <item x="202"/>
        <item x="118"/>
        <item x="119"/>
        <item x="303"/>
        <item x="277"/>
        <item x="231"/>
        <item x="42"/>
        <item x="265"/>
        <item x="258"/>
        <item x="140"/>
        <item x="266"/>
        <item x="221"/>
        <item x="141"/>
        <item x="142"/>
        <item x="311"/>
        <item x="95"/>
        <item x="215"/>
        <item x="59"/>
        <item x="279"/>
        <item x="233"/>
        <item x="61"/>
        <item x="222"/>
        <item x="96"/>
        <item x="354"/>
        <item x="125"/>
        <item x="22"/>
        <item x="251"/>
        <item x="338"/>
        <item x="78"/>
        <item x="208"/>
        <item x="172"/>
        <item x="209"/>
        <item x="23"/>
        <item x="24"/>
        <item x="25"/>
        <item x="252"/>
        <item x="173"/>
        <item x="174"/>
        <item x="253"/>
        <item x="126"/>
        <item x="27"/>
        <item x="26"/>
        <item x="175"/>
        <item x="124"/>
        <item x="143"/>
        <item x="190"/>
        <item x="313"/>
        <item x="43"/>
        <item x="44"/>
        <item x="45"/>
        <item x="269"/>
        <item x="314"/>
        <item x="270"/>
        <item x="99"/>
        <item x="97"/>
        <item x="98"/>
        <item x="267"/>
        <item x="144"/>
        <item x="268"/>
        <item x="351"/>
        <item x="347"/>
        <item x="312"/>
        <item x="87"/>
        <item x="188"/>
        <item x="189"/>
        <item x="100"/>
        <item x="48"/>
        <item x="304"/>
        <item x="145"/>
        <item x="101"/>
        <item x="316"/>
        <item x="148"/>
        <item x="191"/>
        <item x="271"/>
        <item x="342"/>
        <item x="259"/>
        <item x="130"/>
        <item x="339"/>
        <item x="301"/>
        <item x="31"/>
        <item x="81"/>
        <item x="82"/>
        <item x="181"/>
        <item x="340"/>
        <item x="341"/>
        <item x="305"/>
        <item x="302"/>
        <item x="317"/>
        <item x="103"/>
        <item x="348"/>
        <item x="146"/>
        <item x="177"/>
        <item x="254"/>
        <item x="210"/>
        <item x="211"/>
        <item x="29"/>
        <item x="79"/>
        <item x="212"/>
        <item x="178"/>
        <item x="213"/>
        <item x="349"/>
        <item x="352"/>
        <item x="300"/>
        <item x="179"/>
        <item x="214"/>
        <item x="80"/>
        <item x="255"/>
        <item x="299"/>
        <item x="128"/>
        <item x="30"/>
        <item x="153"/>
        <item x="66"/>
        <item x="273"/>
        <item x="298"/>
        <item x="46"/>
        <item x="296"/>
        <item x="207"/>
        <item x="297"/>
        <item x="336"/>
        <item x="147"/>
        <item x="337"/>
        <item x="327"/>
        <item x="155"/>
        <item x="280"/>
        <item x="239"/>
        <item x="283"/>
        <item x="12"/>
        <item x="285"/>
        <item x="67"/>
        <item x="158"/>
        <item x="159"/>
        <item x="286"/>
        <item x="68"/>
        <item x="240"/>
        <item x="113"/>
        <item x="114"/>
        <item x="241"/>
        <item x="242"/>
        <item x="199"/>
        <item x="69"/>
        <item x="287"/>
        <item x="200"/>
        <item x="65"/>
        <item x="64"/>
        <item x="238"/>
        <item x="282"/>
        <item x="329"/>
        <item x="197"/>
        <item x="198"/>
        <item x="112"/>
        <item x="156"/>
        <item x="62"/>
        <item x="110"/>
        <item x="328"/>
        <item x="63"/>
        <item x="281"/>
        <item x="11"/>
        <item x="235"/>
        <item x="195"/>
        <item x="157"/>
        <item x="111"/>
        <item x="196"/>
        <item x="236"/>
        <item x="237"/>
        <item x="17"/>
        <item x="292"/>
        <item x="248"/>
        <item x="170"/>
        <item x="246"/>
        <item x="18"/>
        <item x="291"/>
        <item x="166"/>
        <item x="77"/>
        <item x="333"/>
        <item x="19"/>
        <item x="250"/>
        <item x="167"/>
        <item x="122"/>
        <item x="21"/>
        <item x="121"/>
        <item x="247"/>
        <item x="295"/>
        <item x="169"/>
        <item x="332"/>
        <item x="331"/>
        <item x="205"/>
        <item x="206"/>
        <item x="334"/>
        <item x="20"/>
        <item x="171"/>
        <item x="249"/>
        <item x="168"/>
        <item x="293"/>
        <item x="76"/>
        <item x="294"/>
        <item x="223"/>
        <item x="71"/>
        <item x="350"/>
        <item x="54"/>
        <item x="51"/>
        <item x="318"/>
        <item x="52"/>
        <item x="49"/>
        <item x="150"/>
        <item x="322"/>
        <item x="50"/>
        <item x="355"/>
        <item x="193"/>
        <item x="224"/>
        <item x="192"/>
        <item x="353"/>
        <item x="274"/>
        <item x="225"/>
        <item x="321"/>
        <item x="55"/>
        <item x="56"/>
        <item x="275"/>
        <item x="105"/>
        <item x="180"/>
        <item x="129"/>
        <item x="256"/>
        <item x="226"/>
        <item x="227"/>
        <item x="57"/>
        <item x="47"/>
        <item x="319"/>
        <item x="356"/>
        <item x="152"/>
        <item x="53"/>
        <item x="272"/>
        <item x="315"/>
        <item x="102"/>
        <item x="357"/>
        <item t="default"/>
      </items>
    </pivotField>
    <pivotField dataField="1" showAll="0"/>
  </pivotFields>
  <rowFields count="1">
    <field x="0"/>
  </rowFields>
  <rowItems count="35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 t="grand">
      <x/>
    </i>
  </rowItems>
  <colItems count="1">
    <i/>
  </colItems>
  <dataFields count="1">
    <dataField name="Export Count" fld="1" baseField="0" baseItem="0"/>
  </dataFields>
  <formats count="4">
    <format dxfId="9">
      <pivotArea field="0" type="button" dataOnly="0" labelOnly="1" outline="0" axis="axisRow" fieldPosition="0"/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0" count="1">
            <x v="340"/>
          </reference>
        </references>
      </pivotArea>
    </format>
    <format dxfId="6">
      <pivotArea dataOnly="0" labelOnly="1" fieldPosition="0">
        <references count="1">
          <reference field="0" count="1">
            <x v="34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539787-A54C-4230-A828-4CA2B65E9CAA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able Name">
  <location ref="A1:B360" firstHeaderRow="1" firstDataRow="1" firstDataCol="1"/>
  <pivotFields count="2">
    <pivotField axis="axisRow" showAll="0">
      <items count="359">
        <item x="183"/>
        <item x="308"/>
        <item x="88"/>
        <item x="182"/>
        <item x="344"/>
        <item x="149"/>
        <item x="230"/>
        <item x="58"/>
        <item x="107"/>
        <item x="326"/>
        <item x="284"/>
        <item x="131"/>
        <item x="160"/>
        <item x="288"/>
        <item x="260"/>
        <item x="234"/>
        <item x="108"/>
        <item x="109"/>
        <item x="194"/>
        <item x="5"/>
        <item x="325"/>
        <item x="6"/>
        <item x="154"/>
        <item x="278"/>
        <item x="306"/>
        <item x="83"/>
        <item x="84"/>
        <item x="10"/>
        <item x="9"/>
        <item x="232"/>
        <item x="60"/>
        <item x="7"/>
        <item x="115"/>
        <item x="201"/>
        <item x="13"/>
        <item x="70"/>
        <item x="161"/>
        <item x="116"/>
        <item x="243"/>
        <item x="162"/>
        <item x="72"/>
        <item x="35"/>
        <item x="34"/>
        <item x="16"/>
        <item x="290"/>
        <item x="120"/>
        <item x="132"/>
        <item x="309"/>
        <item x="36"/>
        <item x="176"/>
        <item x="127"/>
        <item x="28"/>
        <item x="14"/>
        <item x="37"/>
        <item x="261"/>
        <item x="217"/>
        <item x="245"/>
        <item x="257"/>
        <item x="133"/>
        <item x="134"/>
        <item x="85"/>
        <item x="15"/>
        <item x="345"/>
        <item x="184"/>
        <item x="89"/>
        <item x="346"/>
        <item x="185"/>
        <item x="135"/>
        <item x="33"/>
        <item x="8"/>
        <item x="216"/>
        <item x="343"/>
        <item x="86"/>
        <item x="123"/>
        <item x="186"/>
        <item x="289"/>
        <item x="104"/>
        <item x="90"/>
        <item x="262"/>
        <item x="219"/>
        <item x="310"/>
        <item x="263"/>
        <item x="40"/>
        <item x="92"/>
        <item x="39"/>
        <item x="32"/>
        <item x="91"/>
        <item x="218"/>
        <item x="38"/>
        <item x="151"/>
        <item x="323"/>
        <item x="320"/>
        <item x="1"/>
        <item x="117"/>
        <item x="2"/>
        <item x="0"/>
        <item x="93"/>
        <item x="187"/>
        <item x="75"/>
        <item x="203"/>
        <item x="204"/>
        <item x="74"/>
        <item x="307"/>
        <item x="264"/>
        <item x="276"/>
        <item x="136"/>
        <item x="137"/>
        <item x="94"/>
        <item x="138"/>
        <item x="220"/>
        <item x="41"/>
        <item x="139"/>
        <item x="335"/>
        <item x="4"/>
        <item x="228"/>
        <item x="324"/>
        <item x="106"/>
        <item x="229"/>
        <item x="3"/>
        <item x="330"/>
        <item x="165"/>
        <item x="164"/>
        <item x="163"/>
        <item x="73"/>
        <item x="244"/>
        <item x="202"/>
        <item x="118"/>
        <item x="119"/>
        <item x="303"/>
        <item x="277"/>
        <item x="231"/>
        <item x="42"/>
        <item x="265"/>
        <item x="258"/>
        <item x="140"/>
        <item x="266"/>
        <item x="221"/>
        <item x="141"/>
        <item x="142"/>
        <item x="311"/>
        <item x="95"/>
        <item x="215"/>
        <item x="59"/>
        <item x="279"/>
        <item x="233"/>
        <item x="61"/>
        <item x="222"/>
        <item x="96"/>
        <item x="354"/>
        <item x="125"/>
        <item x="22"/>
        <item x="251"/>
        <item x="338"/>
        <item x="78"/>
        <item x="208"/>
        <item x="172"/>
        <item x="209"/>
        <item x="23"/>
        <item x="24"/>
        <item x="25"/>
        <item x="252"/>
        <item x="173"/>
        <item x="174"/>
        <item x="253"/>
        <item x="126"/>
        <item x="27"/>
        <item x="26"/>
        <item x="175"/>
        <item x="124"/>
        <item x="143"/>
        <item x="190"/>
        <item x="313"/>
        <item x="43"/>
        <item x="44"/>
        <item x="45"/>
        <item x="269"/>
        <item x="314"/>
        <item x="270"/>
        <item x="99"/>
        <item x="97"/>
        <item x="98"/>
        <item x="267"/>
        <item x="144"/>
        <item x="268"/>
        <item x="351"/>
        <item x="347"/>
        <item x="312"/>
        <item x="87"/>
        <item x="188"/>
        <item x="189"/>
        <item x="100"/>
        <item x="48"/>
        <item x="304"/>
        <item x="145"/>
        <item x="101"/>
        <item x="316"/>
        <item x="148"/>
        <item x="191"/>
        <item x="271"/>
        <item x="342"/>
        <item x="259"/>
        <item x="130"/>
        <item x="339"/>
        <item x="301"/>
        <item x="31"/>
        <item x="81"/>
        <item x="82"/>
        <item x="181"/>
        <item x="340"/>
        <item x="341"/>
        <item x="305"/>
        <item x="302"/>
        <item x="317"/>
        <item x="103"/>
        <item x="348"/>
        <item x="146"/>
        <item x="177"/>
        <item x="254"/>
        <item x="210"/>
        <item x="211"/>
        <item x="29"/>
        <item x="79"/>
        <item x="212"/>
        <item x="178"/>
        <item x="213"/>
        <item x="349"/>
        <item x="352"/>
        <item x="300"/>
        <item x="179"/>
        <item x="214"/>
        <item x="80"/>
        <item x="255"/>
        <item x="299"/>
        <item x="128"/>
        <item x="30"/>
        <item x="153"/>
        <item x="66"/>
        <item x="273"/>
        <item x="298"/>
        <item x="46"/>
        <item x="296"/>
        <item x="207"/>
        <item x="297"/>
        <item x="336"/>
        <item x="147"/>
        <item x="337"/>
        <item x="327"/>
        <item x="155"/>
        <item x="280"/>
        <item x="239"/>
        <item x="283"/>
        <item x="12"/>
        <item x="285"/>
        <item x="67"/>
        <item x="158"/>
        <item x="159"/>
        <item x="286"/>
        <item x="68"/>
        <item x="240"/>
        <item x="113"/>
        <item x="114"/>
        <item x="241"/>
        <item x="242"/>
        <item x="199"/>
        <item x="69"/>
        <item x="287"/>
        <item x="200"/>
        <item x="65"/>
        <item x="64"/>
        <item x="238"/>
        <item x="282"/>
        <item x="329"/>
        <item x="197"/>
        <item x="198"/>
        <item x="112"/>
        <item x="156"/>
        <item x="62"/>
        <item x="110"/>
        <item x="328"/>
        <item x="63"/>
        <item x="281"/>
        <item x="11"/>
        <item x="235"/>
        <item x="195"/>
        <item x="157"/>
        <item x="111"/>
        <item x="196"/>
        <item x="236"/>
        <item x="237"/>
        <item x="17"/>
        <item x="292"/>
        <item x="248"/>
        <item x="170"/>
        <item x="246"/>
        <item x="18"/>
        <item x="291"/>
        <item x="166"/>
        <item x="77"/>
        <item x="333"/>
        <item x="19"/>
        <item x="250"/>
        <item x="167"/>
        <item x="122"/>
        <item x="21"/>
        <item x="121"/>
        <item x="247"/>
        <item x="295"/>
        <item x="169"/>
        <item x="332"/>
        <item x="331"/>
        <item x="205"/>
        <item x="206"/>
        <item x="334"/>
        <item x="20"/>
        <item x="171"/>
        <item x="249"/>
        <item x="168"/>
        <item x="293"/>
        <item x="76"/>
        <item x="294"/>
        <item x="223"/>
        <item x="71"/>
        <item x="350"/>
        <item x="54"/>
        <item x="51"/>
        <item x="318"/>
        <item x="52"/>
        <item x="49"/>
        <item x="150"/>
        <item x="322"/>
        <item x="50"/>
        <item x="355"/>
        <item x="193"/>
        <item x="224"/>
        <item x="192"/>
        <item x="353"/>
        <item x="274"/>
        <item x="225"/>
        <item x="321"/>
        <item x="55"/>
        <item x="56"/>
        <item x="275"/>
        <item x="105"/>
        <item x="180"/>
        <item x="129"/>
        <item x="256"/>
        <item x="226"/>
        <item x="227"/>
        <item x="57"/>
        <item x="47"/>
        <item x="319"/>
        <item x="356"/>
        <item x="152"/>
        <item x="53"/>
        <item x="272"/>
        <item x="315"/>
        <item x="102"/>
        <item x="357"/>
        <item t="default"/>
      </items>
    </pivotField>
    <pivotField dataField="1" showAll="0"/>
  </pivotFields>
  <rowFields count="1">
    <field x="0"/>
  </rowFields>
  <rowItems count="35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 t="grand">
      <x/>
    </i>
  </rowItems>
  <colItems count="1">
    <i/>
  </colItems>
  <dataFields count="1">
    <dataField name="Delete Count" fld="1" baseField="0" baseItem="0"/>
  </dataFields>
  <formats count="6">
    <format dxfId="5">
      <pivotArea field="0" type="button" dataOnly="0" labelOnly="1" outline="0" axis="axisRow" fieldPosition="0"/>
    </format>
    <format dxfId="4">
      <pivotArea dataOnly="0" labelOnly="1" outline="0" axis="axisValues" fieldPosition="0"/>
    </format>
    <format dxfId="3">
      <pivotArea field="0" type="button" dataOnly="0" labelOnly="1" outline="0" axis="axisRow" fieldPosition="0"/>
    </format>
    <format dxfId="2">
      <pivotArea dataOnly="0" labelOnly="1" outline="0" axis="axisValues" fieldPosition="0"/>
    </format>
    <format dxfId="1">
      <pivotArea collapsedLevelsAreSubtotals="1" fieldPosition="0">
        <references count="1">
          <reference field="0" count="1">
            <x v="340"/>
          </reference>
        </references>
      </pivotArea>
    </format>
    <format dxfId="0">
      <pivotArea dataOnly="0" labelOnly="1" fieldPosition="0">
        <references count="1">
          <reference field="0" count="1">
            <x v="34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9E3F72-074F-463B-B8E7-2CE17D320342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able name">
  <location ref="A1:B359" firstHeaderRow="1" firstDataRow="1" firstDataCol="1"/>
  <pivotFields count="2">
    <pivotField axis="axisRow" showAll="0">
      <items count="358">
        <item x="223"/>
        <item x="224"/>
        <item x="225"/>
        <item x="221"/>
        <item x="222"/>
        <item x="332"/>
        <item x="14"/>
        <item x="15"/>
        <item x="13"/>
        <item x="12"/>
        <item x="66"/>
        <item x="227"/>
        <item x="85"/>
        <item x="84"/>
        <item x="226"/>
        <item x="39"/>
        <item x="19"/>
        <item x="20"/>
        <item x="18"/>
        <item x="17"/>
        <item x="16"/>
        <item x="27"/>
        <item x="26"/>
        <item x="28"/>
        <item x="228"/>
        <item x="208"/>
        <item x="209"/>
        <item x="40"/>
        <item x="41"/>
        <item x="30"/>
        <item x="31"/>
        <item x="32"/>
        <item x="88"/>
        <item x="90"/>
        <item x="89"/>
        <item x="87"/>
        <item x="86"/>
        <item x="91"/>
        <item x="96"/>
        <item x="98"/>
        <item x="97"/>
        <item x="229"/>
        <item x="230"/>
        <item x="109"/>
        <item x="110"/>
        <item x="111"/>
        <item x="231"/>
        <item x="232"/>
        <item x="233"/>
        <item x="185"/>
        <item x="178"/>
        <item x="176"/>
        <item x="94"/>
        <item x="234"/>
        <item x="235"/>
        <item x="236"/>
        <item x="112"/>
        <item x="210"/>
        <item x="237"/>
        <item x="238"/>
        <item x="211"/>
        <item x="95"/>
        <item x="244"/>
        <item x="243"/>
        <item x="239"/>
        <item x="240"/>
        <item x="241"/>
        <item x="242"/>
        <item x="245"/>
        <item x="36"/>
        <item x="246"/>
        <item x="247"/>
        <item x="248"/>
        <item x="149"/>
        <item x="249"/>
        <item x="92"/>
        <item x="334"/>
        <item x="250"/>
        <item x="251"/>
        <item x="258"/>
        <item x="259"/>
        <item x="252"/>
        <item x="257"/>
        <item x="253"/>
        <item x="254"/>
        <item x="213"/>
        <item x="255"/>
        <item x="256"/>
        <item x="260"/>
        <item x="1"/>
        <item x="2"/>
        <item x="3"/>
        <item x="4"/>
        <item x="99"/>
        <item x="5"/>
        <item x="0"/>
        <item x="261"/>
        <item x="262"/>
        <item x="113"/>
        <item x="114"/>
        <item x="115"/>
        <item x="116"/>
        <item x="264"/>
        <item x="263"/>
        <item x="24"/>
        <item x="266"/>
        <item x="267"/>
        <item x="268"/>
        <item x="269"/>
        <item x="270"/>
        <item x="265"/>
        <item x="271"/>
        <item x="148"/>
        <item x="7"/>
        <item x="9"/>
        <item x="8"/>
        <item x="10"/>
        <item x="11"/>
        <item x="6"/>
        <item x="106"/>
        <item x="107"/>
        <item x="101"/>
        <item x="102"/>
        <item x="103"/>
        <item x="100"/>
        <item x="108"/>
        <item x="104"/>
        <item x="105"/>
        <item x="214"/>
        <item x="22"/>
        <item x="23"/>
        <item x="272"/>
        <item x="273"/>
        <item x="215"/>
        <item x="274"/>
        <item x="276"/>
        <item x="275"/>
        <item x="277"/>
        <item x="278"/>
        <item x="279"/>
        <item x="280"/>
        <item x="216"/>
        <item x="25"/>
        <item x="29"/>
        <item x="38"/>
        <item x="37"/>
        <item x="281"/>
        <item x="282"/>
        <item x="341"/>
        <item x="173"/>
        <item x="164"/>
        <item x="163"/>
        <item x="172"/>
        <item x="152"/>
        <item x="174"/>
        <item x="155"/>
        <item x="162"/>
        <item x="160"/>
        <item x="154"/>
        <item x="171"/>
        <item x="168"/>
        <item x="151"/>
        <item x="169"/>
        <item x="175"/>
        <item x="170"/>
        <item x="165"/>
        <item x="150"/>
        <item x="158"/>
        <item x="156"/>
        <item x="283"/>
        <item x="318"/>
        <item x="319"/>
        <item x="284"/>
        <item x="286"/>
        <item x="288"/>
        <item x="289"/>
        <item x="292"/>
        <item x="291"/>
        <item x="307"/>
        <item x="294"/>
        <item x="295"/>
        <item x="297"/>
        <item x="298"/>
        <item x="299"/>
        <item x="300"/>
        <item x="301"/>
        <item x="305"/>
        <item x="302"/>
        <item x="303"/>
        <item x="304"/>
        <item x="306"/>
        <item x="326"/>
        <item x="217"/>
        <item x="308"/>
        <item x="309"/>
        <item x="310"/>
        <item x="311"/>
        <item x="312"/>
        <item x="313"/>
        <item x="212"/>
        <item x="218"/>
        <item x="219"/>
        <item x="199"/>
        <item x="200"/>
        <item x="201"/>
        <item x="205"/>
        <item x="206"/>
        <item x="202"/>
        <item x="203"/>
        <item x="204"/>
        <item x="220"/>
        <item x="207"/>
        <item x="314"/>
        <item x="315"/>
        <item x="316"/>
        <item x="317"/>
        <item x="182"/>
        <item x="181"/>
        <item x="187"/>
        <item x="186"/>
        <item x="179"/>
        <item x="184"/>
        <item x="177"/>
        <item x="180"/>
        <item x="183"/>
        <item x="320"/>
        <item x="321"/>
        <item x="197"/>
        <item x="198"/>
        <item x="192"/>
        <item x="188"/>
        <item x="191"/>
        <item x="190"/>
        <item x="193"/>
        <item x="189"/>
        <item x="21"/>
        <item x="67"/>
        <item x="327"/>
        <item x="159"/>
        <item x="323"/>
        <item x="161"/>
        <item x="153"/>
        <item x="166"/>
        <item x="157"/>
        <item x="322"/>
        <item x="167"/>
        <item x="34"/>
        <item x="35"/>
        <item x="33"/>
        <item x="64"/>
        <item x="65"/>
        <item x="68"/>
        <item x="69"/>
        <item x="70"/>
        <item x="71"/>
        <item x="72"/>
        <item x="73"/>
        <item x="75"/>
        <item x="74"/>
        <item x="76"/>
        <item x="77"/>
        <item x="78"/>
        <item x="79"/>
        <item x="80"/>
        <item x="81"/>
        <item x="82"/>
        <item x="83"/>
        <item x="58"/>
        <item x="56"/>
        <item x="57"/>
        <item x="59"/>
        <item x="60"/>
        <item x="61"/>
        <item x="62"/>
        <item x="63"/>
        <item x="42"/>
        <item x="43"/>
        <item x="46"/>
        <item x="44"/>
        <item x="45"/>
        <item x="47"/>
        <item x="48"/>
        <item x="49"/>
        <item x="50"/>
        <item x="51"/>
        <item x="52"/>
        <item x="53"/>
        <item x="54"/>
        <item x="55"/>
        <item x="118"/>
        <item x="119"/>
        <item x="134"/>
        <item x="135"/>
        <item x="137"/>
        <item x="138"/>
        <item x="136"/>
        <item x="117"/>
        <item x="139"/>
        <item x="140"/>
        <item x="141"/>
        <item x="142"/>
        <item x="143"/>
        <item x="144"/>
        <item x="145"/>
        <item x="147"/>
        <item x="146"/>
        <item x="120"/>
        <item x="121"/>
        <item x="123"/>
        <item x="122"/>
        <item x="124"/>
        <item x="125"/>
        <item x="126"/>
        <item x="127"/>
        <item x="128"/>
        <item x="129"/>
        <item x="130"/>
        <item x="131"/>
        <item x="132"/>
        <item x="133"/>
        <item x="324"/>
        <item x="93"/>
        <item x="325"/>
        <item x="328"/>
        <item x="337"/>
        <item x="329"/>
        <item x="339"/>
        <item x="330"/>
        <item x="333"/>
        <item x="352"/>
        <item x="335"/>
        <item x="336"/>
        <item x="353"/>
        <item x="338"/>
        <item x="343"/>
        <item x="340"/>
        <item x="345"/>
        <item x="344"/>
        <item x="342"/>
        <item x="346"/>
        <item x="348"/>
        <item x="347"/>
        <item x="195"/>
        <item x="196"/>
        <item x="194"/>
        <item x="349"/>
        <item x="355"/>
        <item x="354"/>
        <item x="285"/>
        <item x="331"/>
        <item x="351"/>
        <item x="350"/>
        <item x="290"/>
        <item x="287"/>
        <item x="293"/>
        <item x="296"/>
        <item x="356"/>
        <item t="default"/>
      </items>
    </pivotField>
    <pivotField dataField="1" showAll="0"/>
  </pivotFields>
  <rowFields count="1">
    <field x="0"/>
  </rowFields>
  <rowItems count="35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 t="grand">
      <x/>
    </i>
  </rowItems>
  <colItems count="1">
    <i/>
  </colItems>
  <dataFields count="1">
    <dataField name="Prd Exp Coun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6DE07-C0A3-4B1A-A950-A525B64A6E97}">
  <dimension ref="A1:J369"/>
  <sheetViews>
    <sheetView topLeftCell="A314" workbookViewId="0">
      <selection activeCell="I323" sqref="I323"/>
    </sheetView>
  </sheetViews>
  <sheetFormatPr defaultRowHeight="14.5" x14ac:dyDescent="0.35"/>
  <cols>
    <col min="1" max="1" width="26.453125" customWidth="1"/>
    <col min="2" max="2" width="16" customWidth="1"/>
    <col min="3" max="3" width="20.453125" customWidth="1"/>
    <col min="6" max="6" width="21.26953125" bestFit="1" customWidth="1"/>
    <col min="7" max="7" width="12.08984375" bestFit="1" customWidth="1"/>
    <col min="9" max="9" width="11.54296875" bestFit="1" customWidth="1"/>
    <col min="10" max="10" width="14" bestFit="1" customWidth="1"/>
  </cols>
  <sheetData>
    <row r="1" spans="1:10" s="3" customFormat="1" x14ac:dyDescent="0.35">
      <c r="A1" s="3" t="s">
        <v>470</v>
      </c>
      <c r="B1" s="3" t="s">
        <v>471</v>
      </c>
      <c r="C1" s="3" t="s">
        <v>472</v>
      </c>
      <c r="D1" s="3" t="s">
        <v>473</v>
      </c>
      <c r="F1" s="4" t="s">
        <v>476</v>
      </c>
      <c r="G1" s="3" t="s">
        <v>477</v>
      </c>
      <c r="I1" s="3" t="s">
        <v>477</v>
      </c>
      <c r="J1" s="3" t="s">
        <v>478</v>
      </c>
    </row>
    <row r="2" spans="1:10" x14ac:dyDescent="0.35">
      <c r="A2" t="s">
        <v>0</v>
      </c>
      <c r="B2">
        <v>0</v>
      </c>
      <c r="C2" t="s">
        <v>357</v>
      </c>
      <c r="D2">
        <v>69</v>
      </c>
      <c r="F2" s="1" t="s">
        <v>183</v>
      </c>
      <c r="G2">
        <v>0</v>
      </c>
      <c r="I2">
        <f>IF(COUNTIF(Sheet2!A:A,F2)&gt;0,VLOOKUP(F2,Sheet2!A:B,2,FALSE),"Not Found")</f>
        <v>0</v>
      </c>
      <c r="J2" t="str">
        <f>IF(G2=I2,"Matching","Mis Match")</f>
        <v>Matching</v>
      </c>
    </row>
    <row r="3" spans="1:10" x14ac:dyDescent="0.35">
      <c r="A3" t="s">
        <v>1</v>
      </c>
      <c r="B3">
        <v>0</v>
      </c>
      <c r="C3" t="s">
        <v>357</v>
      </c>
      <c r="D3">
        <v>69</v>
      </c>
      <c r="F3" s="1" t="s">
        <v>308</v>
      </c>
      <c r="G3">
        <v>0</v>
      </c>
      <c r="I3">
        <f>IF(COUNTIF(Sheet2!A:A,F3)&gt;0,VLOOKUP(F3,Sheet2!A:B,2,FALSE),"Not Found")</f>
        <v>0</v>
      </c>
      <c r="J3" t="str">
        <f t="shared" ref="J3:J66" si="0">IF(G3=I3,"Matching","Mis Match")</f>
        <v>Matching</v>
      </c>
    </row>
    <row r="4" spans="1:10" x14ac:dyDescent="0.35">
      <c r="A4" t="s">
        <v>2</v>
      </c>
      <c r="B4">
        <v>0</v>
      </c>
      <c r="C4" t="s">
        <v>357</v>
      </c>
      <c r="D4">
        <v>69</v>
      </c>
      <c r="F4" s="1" t="s">
        <v>88</v>
      </c>
      <c r="G4">
        <v>0</v>
      </c>
      <c r="I4">
        <f>IF(COUNTIF(Sheet2!A:A,F4)&gt;0,VLOOKUP(F4,Sheet2!A:B,2,FALSE),"Not Found")</f>
        <v>0</v>
      </c>
      <c r="J4" t="str">
        <f t="shared" si="0"/>
        <v>Matching</v>
      </c>
    </row>
    <row r="5" spans="1:10" x14ac:dyDescent="0.35">
      <c r="A5" t="s">
        <v>3</v>
      </c>
      <c r="B5">
        <v>0</v>
      </c>
      <c r="C5" t="s">
        <v>357</v>
      </c>
      <c r="D5">
        <v>69</v>
      </c>
      <c r="F5" s="1" t="s">
        <v>182</v>
      </c>
      <c r="G5">
        <v>0</v>
      </c>
      <c r="I5">
        <f>IF(COUNTIF(Sheet2!A:A,F5)&gt;0,VLOOKUP(F5,Sheet2!A:B,2,FALSE),"Not Found")</f>
        <v>0</v>
      </c>
      <c r="J5" t="str">
        <f t="shared" si="0"/>
        <v>Matching</v>
      </c>
    </row>
    <row r="6" spans="1:10" x14ac:dyDescent="0.35">
      <c r="A6" t="s">
        <v>4</v>
      </c>
      <c r="B6">
        <v>0</v>
      </c>
      <c r="C6" t="s">
        <v>358</v>
      </c>
      <c r="D6">
        <v>70</v>
      </c>
      <c r="F6" s="1" t="s">
        <v>344</v>
      </c>
      <c r="G6">
        <v>0</v>
      </c>
      <c r="I6">
        <f>IF(COUNTIF(Sheet2!A:A,F6)&gt;0,VLOOKUP(F6,Sheet2!A:B,2,FALSE),"Not Found")</f>
        <v>0</v>
      </c>
      <c r="J6" t="str">
        <f t="shared" si="0"/>
        <v>Matching</v>
      </c>
    </row>
    <row r="7" spans="1:10" x14ac:dyDescent="0.35">
      <c r="A7" t="s">
        <v>5</v>
      </c>
      <c r="B7">
        <v>0</v>
      </c>
      <c r="C7" t="s">
        <v>359</v>
      </c>
      <c r="D7">
        <v>5</v>
      </c>
      <c r="F7" s="1" t="s">
        <v>149</v>
      </c>
      <c r="G7">
        <v>0</v>
      </c>
      <c r="I7">
        <f>IF(COUNTIF(Sheet2!A:A,F7)&gt;0,VLOOKUP(F7,Sheet2!A:B,2,FALSE),"Not Found")</f>
        <v>0</v>
      </c>
      <c r="J7" t="str">
        <f t="shared" si="0"/>
        <v>Matching</v>
      </c>
    </row>
    <row r="8" spans="1:10" x14ac:dyDescent="0.35">
      <c r="A8" t="s">
        <v>6</v>
      </c>
      <c r="B8">
        <v>4261</v>
      </c>
      <c r="C8" t="s">
        <v>360</v>
      </c>
      <c r="D8">
        <v>11</v>
      </c>
      <c r="F8" s="1" t="s">
        <v>230</v>
      </c>
      <c r="G8">
        <v>54</v>
      </c>
      <c r="I8">
        <f>IF(COUNTIF(Sheet2!A:A,F8)&gt;0,VLOOKUP(F8,Sheet2!A:B,2,FALSE),"Not Found")</f>
        <v>54</v>
      </c>
      <c r="J8" t="str">
        <f t="shared" si="0"/>
        <v>Matching</v>
      </c>
    </row>
    <row r="9" spans="1:10" x14ac:dyDescent="0.35">
      <c r="A9" t="s">
        <v>7</v>
      </c>
      <c r="B9">
        <v>0</v>
      </c>
      <c r="C9" t="s">
        <v>361</v>
      </c>
      <c r="D9">
        <v>18</v>
      </c>
      <c r="F9" s="1" t="s">
        <v>58</v>
      </c>
      <c r="G9">
        <v>18</v>
      </c>
      <c r="I9">
        <f>IF(COUNTIF(Sheet2!A:A,F9)&gt;0,VLOOKUP(F9,Sheet2!A:B,2,FALSE),"Not Found")</f>
        <v>18</v>
      </c>
      <c r="J9" t="str">
        <f t="shared" si="0"/>
        <v>Matching</v>
      </c>
    </row>
    <row r="10" spans="1:10" x14ac:dyDescent="0.35">
      <c r="A10" t="s">
        <v>8</v>
      </c>
      <c r="B10">
        <v>0</v>
      </c>
      <c r="C10" t="s">
        <v>362</v>
      </c>
      <c r="D10">
        <v>14</v>
      </c>
      <c r="F10" s="1" t="s">
        <v>107</v>
      </c>
      <c r="G10">
        <v>40</v>
      </c>
      <c r="I10">
        <f>IF(COUNTIF(Sheet2!A:A,F10)&gt;0,VLOOKUP(F10,Sheet2!A:B,2,FALSE),"Not Found")</f>
        <v>40</v>
      </c>
      <c r="J10" t="str">
        <f t="shared" si="0"/>
        <v>Matching</v>
      </c>
    </row>
    <row r="11" spans="1:10" x14ac:dyDescent="0.35">
      <c r="A11" t="s">
        <v>9</v>
      </c>
      <c r="B11">
        <v>0</v>
      </c>
      <c r="C11" t="s">
        <v>363</v>
      </c>
      <c r="D11">
        <v>17</v>
      </c>
      <c r="F11" s="1" t="s">
        <v>326</v>
      </c>
      <c r="G11">
        <v>183</v>
      </c>
      <c r="I11">
        <f>IF(COUNTIF(Sheet2!A:A,F11)&gt;0,VLOOKUP(F11,Sheet2!A:B,2,FALSE),"Not Found")</f>
        <v>183</v>
      </c>
      <c r="J11" t="str">
        <f t="shared" si="0"/>
        <v>Matching</v>
      </c>
    </row>
    <row r="12" spans="1:10" x14ac:dyDescent="0.35">
      <c r="A12" t="s">
        <v>10</v>
      </c>
      <c r="B12">
        <v>0</v>
      </c>
      <c r="C12" t="s">
        <v>363</v>
      </c>
      <c r="D12">
        <v>17</v>
      </c>
      <c r="F12" s="1" t="s">
        <v>284</v>
      </c>
      <c r="G12">
        <v>481505</v>
      </c>
      <c r="I12">
        <f>IF(COUNTIF(Sheet2!A:A,F12)&gt;0,VLOOKUP(F12,Sheet2!A:B,2,FALSE),"Not Found")</f>
        <v>481505</v>
      </c>
      <c r="J12" t="str">
        <f t="shared" si="0"/>
        <v>Matching</v>
      </c>
    </row>
    <row r="13" spans="1:10" x14ac:dyDescent="0.35">
      <c r="A13" t="s">
        <v>11</v>
      </c>
      <c r="B13">
        <v>0</v>
      </c>
      <c r="C13" t="s">
        <v>364</v>
      </c>
      <c r="D13">
        <v>36</v>
      </c>
      <c r="F13" s="1" t="s">
        <v>131</v>
      </c>
      <c r="G13">
        <v>0</v>
      </c>
      <c r="I13">
        <f>IF(COUNTIF(Sheet2!A:A,F13)&gt;0,VLOOKUP(F13,Sheet2!A:B,2,FALSE),"Not Found")</f>
        <v>0</v>
      </c>
      <c r="J13" t="str">
        <f t="shared" si="0"/>
        <v>Matching</v>
      </c>
    </row>
    <row r="14" spans="1:10" x14ac:dyDescent="0.35">
      <c r="A14" t="s">
        <v>12</v>
      </c>
      <c r="B14">
        <v>0</v>
      </c>
      <c r="C14" t="s">
        <v>365</v>
      </c>
      <c r="D14">
        <v>21</v>
      </c>
      <c r="F14" s="1" t="s">
        <v>160</v>
      </c>
      <c r="G14">
        <v>0</v>
      </c>
      <c r="I14">
        <f>IF(COUNTIF(Sheet2!A:A,F14)&gt;0,VLOOKUP(F14,Sheet2!A:B,2,FALSE),"Not Found")</f>
        <v>0</v>
      </c>
      <c r="J14" t="str">
        <f t="shared" si="0"/>
        <v>Matching</v>
      </c>
    </row>
    <row r="15" spans="1:10" x14ac:dyDescent="0.35">
      <c r="A15" t="s">
        <v>13</v>
      </c>
      <c r="B15">
        <v>2</v>
      </c>
      <c r="C15" t="s">
        <v>366</v>
      </c>
      <c r="D15">
        <v>85</v>
      </c>
      <c r="F15" s="1" t="s">
        <v>288</v>
      </c>
      <c r="G15">
        <v>0</v>
      </c>
      <c r="I15">
        <f>IF(COUNTIF(Sheet2!A:A,F15)&gt;0,VLOOKUP(F15,Sheet2!A:B,2,FALSE),"Not Found")</f>
        <v>0</v>
      </c>
      <c r="J15" t="str">
        <f t="shared" si="0"/>
        <v>Matching</v>
      </c>
    </row>
    <row r="16" spans="1:10" x14ac:dyDescent="0.35">
      <c r="A16" t="s">
        <v>14</v>
      </c>
      <c r="B16">
        <v>2090896</v>
      </c>
      <c r="C16" t="s">
        <v>367</v>
      </c>
      <c r="D16">
        <v>3</v>
      </c>
      <c r="F16" s="1" t="s">
        <v>260</v>
      </c>
      <c r="G16">
        <v>0</v>
      </c>
      <c r="I16">
        <f>IF(COUNTIF(Sheet2!A:A,F16)&gt;0,VLOOKUP(F16,Sheet2!A:B,2,FALSE),"Not Found")</f>
        <v>0</v>
      </c>
      <c r="J16" t="str">
        <f t="shared" si="0"/>
        <v>Matching</v>
      </c>
    </row>
    <row r="17" spans="1:10" x14ac:dyDescent="0.35">
      <c r="A17" t="s">
        <v>15</v>
      </c>
      <c r="B17">
        <v>1186095</v>
      </c>
      <c r="C17" t="s">
        <v>367</v>
      </c>
      <c r="D17">
        <v>3</v>
      </c>
      <c r="F17" s="1" t="s">
        <v>234</v>
      </c>
      <c r="G17">
        <v>0</v>
      </c>
      <c r="I17">
        <f>IF(COUNTIF(Sheet2!A:A,F17)&gt;0,VLOOKUP(F17,Sheet2!A:B,2,FALSE),"Not Found")</f>
        <v>0</v>
      </c>
      <c r="J17" t="str">
        <f t="shared" si="0"/>
        <v>Matching</v>
      </c>
    </row>
    <row r="18" spans="1:10" x14ac:dyDescent="0.35">
      <c r="A18" t="s">
        <v>16</v>
      </c>
      <c r="B18">
        <v>0</v>
      </c>
      <c r="C18" t="s">
        <v>368</v>
      </c>
      <c r="D18">
        <v>99</v>
      </c>
      <c r="F18" s="1" t="s">
        <v>108</v>
      </c>
      <c r="G18">
        <v>0</v>
      </c>
      <c r="I18">
        <f>IF(COUNTIF(Sheet2!A:A,F18)&gt;0,VLOOKUP(F18,Sheet2!A:B,2,FALSE),"Not Found")</f>
        <v>0</v>
      </c>
      <c r="J18" t="str">
        <f t="shared" si="0"/>
        <v>Matching</v>
      </c>
    </row>
    <row r="19" spans="1:10" x14ac:dyDescent="0.35">
      <c r="A19" t="s">
        <v>17</v>
      </c>
      <c r="B19">
        <v>0</v>
      </c>
      <c r="C19" t="s">
        <v>369</v>
      </c>
      <c r="D19">
        <v>113</v>
      </c>
      <c r="F19" s="1" t="s">
        <v>109</v>
      </c>
      <c r="G19">
        <v>0</v>
      </c>
      <c r="I19">
        <f>IF(COUNTIF(Sheet2!A:A,F19)&gt;0,VLOOKUP(F19,Sheet2!A:B,2,FALSE),"Not Found")</f>
        <v>0</v>
      </c>
      <c r="J19" t="str">
        <f t="shared" si="0"/>
        <v>Matching</v>
      </c>
    </row>
    <row r="20" spans="1:10" x14ac:dyDescent="0.35">
      <c r="A20" t="s">
        <v>18</v>
      </c>
      <c r="B20">
        <v>0</v>
      </c>
      <c r="C20" t="s">
        <v>370</v>
      </c>
      <c r="D20">
        <v>86</v>
      </c>
      <c r="F20" s="1" t="s">
        <v>194</v>
      </c>
      <c r="G20">
        <v>0</v>
      </c>
      <c r="I20">
        <f>IF(COUNTIF(Sheet2!A:A,F20)&gt;0,VLOOKUP(F20,Sheet2!A:B,2,FALSE),"Not Found")</f>
        <v>0</v>
      </c>
      <c r="J20" t="str">
        <f t="shared" si="0"/>
        <v>Matching</v>
      </c>
    </row>
    <row r="21" spans="1:10" x14ac:dyDescent="0.35">
      <c r="A21" t="s">
        <v>19</v>
      </c>
      <c r="B21">
        <v>0</v>
      </c>
      <c r="C21" t="s">
        <v>370</v>
      </c>
      <c r="D21">
        <v>86</v>
      </c>
      <c r="F21" s="1" t="s">
        <v>5</v>
      </c>
      <c r="G21">
        <v>0</v>
      </c>
      <c r="I21">
        <f>IF(COUNTIF(Sheet2!A:A,F21)&gt;0,VLOOKUP(F21,Sheet2!A:B,2,FALSE),"Not Found")</f>
        <v>0</v>
      </c>
      <c r="J21" t="str">
        <f t="shared" si="0"/>
        <v>Matching</v>
      </c>
    </row>
    <row r="22" spans="1:10" x14ac:dyDescent="0.35">
      <c r="A22" t="s">
        <v>20</v>
      </c>
      <c r="B22">
        <v>0</v>
      </c>
      <c r="C22" t="s">
        <v>370</v>
      </c>
      <c r="D22">
        <v>86</v>
      </c>
      <c r="F22" s="1" t="s">
        <v>325</v>
      </c>
      <c r="G22">
        <v>0</v>
      </c>
      <c r="I22">
        <f>IF(COUNTIF(Sheet2!A:A,F22)&gt;0,VLOOKUP(F22,Sheet2!A:B,2,FALSE),"Not Found")</f>
        <v>0</v>
      </c>
      <c r="J22" t="str">
        <f t="shared" si="0"/>
        <v>Matching</v>
      </c>
    </row>
    <row r="23" spans="1:10" x14ac:dyDescent="0.35">
      <c r="A23" t="s">
        <v>21</v>
      </c>
      <c r="B23">
        <v>0</v>
      </c>
      <c r="C23" t="s">
        <v>370</v>
      </c>
      <c r="D23">
        <v>86</v>
      </c>
      <c r="F23" s="1" t="s">
        <v>6</v>
      </c>
      <c r="G23">
        <v>4261</v>
      </c>
      <c r="I23">
        <f>IF(COUNTIF(Sheet2!A:A,F23)&gt;0,VLOOKUP(F23,Sheet2!A:B,2,FALSE),"Not Found")</f>
        <v>4261</v>
      </c>
      <c r="J23" t="str">
        <f t="shared" si="0"/>
        <v>Matching</v>
      </c>
    </row>
    <row r="24" spans="1:10" x14ac:dyDescent="0.35">
      <c r="A24" t="s">
        <v>22</v>
      </c>
      <c r="B24">
        <v>0</v>
      </c>
      <c r="C24" t="s">
        <v>371</v>
      </c>
      <c r="D24">
        <v>1</v>
      </c>
      <c r="F24" s="1" t="s">
        <v>154</v>
      </c>
      <c r="G24">
        <v>9069</v>
      </c>
      <c r="I24">
        <f>IF(COUNTIF(Sheet2!A:A,F24)&gt;0,VLOOKUP(F24,Sheet2!A:B,2,FALSE),"Not Found")</f>
        <v>9069</v>
      </c>
      <c r="J24" t="str">
        <f t="shared" si="0"/>
        <v>Matching</v>
      </c>
    </row>
    <row r="25" spans="1:10" x14ac:dyDescent="0.35">
      <c r="A25" t="s">
        <v>23</v>
      </c>
      <c r="B25">
        <v>187928</v>
      </c>
      <c r="C25" t="s">
        <v>371</v>
      </c>
      <c r="D25">
        <v>1</v>
      </c>
      <c r="F25" s="1" t="s">
        <v>278</v>
      </c>
      <c r="G25">
        <v>2343</v>
      </c>
      <c r="I25">
        <f>IF(COUNTIF(Sheet2!A:A,F25)&gt;0,VLOOKUP(F25,Sheet2!A:B,2,FALSE),"Not Found")</f>
        <v>2343</v>
      </c>
      <c r="J25" t="str">
        <f t="shared" si="0"/>
        <v>Matching</v>
      </c>
    </row>
    <row r="26" spans="1:10" x14ac:dyDescent="0.35">
      <c r="A26" t="s">
        <v>24</v>
      </c>
      <c r="B26">
        <v>647</v>
      </c>
      <c r="C26" t="s">
        <v>371</v>
      </c>
      <c r="D26">
        <v>1</v>
      </c>
      <c r="F26" s="1" t="s">
        <v>306</v>
      </c>
      <c r="G26">
        <v>0</v>
      </c>
      <c r="I26">
        <f>IF(COUNTIF(Sheet2!A:A,F26)&gt;0,VLOOKUP(F26,Sheet2!A:B,2,FALSE),"Not Found")</f>
        <v>0</v>
      </c>
      <c r="J26" t="str">
        <f t="shared" si="0"/>
        <v>Matching</v>
      </c>
    </row>
    <row r="27" spans="1:10" x14ac:dyDescent="0.35">
      <c r="A27" t="s">
        <v>25</v>
      </c>
      <c r="B27">
        <v>7390532</v>
      </c>
      <c r="C27" t="s">
        <v>371</v>
      </c>
      <c r="D27">
        <v>1</v>
      </c>
      <c r="F27" s="1" t="s">
        <v>83</v>
      </c>
      <c r="G27">
        <v>0</v>
      </c>
      <c r="I27">
        <f>IF(COUNTIF(Sheet2!A:A,F27)&gt;0,VLOOKUP(F27,Sheet2!A:B,2,FALSE),"Not Found")</f>
        <v>0</v>
      </c>
      <c r="J27" t="str">
        <f t="shared" si="0"/>
        <v>Matching</v>
      </c>
    </row>
    <row r="28" spans="1:10" x14ac:dyDescent="0.35">
      <c r="A28" t="s">
        <v>26</v>
      </c>
      <c r="B28">
        <v>45985292</v>
      </c>
      <c r="C28" t="s">
        <v>371</v>
      </c>
      <c r="D28">
        <v>1</v>
      </c>
      <c r="F28" s="1" t="s">
        <v>84</v>
      </c>
      <c r="G28">
        <v>0</v>
      </c>
      <c r="I28">
        <f>IF(COUNTIF(Sheet2!A:A,F28)&gt;0,VLOOKUP(F28,Sheet2!A:B,2,FALSE),"Not Found")</f>
        <v>0</v>
      </c>
      <c r="J28" t="str">
        <f t="shared" si="0"/>
        <v>Matching</v>
      </c>
    </row>
    <row r="29" spans="1:10" x14ac:dyDescent="0.35">
      <c r="A29" t="s">
        <v>27</v>
      </c>
      <c r="B29">
        <v>0</v>
      </c>
      <c r="C29" t="s">
        <v>371</v>
      </c>
      <c r="D29">
        <v>1</v>
      </c>
      <c r="F29" s="1" t="s">
        <v>10</v>
      </c>
      <c r="G29">
        <v>0</v>
      </c>
      <c r="I29">
        <f>IF(COUNTIF(Sheet2!A:A,F29)&gt;0,VLOOKUP(F29,Sheet2!A:B,2,FALSE),"Not Found")</f>
        <v>0</v>
      </c>
      <c r="J29" t="str">
        <f t="shared" si="0"/>
        <v>Matching</v>
      </c>
    </row>
    <row r="30" spans="1:10" x14ac:dyDescent="0.35">
      <c r="A30" t="s">
        <v>28</v>
      </c>
      <c r="B30">
        <v>0</v>
      </c>
      <c r="C30" t="s">
        <v>372</v>
      </c>
      <c r="D30">
        <v>42</v>
      </c>
      <c r="F30" s="1" t="s">
        <v>9</v>
      </c>
      <c r="G30">
        <v>0</v>
      </c>
      <c r="I30">
        <f>IF(COUNTIF(Sheet2!A:A,F30)&gt;0,VLOOKUP(F30,Sheet2!A:B,2,FALSE),"Not Found")</f>
        <v>0</v>
      </c>
      <c r="J30" t="str">
        <f t="shared" si="0"/>
        <v>Matching</v>
      </c>
    </row>
    <row r="31" spans="1:10" x14ac:dyDescent="0.35">
      <c r="A31" t="s">
        <v>29</v>
      </c>
      <c r="B31">
        <v>0</v>
      </c>
      <c r="C31" t="s">
        <v>372</v>
      </c>
      <c r="D31">
        <v>42</v>
      </c>
      <c r="F31" s="1" t="s">
        <v>232</v>
      </c>
      <c r="G31">
        <v>0</v>
      </c>
      <c r="I31">
        <f>IF(COUNTIF(Sheet2!A:A,F31)&gt;0,VLOOKUP(F31,Sheet2!A:B,2,FALSE),"Not Found")</f>
        <v>0</v>
      </c>
      <c r="J31" t="str">
        <f t="shared" si="0"/>
        <v>Matching</v>
      </c>
    </row>
    <row r="32" spans="1:10" x14ac:dyDescent="0.35">
      <c r="A32" t="s">
        <v>30</v>
      </c>
      <c r="B32">
        <v>8919</v>
      </c>
      <c r="C32" t="s">
        <v>373</v>
      </c>
      <c r="D32">
        <v>114</v>
      </c>
      <c r="F32" s="1" t="s">
        <v>60</v>
      </c>
      <c r="G32">
        <v>0</v>
      </c>
      <c r="I32">
        <f>IF(COUNTIF(Sheet2!A:A,F32)&gt;0,VLOOKUP(F32,Sheet2!A:B,2,FALSE),"Not Found")</f>
        <v>0</v>
      </c>
      <c r="J32" t="str">
        <f t="shared" si="0"/>
        <v>Matching</v>
      </c>
    </row>
    <row r="33" spans="1:10" x14ac:dyDescent="0.35">
      <c r="A33" t="s">
        <v>31</v>
      </c>
      <c r="B33">
        <v>0</v>
      </c>
      <c r="C33" t="s">
        <v>374</v>
      </c>
      <c r="D33">
        <v>88</v>
      </c>
      <c r="F33" s="1" t="s">
        <v>7</v>
      </c>
      <c r="G33">
        <v>0</v>
      </c>
      <c r="I33">
        <f>IF(COUNTIF(Sheet2!A:A,F33)&gt;0,VLOOKUP(F33,Sheet2!A:B,2,FALSE),"Not Found")</f>
        <v>0</v>
      </c>
      <c r="J33" t="str">
        <f t="shared" si="0"/>
        <v>Matching</v>
      </c>
    </row>
    <row r="34" spans="1:10" x14ac:dyDescent="0.35">
      <c r="A34" t="s">
        <v>32</v>
      </c>
      <c r="B34">
        <v>0</v>
      </c>
      <c r="C34" t="s">
        <v>375</v>
      </c>
      <c r="D34">
        <v>102</v>
      </c>
      <c r="F34" s="1" t="s">
        <v>115</v>
      </c>
      <c r="G34">
        <v>2</v>
      </c>
      <c r="I34">
        <f>IF(COUNTIF(Sheet2!A:A,F34)&gt;0,VLOOKUP(F34,Sheet2!A:B,2,FALSE),"Not Found")</f>
        <v>2</v>
      </c>
      <c r="J34" t="str">
        <f t="shared" si="0"/>
        <v>Matching</v>
      </c>
    </row>
    <row r="35" spans="1:10" x14ac:dyDescent="0.35">
      <c r="A35" t="s">
        <v>33</v>
      </c>
      <c r="B35">
        <v>0</v>
      </c>
      <c r="C35" t="s">
        <v>376</v>
      </c>
      <c r="D35">
        <v>79</v>
      </c>
      <c r="F35" s="1" t="s">
        <v>201</v>
      </c>
      <c r="G35">
        <v>1</v>
      </c>
      <c r="I35">
        <f>IF(COUNTIF(Sheet2!A:A,F35)&gt;0,VLOOKUP(F35,Sheet2!A:B,2,FALSE),"Not Found")</f>
        <v>1</v>
      </c>
      <c r="J35" t="str">
        <f t="shared" si="0"/>
        <v>Matching</v>
      </c>
    </row>
    <row r="36" spans="1:10" x14ac:dyDescent="0.35">
      <c r="A36" t="s">
        <v>34</v>
      </c>
      <c r="B36">
        <v>0</v>
      </c>
      <c r="C36" t="s">
        <v>376</v>
      </c>
      <c r="D36">
        <v>79</v>
      </c>
      <c r="F36" s="1" t="s">
        <v>13</v>
      </c>
      <c r="G36">
        <v>2</v>
      </c>
      <c r="I36">
        <f>IF(COUNTIF(Sheet2!A:A,F36)&gt;0,VLOOKUP(F36,Sheet2!A:B,2,FALSE),"Not Found")</f>
        <v>2</v>
      </c>
      <c r="J36" t="str">
        <f t="shared" si="0"/>
        <v>Matching</v>
      </c>
    </row>
    <row r="37" spans="1:10" x14ac:dyDescent="0.35">
      <c r="A37" t="s">
        <v>35</v>
      </c>
      <c r="B37">
        <v>0</v>
      </c>
      <c r="C37" t="s">
        <v>376</v>
      </c>
      <c r="D37">
        <v>79</v>
      </c>
      <c r="F37" s="1" t="s">
        <v>70</v>
      </c>
      <c r="G37">
        <v>2</v>
      </c>
      <c r="I37">
        <f>IF(COUNTIF(Sheet2!A:A,F37)&gt;0,VLOOKUP(F37,Sheet2!A:B,2,FALSE),"Not Found")</f>
        <v>2</v>
      </c>
      <c r="J37" t="str">
        <f t="shared" si="0"/>
        <v>Matching</v>
      </c>
    </row>
    <row r="38" spans="1:10" x14ac:dyDescent="0.35">
      <c r="A38" t="s">
        <v>36</v>
      </c>
      <c r="B38">
        <v>0</v>
      </c>
      <c r="C38" t="s">
        <v>376</v>
      </c>
      <c r="D38">
        <v>79</v>
      </c>
      <c r="F38" s="1" t="s">
        <v>161</v>
      </c>
      <c r="G38">
        <v>4</v>
      </c>
      <c r="I38">
        <f>IF(COUNTIF(Sheet2!A:A,F38)&gt;0,VLOOKUP(F38,Sheet2!A:B,2,FALSE),"Not Found")</f>
        <v>4</v>
      </c>
      <c r="J38" t="str">
        <f t="shared" si="0"/>
        <v>Matching</v>
      </c>
    </row>
    <row r="39" spans="1:10" x14ac:dyDescent="0.35">
      <c r="A39" t="s">
        <v>37</v>
      </c>
      <c r="B39">
        <v>0</v>
      </c>
      <c r="C39" t="s">
        <v>376</v>
      </c>
      <c r="D39">
        <v>79</v>
      </c>
      <c r="F39" s="1" t="s">
        <v>116</v>
      </c>
      <c r="G39">
        <v>2</v>
      </c>
      <c r="I39">
        <f>IF(COUNTIF(Sheet2!A:A,F39)&gt;0,VLOOKUP(F39,Sheet2!A:B,2,FALSE),"Not Found")</f>
        <v>2</v>
      </c>
      <c r="J39" t="str">
        <f t="shared" si="0"/>
        <v>Matching</v>
      </c>
    </row>
    <row r="40" spans="1:10" x14ac:dyDescent="0.35">
      <c r="A40" t="s">
        <v>38</v>
      </c>
      <c r="B40">
        <v>0</v>
      </c>
      <c r="C40" t="s">
        <v>376</v>
      </c>
      <c r="D40">
        <v>79</v>
      </c>
      <c r="F40" s="1" t="s">
        <v>243</v>
      </c>
      <c r="G40">
        <v>0</v>
      </c>
      <c r="I40">
        <f>IF(COUNTIF(Sheet2!A:A,F40)&gt;0,VLOOKUP(F40,Sheet2!A:B,2,FALSE),"Not Found")</f>
        <v>0</v>
      </c>
      <c r="J40" t="str">
        <f t="shared" si="0"/>
        <v>Matching</v>
      </c>
    </row>
    <row r="41" spans="1:10" x14ac:dyDescent="0.35">
      <c r="A41" t="s">
        <v>39</v>
      </c>
      <c r="B41">
        <v>0</v>
      </c>
      <c r="C41" t="s">
        <v>376</v>
      </c>
      <c r="D41">
        <v>79</v>
      </c>
      <c r="F41" s="1" t="s">
        <v>162</v>
      </c>
      <c r="G41">
        <v>0</v>
      </c>
      <c r="I41">
        <f>IF(COUNTIF(Sheet2!A:A,F41)&gt;0,VLOOKUP(F41,Sheet2!A:B,2,FALSE),"Not Found")</f>
        <v>0</v>
      </c>
      <c r="J41" t="str">
        <f t="shared" si="0"/>
        <v>Matching</v>
      </c>
    </row>
    <row r="42" spans="1:10" x14ac:dyDescent="0.35">
      <c r="A42" t="s">
        <v>40</v>
      </c>
      <c r="B42">
        <v>0</v>
      </c>
      <c r="C42" t="s">
        <v>376</v>
      </c>
      <c r="D42">
        <v>79</v>
      </c>
      <c r="F42" s="1" t="s">
        <v>72</v>
      </c>
      <c r="G42">
        <v>0</v>
      </c>
      <c r="I42">
        <f>IF(COUNTIF(Sheet2!A:A,F42)&gt;0,VLOOKUP(F42,Sheet2!A:B,2,FALSE),"Not Found")</f>
        <v>0</v>
      </c>
      <c r="J42" t="str">
        <f t="shared" si="0"/>
        <v>Matching</v>
      </c>
    </row>
    <row r="43" spans="1:10" x14ac:dyDescent="0.35">
      <c r="A43" t="s">
        <v>41</v>
      </c>
      <c r="B43">
        <v>0</v>
      </c>
      <c r="C43" t="s">
        <v>376</v>
      </c>
      <c r="D43">
        <v>79</v>
      </c>
      <c r="F43" s="1" t="s">
        <v>35</v>
      </c>
      <c r="G43">
        <v>0</v>
      </c>
      <c r="I43">
        <f>IF(COUNTIF(Sheet2!A:A,F43)&gt;0,VLOOKUP(F43,Sheet2!A:B,2,FALSE),"Not Found")</f>
        <v>0</v>
      </c>
      <c r="J43" t="str">
        <f t="shared" si="0"/>
        <v>Matching</v>
      </c>
    </row>
    <row r="44" spans="1:10" x14ac:dyDescent="0.35">
      <c r="A44" t="s">
        <v>42</v>
      </c>
      <c r="B44">
        <v>0</v>
      </c>
      <c r="C44" t="s">
        <v>376</v>
      </c>
      <c r="D44">
        <v>79</v>
      </c>
      <c r="F44" s="1" t="s">
        <v>34</v>
      </c>
      <c r="G44">
        <v>0</v>
      </c>
      <c r="I44">
        <f>IF(COUNTIF(Sheet2!A:A,F44)&gt;0,VLOOKUP(F44,Sheet2!A:B,2,FALSE),"Not Found")</f>
        <v>0</v>
      </c>
      <c r="J44" t="str">
        <f t="shared" si="0"/>
        <v>Matching</v>
      </c>
    </row>
    <row r="45" spans="1:10" x14ac:dyDescent="0.35">
      <c r="A45" t="s">
        <v>43</v>
      </c>
      <c r="B45">
        <v>0</v>
      </c>
      <c r="C45" t="s">
        <v>376</v>
      </c>
      <c r="D45">
        <v>79</v>
      </c>
      <c r="F45" s="1" t="s">
        <v>16</v>
      </c>
      <c r="G45">
        <v>0</v>
      </c>
      <c r="I45">
        <f>IF(COUNTIF(Sheet2!A:A,F45)&gt;0,VLOOKUP(F45,Sheet2!A:B,2,FALSE),"Not Found")</f>
        <v>0</v>
      </c>
      <c r="J45" t="str">
        <f t="shared" si="0"/>
        <v>Matching</v>
      </c>
    </row>
    <row r="46" spans="1:10" x14ac:dyDescent="0.35">
      <c r="A46" t="s">
        <v>44</v>
      </c>
      <c r="B46">
        <v>0</v>
      </c>
      <c r="C46" t="s">
        <v>376</v>
      </c>
      <c r="D46">
        <v>79</v>
      </c>
      <c r="F46" s="1" t="s">
        <v>290</v>
      </c>
      <c r="G46">
        <v>0</v>
      </c>
      <c r="I46">
        <f>IF(COUNTIF(Sheet2!A:A,F46)&gt;0,VLOOKUP(F46,Sheet2!A:B,2,FALSE),"Not Found")</f>
        <v>0</v>
      </c>
      <c r="J46" t="str">
        <f t="shared" si="0"/>
        <v>Matching</v>
      </c>
    </row>
    <row r="47" spans="1:10" x14ac:dyDescent="0.35">
      <c r="A47" t="s">
        <v>45</v>
      </c>
      <c r="B47">
        <v>0</v>
      </c>
      <c r="C47" t="s">
        <v>376</v>
      </c>
      <c r="D47">
        <v>79</v>
      </c>
      <c r="F47" s="1" t="s">
        <v>120</v>
      </c>
      <c r="G47">
        <v>0</v>
      </c>
      <c r="I47">
        <f>IF(COUNTIF(Sheet2!A:A,F47)&gt;0,VLOOKUP(F47,Sheet2!A:B,2,FALSE),"Not Found")</f>
        <v>0</v>
      </c>
      <c r="J47" t="str">
        <f t="shared" si="0"/>
        <v>Matching</v>
      </c>
    </row>
    <row r="48" spans="1:10" x14ac:dyDescent="0.35">
      <c r="A48" t="s">
        <v>46</v>
      </c>
      <c r="B48">
        <v>0</v>
      </c>
      <c r="C48" t="s">
        <v>376</v>
      </c>
      <c r="D48">
        <v>79</v>
      </c>
      <c r="F48" s="1" t="s">
        <v>132</v>
      </c>
      <c r="G48">
        <v>0</v>
      </c>
      <c r="I48">
        <f>IF(COUNTIF(Sheet2!A:A,F48)&gt;0,VLOOKUP(F48,Sheet2!A:B,2,FALSE),"Not Found")</f>
        <v>0</v>
      </c>
      <c r="J48" t="str">
        <f t="shared" si="0"/>
        <v>Matching</v>
      </c>
    </row>
    <row r="49" spans="1:10" x14ac:dyDescent="0.35">
      <c r="A49" t="s">
        <v>47</v>
      </c>
      <c r="B49">
        <v>0</v>
      </c>
      <c r="C49" t="s">
        <v>376</v>
      </c>
      <c r="D49">
        <v>79</v>
      </c>
      <c r="F49" s="1" t="s">
        <v>309</v>
      </c>
      <c r="G49">
        <v>0</v>
      </c>
      <c r="I49">
        <f>IF(COUNTIF(Sheet2!A:A,F49)&gt;0,VLOOKUP(F49,Sheet2!A:B,2,FALSE),"Not Found")</f>
        <v>0</v>
      </c>
      <c r="J49" t="str">
        <f t="shared" si="0"/>
        <v>Matching</v>
      </c>
    </row>
    <row r="50" spans="1:10" x14ac:dyDescent="0.35">
      <c r="A50" t="s">
        <v>48</v>
      </c>
      <c r="B50">
        <v>0</v>
      </c>
      <c r="C50" t="s">
        <v>377</v>
      </c>
      <c r="D50">
        <v>106</v>
      </c>
      <c r="F50" s="1" t="s">
        <v>36</v>
      </c>
      <c r="G50">
        <v>0</v>
      </c>
      <c r="I50">
        <f>IF(COUNTIF(Sheet2!A:A,F50)&gt;0,VLOOKUP(F50,Sheet2!A:B,2,FALSE),"Not Found")</f>
        <v>0</v>
      </c>
      <c r="J50" t="str">
        <f t="shared" si="0"/>
        <v>Matching</v>
      </c>
    </row>
    <row r="51" spans="1:10" x14ac:dyDescent="0.35">
      <c r="A51" t="s">
        <v>49</v>
      </c>
      <c r="B51">
        <v>0</v>
      </c>
      <c r="C51" t="s">
        <v>378</v>
      </c>
      <c r="D51">
        <v>59</v>
      </c>
      <c r="F51" s="1" t="s">
        <v>176</v>
      </c>
      <c r="G51">
        <v>0</v>
      </c>
      <c r="I51">
        <f>IF(COUNTIF(Sheet2!A:A,F51)&gt;0,VLOOKUP(F51,Sheet2!A:B,2,FALSE),"Not Found")</f>
        <v>0</v>
      </c>
      <c r="J51" t="str">
        <f t="shared" si="0"/>
        <v>Matching</v>
      </c>
    </row>
    <row r="52" spans="1:10" x14ac:dyDescent="0.35">
      <c r="A52" t="s">
        <v>50</v>
      </c>
      <c r="B52">
        <v>0</v>
      </c>
      <c r="C52" t="s">
        <v>379</v>
      </c>
      <c r="D52">
        <v>52</v>
      </c>
      <c r="F52" s="1" t="s">
        <v>127</v>
      </c>
      <c r="G52">
        <v>0</v>
      </c>
      <c r="I52">
        <f>IF(COUNTIF(Sheet2!A:A,F52)&gt;0,VLOOKUP(F52,Sheet2!A:B,2,FALSE),"Not Found")</f>
        <v>0</v>
      </c>
      <c r="J52" t="str">
        <f t="shared" si="0"/>
        <v>Matching</v>
      </c>
    </row>
    <row r="53" spans="1:10" x14ac:dyDescent="0.35">
      <c r="A53" t="s">
        <v>51</v>
      </c>
      <c r="B53">
        <v>0</v>
      </c>
      <c r="C53" t="s">
        <v>380</v>
      </c>
      <c r="D53">
        <v>108</v>
      </c>
      <c r="F53" s="1" t="s">
        <v>28</v>
      </c>
      <c r="G53">
        <v>0</v>
      </c>
      <c r="I53">
        <f>IF(COUNTIF(Sheet2!A:A,F53)&gt;0,VLOOKUP(F53,Sheet2!A:B,2,FALSE),"Not Found")</f>
        <v>0</v>
      </c>
      <c r="J53" t="str">
        <f t="shared" si="0"/>
        <v>Matching</v>
      </c>
    </row>
    <row r="54" spans="1:10" x14ac:dyDescent="0.35">
      <c r="A54" t="s">
        <v>52</v>
      </c>
      <c r="B54">
        <v>0</v>
      </c>
      <c r="C54" t="s">
        <v>381</v>
      </c>
      <c r="D54">
        <v>109</v>
      </c>
      <c r="F54" s="1" t="s">
        <v>14</v>
      </c>
      <c r="G54">
        <v>2090896</v>
      </c>
      <c r="I54">
        <f>IF(COUNTIF(Sheet2!A:A,F54)&gt;0,VLOOKUP(F54,Sheet2!A:B,2,FALSE),"Not Found")</f>
        <v>2090896</v>
      </c>
      <c r="J54" t="str">
        <f t="shared" si="0"/>
        <v>Matching</v>
      </c>
    </row>
    <row r="55" spans="1:10" x14ac:dyDescent="0.35">
      <c r="A55" t="s">
        <v>53</v>
      </c>
      <c r="B55">
        <v>0</v>
      </c>
      <c r="C55" t="s">
        <v>376</v>
      </c>
      <c r="D55">
        <v>79</v>
      </c>
      <c r="F55" s="1" t="s">
        <v>37</v>
      </c>
      <c r="G55">
        <v>0</v>
      </c>
      <c r="I55">
        <f>IF(COUNTIF(Sheet2!A:A,F55)&gt;0,VLOOKUP(F55,Sheet2!A:B,2,FALSE),"Not Found")</f>
        <v>0</v>
      </c>
      <c r="J55" t="str">
        <f t="shared" si="0"/>
        <v>Matching</v>
      </c>
    </row>
    <row r="56" spans="1:10" x14ac:dyDescent="0.35">
      <c r="A56" t="s">
        <v>54</v>
      </c>
      <c r="B56">
        <v>2328237</v>
      </c>
      <c r="C56" t="s">
        <v>382</v>
      </c>
      <c r="D56">
        <v>111</v>
      </c>
      <c r="F56" s="1" t="s">
        <v>261</v>
      </c>
      <c r="G56">
        <v>0</v>
      </c>
      <c r="I56">
        <f>IF(COUNTIF(Sheet2!A:A,F56)&gt;0,VLOOKUP(F56,Sheet2!A:B,2,FALSE),"Not Found")</f>
        <v>0</v>
      </c>
      <c r="J56" t="str">
        <f t="shared" si="0"/>
        <v>Matching</v>
      </c>
    </row>
    <row r="57" spans="1:10" x14ac:dyDescent="0.35">
      <c r="A57" t="s">
        <v>55</v>
      </c>
      <c r="B57">
        <v>0</v>
      </c>
      <c r="C57" t="s">
        <v>383</v>
      </c>
      <c r="D57">
        <v>49</v>
      </c>
      <c r="F57" s="1" t="s">
        <v>217</v>
      </c>
      <c r="G57">
        <v>0</v>
      </c>
      <c r="I57">
        <f>IF(COUNTIF(Sheet2!A:A,F57)&gt;0,VLOOKUP(F57,Sheet2!A:B,2,FALSE),"Not Found")</f>
        <v>0</v>
      </c>
      <c r="J57" t="str">
        <f t="shared" si="0"/>
        <v>Matching</v>
      </c>
    </row>
    <row r="58" spans="1:10" x14ac:dyDescent="0.35">
      <c r="A58" t="s">
        <v>56</v>
      </c>
      <c r="B58">
        <v>0</v>
      </c>
      <c r="C58" t="s">
        <v>384</v>
      </c>
      <c r="D58">
        <v>81</v>
      </c>
      <c r="F58" s="1" t="s">
        <v>245</v>
      </c>
      <c r="G58">
        <v>0</v>
      </c>
      <c r="I58">
        <f>IF(COUNTIF(Sheet2!A:A,F58)&gt;0,VLOOKUP(F58,Sheet2!A:B,2,FALSE),"Not Found")</f>
        <v>0</v>
      </c>
      <c r="J58" t="str">
        <f t="shared" si="0"/>
        <v>Matching</v>
      </c>
    </row>
    <row r="59" spans="1:10" x14ac:dyDescent="0.35">
      <c r="A59" t="s">
        <v>57</v>
      </c>
      <c r="B59">
        <v>0</v>
      </c>
      <c r="C59" t="s">
        <v>385</v>
      </c>
      <c r="D59">
        <v>110</v>
      </c>
      <c r="F59" s="1" t="s">
        <v>257</v>
      </c>
      <c r="G59">
        <v>0</v>
      </c>
      <c r="I59">
        <f>IF(COUNTIF(Sheet2!A:A,F59)&gt;0,VLOOKUP(F59,Sheet2!A:B,2,FALSE),"Not Found")</f>
        <v>0</v>
      </c>
      <c r="J59" t="str">
        <f t="shared" si="0"/>
        <v>Matching</v>
      </c>
    </row>
    <row r="60" spans="1:10" x14ac:dyDescent="0.35">
      <c r="A60" t="s">
        <v>58</v>
      </c>
      <c r="B60">
        <v>18</v>
      </c>
      <c r="C60" t="s">
        <v>386</v>
      </c>
      <c r="D60">
        <v>6</v>
      </c>
      <c r="F60" s="1" t="s">
        <v>133</v>
      </c>
      <c r="G60">
        <v>0</v>
      </c>
      <c r="I60">
        <f>IF(COUNTIF(Sheet2!A:A,F60)&gt;0,VLOOKUP(F60,Sheet2!A:B,2,FALSE),"Not Found")</f>
        <v>0</v>
      </c>
      <c r="J60" t="str">
        <f t="shared" si="0"/>
        <v>Matching</v>
      </c>
    </row>
    <row r="61" spans="1:10" x14ac:dyDescent="0.35">
      <c r="A61" t="s">
        <v>59</v>
      </c>
      <c r="B61">
        <v>1661481</v>
      </c>
      <c r="C61" t="s">
        <v>387</v>
      </c>
      <c r="D61">
        <v>10</v>
      </c>
      <c r="F61" s="1" t="s">
        <v>134</v>
      </c>
      <c r="G61">
        <v>0</v>
      </c>
      <c r="I61">
        <f>IF(COUNTIF(Sheet2!A:A,F61)&gt;0,VLOOKUP(F61,Sheet2!A:B,2,FALSE),"Not Found")</f>
        <v>0</v>
      </c>
      <c r="J61" t="str">
        <f t="shared" si="0"/>
        <v>Matching</v>
      </c>
    </row>
    <row r="62" spans="1:10" x14ac:dyDescent="0.35">
      <c r="A62" t="s">
        <v>60</v>
      </c>
      <c r="B62">
        <v>0</v>
      </c>
      <c r="C62" t="s">
        <v>361</v>
      </c>
      <c r="D62">
        <v>18</v>
      </c>
      <c r="F62" s="1" t="s">
        <v>85</v>
      </c>
      <c r="G62">
        <v>0</v>
      </c>
      <c r="I62">
        <f>IF(COUNTIF(Sheet2!A:A,F62)&gt;0,VLOOKUP(F62,Sheet2!A:B,2,FALSE),"Not Found")</f>
        <v>0</v>
      </c>
      <c r="J62" t="str">
        <f t="shared" si="0"/>
        <v>Matching</v>
      </c>
    </row>
    <row r="63" spans="1:10" x14ac:dyDescent="0.35">
      <c r="A63" t="s">
        <v>61</v>
      </c>
      <c r="B63">
        <v>0</v>
      </c>
      <c r="C63" t="s">
        <v>388</v>
      </c>
      <c r="D63">
        <v>15</v>
      </c>
      <c r="F63" s="1" t="s">
        <v>15</v>
      </c>
      <c r="G63">
        <v>1186095</v>
      </c>
      <c r="I63">
        <f>IF(COUNTIF(Sheet2!A:A,F63)&gt;0,VLOOKUP(F63,Sheet2!A:B,2,FALSE),"Not Found")</f>
        <v>1186095</v>
      </c>
      <c r="J63" t="str">
        <f t="shared" si="0"/>
        <v>Matching</v>
      </c>
    </row>
    <row r="64" spans="1:10" x14ac:dyDescent="0.35">
      <c r="A64" t="s">
        <v>62</v>
      </c>
      <c r="B64">
        <v>0</v>
      </c>
      <c r="C64" t="s">
        <v>389</v>
      </c>
      <c r="D64">
        <v>33</v>
      </c>
      <c r="F64" s="1" t="s">
        <v>345</v>
      </c>
      <c r="G64">
        <v>0</v>
      </c>
      <c r="I64">
        <f>IF(COUNTIF(Sheet2!A:A,F64)&gt;0,VLOOKUP(F64,Sheet2!A:B,2,FALSE),"Not Found")</f>
        <v>0</v>
      </c>
      <c r="J64" t="str">
        <f t="shared" si="0"/>
        <v>Matching</v>
      </c>
    </row>
    <row r="65" spans="1:10" x14ac:dyDescent="0.35">
      <c r="A65" t="s">
        <v>63</v>
      </c>
      <c r="B65">
        <v>0</v>
      </c>
      <c r="C65" t="s">
        <v>390</v>
      </c>
      <c r="D65">
        <v>34</v>
      </c>
      <c r="F65" s="1" t="s">
        <v>184</v>
      </c>
      <c r="G65">
        <v>0</v>
      </c>
      <c r="I65">
        <f>IF(COUNTIF(Sheet2!A:A,F65)&gt;0,VLOOKUP(F65,Sheet2!A:B,2,FALSE),"Not Found")</f>
        <v>0</v>
      </c>
      <c r="J65" t="str">
        <f t="shared" si="0"/>
        <v>Matching</v>
      </c>
    </row>
    <row r="66" spans="1:10" x14ac:dyDescent="0.35">
      <c r="A66" t="s">
        <v>64</v>
      </c>
      <c r="B66">
        <v>0</v>
      </c>
      <c r="C66" t="s">
        <v>391</v>
      </c>
      <c r="D66">
        <v>29</v>
      </c>
      <c r="F66" s="1" t="s">
        <v>89</v>
      </c>
      <c r="G66">
        <v>0</v>
      </c>
      <c r="I66">
        <f>IF(COUNTIF(Sheet2!A:A,F66)&gt;0,VLOOKUP(F66,Sheet2!A:B,2,FALSE),"Not Found")</f>
        <v>0</v>
      </c>
      <c r="J66" t="str">
        <f t="shared" si="0"/>
        <v>Matching</v>
      </c>
    </row>
    <row r="67" spans="1:10" x14ac:dyDescent="0.35">
      <c r="A67" t="s">
        <v>65</v>
      </c>
      <c r="B67">
        <v>0</v>
      </c>
      <c r="C67" t="s">
        <v>392</v>
      </c>
      <c r="D67">
        <v>30</v>
      </c>
      <c r="F67" s="1" t="s">
        <v>346</v>
      </c>
      <c r="G67">
        <v>0</v>
      </c>
      <c r="I67">
        <f>IF(COUNTIF(Sheet2!A:A,F67)&gt;0,VLOOKUP(F67,Sheet2!A:B,2,FALSE),"Not Found")</f>
        <v>0</v>
      </c>
      <c r="J67" t="str">
        <f t="shared" ref="J67:J130" si="1">IF(G67=I67,"Matching","Mis Match")</f>
        <v>Matching</v>
      </c>
    </row>
    <row r="68" spans="1:10" x14ac:dyDescent="0.35">
      <c r="A68" t="s">
        <v>66</v>
      </c>
      <c r="B68">
        <v>0</v>
      </c>
      <c r="C68" t="s">
        <v>393</v>
      </c>
      <c r="D68">
        <v>41</v>
      </c>
      <c r="F68" s="1" t="s">
        <v>185</v>
      </c>
      <c r="G68">
        <v>0</v>
      </c>
      <c r="I68">
        <f>IF(COUNTIF(Sheet2!A:A,F68)&gt;0,VLOOKUP(F68,Sheet2!A:B,2,FALSE),"Not Found")</f>
        <v>0</v>
      </c>
      <c r="J68" t="str">
        <f t="shared" si="1"/>
        <v>Matching</v>
      </c>
    </row>
    <row r="69" spans="1:10" x14ac:dyDescent="0.35">
      <c r="A69" t="s">
        <v>67</v>
      </c>
      <c r="B69">
        <v>0</v>
      </c>
      <c r="C69" t="s">
        <v>394</v>
      </c>
      <c r="D69">
        <v>22</v>
      </c>
      <c r="F69" s="1" t="s">
        <v>135</v>
      </c>
      <c r="G69">
        <v>0</v>
      </c>
      <c r="I69">
        <f>IF(COUNTIF(Sheet2!A:A,F69)&gt;0,VLOOKUP(F69,Sheet2!A:B,2,FALSE),"Not Found")</f>
        <v>0</v>
      </c>
      <c r="J69" t="str">
        <f t="shared" si="1"/>
        <v>Matching</v>
      </c>
    </row>
    <row r="70" spans="1:10" x14ac:dyDescent="0.35">
      <c r="A70" t="s">
        <v>68</v>
      </c>
      <c r="B70">
        <v>0</v>
      </c>
      <c r="C70" t="s">
        <v>395</v>
      </c>
      <c r="D70">
        <v>24</v>
      </c>
      <c r="F70" s="1" t="s">
        <v>33</v>
      </c>
      <c r="G70">
        <v>0</v>
      </c>
      <c r="I70">
        <f>IF(COUNTIF(Sheet2!A:A,F70)&gt;0,VLOOKUP(F70,Sheet2!A:B,2,FALSE),"Not Found")</f>
        <v>0</v>
      </c>
      <c r="J70" t="str">
        <f t="shared" si="1"/>
        <v>Matching</v>
      </c>
    </row>
    <row r="71" spans="1:10" x14ac:dyDescent="0.35">
      <c r="A71" t="s">
        <v>69</v>
      </c>
      <c r="B71">
        <v>0</v>
      </c>
      <c r="C71" t="s">
        <v>396</v>
      </c>
      <c r="D71">
        <v>27</v>
      </c>
      <c r="F71" s="1" t="s">
        <v>8</v>
      </c>
      <c r="G71">
        <v>0</v>
      </c>
      <c r="I71">
        <f>IF(COUNTIF(Sheet2!A:A,F71)&gt;0,VLOOKUP(F71,Sheet2!A:B,2,FALSE),"Not Found")</f>
        <v>0</v>
      </c>
      <c r="J71" t="str">
        <f t="shared" si="1"/>
        <v>Matching</v>
      </c>
    </row>
    <row r="72" spans="1:10" x14ac:dyDescent="0.35">
      <c r="A72" t="s">
        <v>70</v>
      </c>
      <c r="B72">
        <v>2</v>
      </c>
      <c r="C72" t="s">
        <v>366</v>
      </c>
      <c r="D72">
        <v>85</v>
      </c>
      <c r="F72" s="1" t="s">
        <v>216</v>
      </c>
      <c r="G72">
        <v>0</v>
      </c>
      <c r="I72">
        <f>IF(COUNTIF(Sheet2!A:A,F72)&gt;0,VLOOKUP(F72,Sheet2!A:B,2,FALSE),"Not Found")</f>
        <v>0</v>
      </c>
      <c r="J72" t="str">
        <f t="shared" si="1"/>
        <v>Matching</v>
      </c>
    </row>
    <row r="73" spans="1:10" x14ac:dyDescent="0.35">
      <c r="A73" t="s">
        <v>71</v>
      </c>
      <c r="B73">
        <v>13119254</v>
      </c>
      <c r="C73" t="s">
        <v>367</v>
      </c>
      <c r="D73">
        <v>3</v>
      </c>
      <c r="F73" s="1" t="s">
        <v>343</v>
      </c>
      <c r="G73">
        <v>0</v>
      </c>
      <c r="I73">
        <f>IF(COUNTIF(Sheet2!A:A,F73)&gt;0,VLOOKUP(F73,Sheet2!A:B,2,FALSE),"Not Found")</f>
        <v>0</v>
      </c>
      <c r="J73" t="str">
        <f t="shared" si="1"/>
        <v>Matching</v>
      </c>
    </row>
    <row r="74" spans="1:10" x14ac:dyDescent="0.35">
      <c r="A74" t="s">
        <v>72</v>
      </c>
      <c r="B74">
        <v>0</v>
      </c>
      <c r="C74" t="s">
        <v>397</v>
      </c>
      <c r="D74">
        <v>4</v>
      </c>
      <c r="F74" s="1" t="s">
        <v>86</v>
      </c>
      <c r="G74">
        <v>0</v>
      </c>
      <c r="I74">
        <f>IF(COUNTIF(Sheet2!A:A,F74)&gt;0,VLOOKUP(F74,Sheet2!A:B,2,FALSE),"Not Found")</f>
        <v>0</v>
      </c>
      <c r="J74" t="str">
        <f t="shared" si="1"/>
        <v>Matching</v>
      </c>
    </row>
    <row r="75" spans="1:10" x14ac:dyDescent="0.35">
      <c r="A75" t="s">
        <v>73</v>
      </c>
      <c r="B75">
        <v>0</v>
      </c>
      <c r="C75" t="s">
        <v>398</v>
      </c>
      <c r="D75">
        <v>65</v>
      </c>
      <c r="F75" s="1" t="s">
        <v>123</v>
      </c>
      <c r="G75">
        <v>0</v>
      </c>
      <c r="I75">
        <f>IF(COUNTIF(Sheet2!A:A,F75)&gt;0,VLOOKUP(F75,Sheet2!A:B,2,FALSE),"Not Found")</f>
        <v>0</v>
      </c>
      <c r="J75" t="str">
        <f t="shared" si="1"/>
        <v>Matching</v>
      </c>
    </row>
    <row r="76" spans="1:10" x14ac:dyDescent="0.35">
      <c r="A76" t="s">
        <v>74</v>
      </c>
      <c r="B76">
        <v>0</v>
      </c>
      <c r="C76" t="s">
        <v>399</v>
      </c>
      <c r="D76">
        <v>100</v>
      </c>
      <c r="F76" s="1" t="s">
        <v>186</v>
      </c>
      <c r="G76">
        <v>0</v>
      </c>
      <c r="I76">
        <f>IF(COUNTIF(Sheet2!A:A,F76)&gt;0,VLOOKUP(F76,Sheet2!A:B,2,FALSE),"Not Found")</f>
        <v>0</v>
      </c>
      <c r="J76" t="str">
        <f t="shared" si="1"/>
        <v>Matching</v>
      </c>
    </row>
    <row r="77" spans="1:10" x14ac:dyDescent="0.35">
      <c r="A77" t="s">
        <v>75</v>
      </c>
      <c r="B77">
        <v>0</v>
      </c>
      <c r="C77" t="s">
        <v>399</v>
      </c>
      <c r="D77">
        <v>100</v>
      </c>
      <c r="F77" s="1" t="s">
        <v>289</v>
      </c>
      <c r="G77">
        <v>8564349</v>
      </c>
      <c r="I77">
        <f>IF(COUNTIF(Sheet2!A:A,F77)&gt;0,VLOOKUP(F77,Sheet2!A:B,2,FALSE),"Not Found")</f>
        <v>8564349</v>
      </c>
      <c r="J77" t="str">
        <f t="shared" si="1"/>
        <v>Matching</v>
      </c>
    </row>
    <row r="78" spans="1:10" x14ac:dyDescent="0.35">
      <c r="A78" t="s">
        <v>76</v>
      </c>
      <c r="B78">
        <v>0</v>
      </c>
      <c r="C78" t="s">
        <v>370</v>
      </c>
      <c r="D78">
        <v>86</v>
      </c>
      <c r="F78" s="1" t="s">
        <v>104</v>
      </c>
      <c r="G78">
        <v>0</v>
      </c>
      <c r="I78">
        <f>IF(COUNTIF(Sheet2!A:A,F78)&gt;0,VLOOKUP(F78,Sheet2!A:B,2,FALSE),"Not Found")</f>
        <v>0</v>
      </c>
      <c r="J78" t="str">
        <f t="shared" si="1"/>
        <v>Matching</v>
      </c>
    </row>
    <row r="79" spans="1:10" x14ac:dyDescent="0.35">
      <c r="A79" t="s">
        <v>77</v>
      </c>
      <c r="B79">
        <v>0</v>
      </c>
      <c r="C79" t="s">
        <v>370</v>
      </c>
      <c r="D79">
        <v>86</v>
      </c>
      <c r="F79" s="1" t="s">
        <v>90</v>
      </c>
      <c r="G79">
        <v>0</v>
      </c>
      <c r="I79">
        <f>IF(COUNTIF(Sheet2!A:A,F79)&gt;0,VLOOKUP(F79,Sheet2!A:B,2,FALSE),"Not Found")</f>
        <v>0</v>
      </c>
      <c r="J79" t="str">
        <f t="shared" si="1"/>
        <v>Matching</v>
      </c>
    </row>
    <row r="80" spans="1:10" x14ac:dyDescent="0.35">
      <c r="A80" t="s">
        <v>78</v>
      </c>
      <c r="B80">
        <v>3597701</v>
      </c>
      <c r="C80" t="s">
        <v>371</v>
      </c>
      <c r="D80">
        <v>1</v>
      </c>
      <c r="F80" s="1" t="s">
        <v>262</v>
      </c>
      <c r="G80">
        <v>0</v>
      </c>
      <c r="I80">
        <f>IF(COUNTIF(Sheet2!A:A,F80)&gt;0,VLOOKUP(F80,Sheet2!A:B,2,FALSE),"Not Found")</f>
        <v>0</v>
      </c>
      <c r="J80" t="str">
        <f t="shared" si="1"/>
        <v>Matching</v>
      </c>
    </row>
    <row r="81" spans="1:10" x14ac:dyDescent="0.35">
      <c r="A81" t="s">
        <v>79</v>
      </c>
      <c r="B81">
        <v>0</v>
      </c>
      <c r="C81" t="s">
        <v>372</v>
      </c>
      <c r="D81">
        <v>42</v>
      </c>
      <c r="F81" s="1" t="s">
        <v>219</v>
      </c>
      <c r="G81">
        <v>0</v>
      </c>
      <c r="I81">
        <f>IF(COUNTIF(Sheet2!A:A,F81)&gt;0,VLOOKUP(F81,Sheet2!A:B,2,FALSE),"Not Found")</f>
        <v>0</v>
      </c>
      <c r="J81" t="str">
        <f t="shared" si="1"/>
        <v>Matching</v>
      </c>
    </row>
    <row r="82" spans="1:10" x14ac:dyDescent="0.35">
      <c r="A82" t="s">
        <v>80</v>
      </c>
      <c r="B82">
        <v>9771</v>
      </c>
      <c r="C82" t="s">
        <v>373</v>
      </c>
      <c r="D82">
        <v>114</v>
      </c>
      <c r="F82" s="1" t="s">
        <v>310</v>
      </c>
      <c r="G82">
        <v>0</v>
      </c>
      <c r="I82">
        <f>IF(COUNTIF(Sheet2!A:A,F82)&gt;0,VLOOKUP(F82,Sheet2!A:B,2,FALSE),"Not Found")</f>
        <v>0</v>
      </c>
      <c r="J82" t="str">
        <f t="shared" si="1"/>
        <v>Matching</v>
      </c>
    </row>
    <row r="83" spans="1:10" x14ac:dyDescent="0.35">
      <c r="A83" t="s">
        <v>81</v>
      </c>
      <c r="B83">
        <v>0</v>
      </c>
      <c r="C83" t="s">
        <v>400</v>
      </c>
      <c r="D83">
        <v>90</v>
      </c>
      <c r="F83" s="1" t="s">
        <v>263</v>
      </c>
      <c r="G83">
        <v>0</v>
      </c>
      <c r="I83">
        <f>IF(COUNTIF(Sheet2!A:A,F83)&gt;0,VLOOKUP(F83,Sheet2!A:B,2,FALSE),"Not Found")</f>
        <v>0</v>
      </c>
      <c r="J83" t="str">
        <f t="shared" si="1"/>
        <v>Matching</v>
      </c>
    </row>
    <row r="84" spans="1:10" x14ac:dyDescent="0.35">
      <c r="A84" t="s">
        <v>82</v>
      </c>
      <c r="B84">
        <v>0</v>
      </c>
      <c r="C84" t="s">
        <v>401</v>
      </c>
      <c r="D84">
        <v>91</v>
      </c>
      <c r="F84" s="1" t="s">
        <v>40</v>
      </c>
      <c r="G84">
        <v>0</v>
      </c>
      <c r="I84">
        <f>IF(COUNTIF(Sheet2!A:A,F84)&gt;0,VLOOKUP(F84,Sheet2!A:B,2,FALSE),"Not Found")</f>
        <v>0</v>
      </c>
      <c r="J84" t="str">
        <f t="shared" si="1"/>
        <v>Matching</v>
      </c>
    </row>
    <row r="85" spans="1:10" x14ac:dyDescent="0.35">
      <c r="A85" t="s">
        <v>83</v>
      </c>
      <c r="B85">
        <v>0</v>
      </c>
      <c r="C85" t="s">
        <v>402</v>
      </c>
      <c r="D85">
        <v>93</v>
      </c>
      <c r="F85" s="1" t="s">
        <v>92</v>
      </c>
      <c r="G85">
        <v>0</v>
      </c>
      <c r="I85">
        <f>IF(COUNTIF(Sheet2!A:A,F85)&gt;0,VLOOKUP(F85,Sheet2!A:B,2,FALSE),"Not Found")</f>
        <v>0</v>
      </c>
      <c r="J85" t="str">
        <f t="shared" si="1"/>
        <v>Matching</v>
      </c>
    </row>
    <row r="86" spans="1:10" x14ac:dyDescent="0.35">
      <c r="A86" t="s">
        <v>84</v>
      </c>
      <c r="B86">
        <v>0</v>
      </c>
      <c r="C86" t="s">
        <v>403</v>
      </c>
      <c r="D86">
        <v>94</v>
      </c>
      <c r="F86" s="1" t="s">
        <v>39</v>
      </c>
      <c r="G86">
        <v>0</v>
      </c>
      <c r="I86">
        <f>IF(COUNTIF(Sheet2!A:A,F86)&gt;0,VLOOKUP(F86,Sheet2!A:B,2,FALSE),"Not Found")</f>
        <v>0</v>
      </c>
      <c r="J86" t="str">
        <f t="shared" si="1"/>
        <v>Matching</v>
      </c>
    </row>
    <row r="87" spans="1:10" x14ac:dyDescent="0.35">
      <c r="A87" t="s">
        <v>85</v>
      </c>
      <c r="B87">
        <v>0</v>
      </c>
      <c r="C87" t="s">
        <v>404</v>
      </c>
      <c r="D87">
        <v>95</v>
      </c>
      <c r="F87" s="1" t="s">
        <v>32</v>
      </c>
      <c r="G87">
        <v>0</v>
      </c>
      <c r="I87">
        <f>IF(COUNTIF(Sheet2!A:A,F87)&gt;0,VLOOKUP(F87,Sheet2!A:B,2,FALSE),"Not Found")</f>
        <v>0</v>
      </c>
      <c r="J87" t="str">
        <f t="shared" si="1"/>
        <v>Matching</v>
      </c>
    </row>
    <row r="88" spans="1:10" x14ac:dyDescent="0.35">
      <c r="A88" t="s">
        <v>86</v>
      </c>
      <c r="B88">
        <v>0</v>
      </c>
      <c r="C88" t="s">
        <v>376</v>
      </c>
      <c r="D88">
        <v>79</v>
      </c>
      <c r="F88" s="1" t="s">
        <v>91</v>
      </c>
      <c r="G88">
        <v>0</v>
      </c>
      <c r="I88">
        <f>IF(COUNTIF(Sheet2!A:A,F88)&gt;0,VLOOKUP(F88,Sheet2!A:B,2,FALSE),"Not Found")</f>
        <v>0</v>
      </c>
      <c r="J88" t="str">
        <f t="shared" si="1"/>
        <v>Matching</v>
      </c>
    </row>
    <row r="89" spans="1:10" x14ac:dyDescent="0.35">
      <c r="A89" t="s">
        <v>87</v>
      </c>
      <c r="B89">
        <v>0</v>
      </c>
      <c r="C89" t="s">
        <v>376</v>
      </c>
      <c r="D89">
        <v>79</v>
      </c>
      <c r="F89" s="1" t="s">
        <v>218</v>
      </c>
      <c r="G89">
        <v>0</v>
      </c>
      <c r="I89">
        <f>IF(COUNTIF(Sheet2!A:A,F89)&gt;0,VLOOKUP(F89,Sheet2!A:B,2,FALSE),"Not Found")</f>
        <v>0</v>
      </c>
      <c r="J89" t="str">
        <f t="shared" si="1"/>
        <v>Matching</v>
      </c>
    </row>
    <row r="90" spans="1:10" x14ac:dyDescent="0.35">
      <c r="A90" t="s">
        <v>88</v>
      </c>
      <c r="B90">
        <v>0</v>
      </c>
      <c r="C90" t="s">
        <v>376</v>
      </c>
      <c r="D90">
        <v>79</v>
      </c>
      <c r="F90" s="1" t="s">
        <v>38</v>
      </c>
      <c r="G90">
        <v>0</v>
      </c>
      <c r="I90">
        <f>IF(COUNTIF(Sheet2!A:A,F90)&gt;0,VLOOKUP(F90,Sheet2!A:B,2,FALSE),"Not Found")</f>
        <v>0</v>
      </c>
      <c r="J90" t="str">
        <f t="shared" si="1"/>
        <v>Matching</v>
      </c>
    </row>
    <row r="91" spans="1:10" x14ac:dyDescent="0.35">
      <c r="A91" t="s">
        <v>89</v>
      </c>
      <c r="B91">
        <v>0</v>
      </c>
      <c r="C91" t="s">
        <v>376</v>
      </c>
      <c r="D91">
        <v>79</v>
      </c>
      <c r="F91" s="1" t="s">
        <v>151</v>
      </c>
      <c r="G91">
        <v>0</v>
      </c>
      <c r="I91">
        <f>IF(COUNTIF(Sheet2!A:A,F91)&gt;0,VLOOKUP(F91,Sheet2!A:B,2,FALSE),"Not Found")</f>
        <v>0</v>
      </c>
      <c r="J91" t="str">
        <f t="shared" si="1"/>
        <v>Matching</v>
      </c>
    </row>
    <row r="92" spans="1:10" x14ac:dyDescent="0.35">
      <c r="A92" t="s">
        <v>90</v>
      </c>
      <c r="B92">
        <v>0</v>
      </c>
      <c r="C92" t="s">
        <v>376</v>
      </c>
      <c r="D92">
        <v>79</v>
      </c>
      <c r="F92" s="1" t="s">
        <v>323</v>
      </c>
      <c r="G92">
        <v>0</v>
      </c>
      <c r="I92">
        <f>IF(COUNTIF(Sheet2!A:A,F92)&gt;0,VLOOKUP(F92,Sheet2!A:B,2,FALSE),"Not Found")</f>
        <v>0</v>
      </c>
      <c r="J92" t="str">
        <f t="shared" si="1"/>
        <v>Matching</v>
      </c>
    </row>
    <row r="93" spans="1:10" x14ac:dyDescent="0.35">
      <c r="A93" t="s">
        <v>91</v>
      </c>
      <c r="B93">
        <v>0</v>
      </c>
      <c r="C93" t="s">
        <v>376</v>
      </c>
      <c r="D93">
        <v>79</v>
      </c>
      <c r="F93" s="1" t="s">
        <v>320</v>
      </c>
      <c r="G93">
        <v>0</v>
      </c>
      <c r="I93">
        <f>IF(COUNTIF(Sheet2!A:A,F93)&gt;0,VLOOKUP(F93,Sheet2!A:B,2,FALSE),"Not Found")</f>
        <v>0</v>
      </c>
      <c r="J93" t="str">
        <f t="shared" si="1"/>
        <v>Matching</v>
      </c>
    </row>
    <row r="94" spans="1:10" x14ac:dyDescent="0.35">
      <c r="A94" t="s">
        <v>92</v>
      </c>
      <c r="B94">
        <v>0</v>
      </c>
      <c r="C94" t="s">
        <v>376</v>
      </c>
      <c r="D94">
        <v>79</v>
      </c>
      <c r="F94" s="1" t="s">
        <v>1</v>
      </c>
      <c r="G94">
        <v>0</v>
      </c>
      <c r="I94">
        <f>IF(COUNTIF(Sheet2!A:A,F94)&gt;0,VLOOKUP(F94,Sheet2!A:B,2,FALSE),"Not Found")</f>
        <v>0</v>
      </c>
      <c r="J94" t="str">
        <f t="shared" si="1"/>
        <v>Matching</v>
      </c>
    </row>
    <row r="95" spans="1:10" x14ac:dyDescent="0.35">
      <c r="A95" t="s">
        <v>93</v>
      </c>
      <c r="B95">
        <v>0</v>
      </c>
      <c r="C95" t="s">
        <v>376</v>
      </c>
      <c r="D95">
        <v>79</v>
      </c>
      <c r="F95" s="1" t="s">
        <v>117</v>
      </c>
      <c r="G95">
        <v>0</v>
      </c>
      <c r="I95">
        <f>IF(COUNTIF(Sheet2!A:A,F95)&gt;0,VLOOKUP(F95,Sheet2!A:B,2,FALSE),"Not Found")</f>
        <v>0</v>
      </c>
      <c r="J95" t="str">
        <f t="shared" si="1"/>
        <v>Matching</v>
      </c>
    </row>
    <row r="96" spans="1:10" x14ac:dyDescent="0.35">
      <c r="A96" t="s">
        <v>94</v>
      </c>
      <c r="B96">
        <v>0</v>
      </c>
      <c r="C96" t="s">
        <v>376</v>
      </c>
      <c r="D96">
        <v>79</v>
      </c>
      <c r="F96" s="1" t="s">
        <v>2</v>
      </c>
      <c r="G96">
        <v>0</v>
      </c>
      <c r="I96">
        <f>IF(COUNTIF(Sheet2!A:A,F96)&gt;0,VLOOKUP(F96,Sheet2!A:B,2,FALSE),"Not Found")</f>
        <v>0</v>
      </c>
      <c r="J96" t="str">
        <f t="shared" si="1"/>
        <v>Matching</v>
      </c>
    </row>
    <row r="97" spans="1:10" x14ac:dyDescent="0.35">
      <c r="A97" t="s">
        <v>95</v>
      </c>
      <c r="B97">
        <v>0</v>
      </c>
      <c r="C97" t="s">
        <v>376</v>
      </c>
      <c r="D97">
        <v>79</v>
      </c>
      <c r="F97" s="1" t="s">
        <v>0</v>
      </c>
      <c r="G97">
        <v>0</v>
      </c>
      <c r="I97">
        <f>IF(COUNTIF(Sheet2!A:A,F97)&gt;0,VLOOKUP(F97,Sheet2!A:B,2,FALSE),"Not Found")</f>
        <v>0</v>
      </c>
      <c r="J97" t="str">
        <f t="shared" si="1"/>
        <v>Matching</v>
      </c>
    </row>
    <row r="98" spans="1:10" x14ac:dyDescent="0.35">
      <c r="A98" t="s">
        <v>96</v>
      </c>
      <c r="B98">
        <v>0</v>
      </c>
      <c r="C98" t="s">
        <v>376</v>
      </c>
      <c r="D98">
        <v>79</v>
      </c>
      <c r="F98" s="1" t="s">
        <v>93</v>
      </c>
      <c r="G98">
        <v>0</v>
      </c>
      <c r="I98">
        <f>IF(COUNTIF(Sheet2!A:A,F98)&gt;0,VLOOKUP(F98,Sheet2!A:B,2,FALSE),"Not Found")</f>
        <v>0</v>
      </c>
      <c r="J98" t="str">
        <f t="shared" si="1"/>
        <v>Matching</v>
      </c>
    </row>
    <row r="99" spans="1:10" x14ac:dyDescent="0.35">
      <c r="A99" t="s">
        <v>97</v>
      </c>
      <c r="B99">
        <v>0</v>
      </c>
      <c r="C99" t="s">
        <v>376</v>
      </c>
      <c r="D99">
        <v>79</v>
      </c>
      <c r="F99" s="1" t="s">
        <v>187</v>
      </c>
      <c r="G99">
        <v>0</v>
      </c>
      <c r="I99">
        <f>IF(COUNTIF(Sheet2!A:A,F99)&gt;0,VLOOKUP(F99,Sheet2!A:B,2,FALSE),"Not Found")</f>
        <v>0</v>
      </c>
      <c r="J99" t="str">
        <f t="shared" si="1"/>
        <v>Matching</v>
      </c>
    </row>
    <row r="100" spans="1:10" x14ac:dyDescent="0.35">
      <c r="A100" t="s">
        <v>98</v>
      </c>
      <c r="B100">
        <v>0</v>
      </c>
      <c r="C100" t="s">
        <v>376</v>
      </c>
      <c r="D100">
        <v>79</v>
      </c>
      <c r="F100" s="1" t="s">
        <v>75</v>
      </c>
      <c r="G100">
        <v>0</v>
      </c>
      <c r="I100">
        <f>IF(COUNTIF(Sheet2!A:A,F100)&gt;0,VLOOKUP(F100,Sheet2!A:B,2,FALSE),"Not Found")</f>
        <v>0</v>
      </c>
      <c r="J100" t="str">
        <f t="shared" si="1"/>
        <v>Matching</v>
      </c>
    </row>
    <row r="101" spans="1:10" x14ac:dyDescent="0.35">
      <c r="A101" t="s">
        <v>99</v>
      </c>
      <c r="B101">
        <v>0</v>
      </c>
      <c r="C101" t="s">
        <v>376</v>
      </c>
      <c r="D101">
        <v>79</v>
      </c>
      <c r="F101" s="1" t="s">
        <v>203</v>
      </c>
      <c r="G101">
        <v>0</v>
      </c>
      <c r="I101">
        <f>IF(COUNTIF(Sheet2!A:A,F101)&gt;0,VLOOKUP(F101,Sheet2!A:B,2,FALSE),"Not Found")</f>
        <v>0</v>
      </c>
      <c r="J101" t="str">
        <f t="shared" si="1"/>
        <v>Matching</v>
      </c>
    </row>
    <row r="102" spans="1:10" x14ac:dyDescent="0.35">
      <c r="A102" t="s">
        <v>100</v>
      </c>
      <c r="B102">
        <v>0</v>
      </c>
      <c r="C102" t="s">
        <v>376</v>
      </c>
      <c r="D102">
        <v>79</v>
      </c>
      <c r="F102" s="1" t="s">
        <v>204</v>
      </c>
      <c r="G102">
        <v>0</v>
      </c>
      <c r="I102">
        <f>IF(COUNTIF(Sheet2!A:A,F102)&gt;0,VLOOKUP(F102,Sheet2!A:B,2,FALSE),"Not Found")</f>
        <v>0</v>
      </c>
      <c r="J102" t="str">
        <f t="shared" si="1"/>
        <v>Matching</v>
      </c>
    </row>
    <row r="103" spans="1:10" x14ac:dyDescent="0.35">
      <c r="A103" t="s">
        <v>101</v>
      </c>
      <c r="B103">
        <v>0</v>
      </c>
      <c r="C103" t="s">
        <v>376</v>
      </c>
      <c r="D103">
        <v>79</v>
      </c>
      <c r="F103" s="1" t="s">
        <v>74</v>
      </c>
      <c r="G103">
        <v>0</v>
      </c>
      <c r="I103">
        <f>IF(COUNTIF(Sheet2!A:A,F103)&gt;0,VLOOKUP(F103,Sheet2!A:B,2,FALSE),"Not Found")</f>
        <v>0</v>
      </c>
      <c r="J103" t="str">
        <f t="shared" si="1"/>
        <v>Matching</v>
      </c>
    </row>
    <row r="104" spans="1:10" x14ac:dyDescent="0.35">
      <c r="A104" t="s">
        <v>102</v>
      </c>
      <c r="B104">
        <v>0</v>
      </c>
      <c r="C104" t="s">
        <v>376</v>
      </c>
      <c r="D104">
        <v>79</v>
      </c>
      <c r="F104" s="1" t="s">
        <v>307</v>
      </c>
      <c r="G104">
        <v>0</v>
      </c>
      <c r="I104">
        <f>IF(COUNTIF(Sheet2!A:A,F104)&gt;0,VLOOKUP(F104,Sheet2!A:B,2,FALSE),"Not Found")</f>
        <v>0</v>
      </c>
      <c r="J104" t="str">
        <f t="shared" si="1"/>
        <v>Matching</v>
      </c>
    </row>
    <row r="105" spans="1:10" x14ac:dyDescent="0.35">
      <c r="A105" t="s">
        <v>103</v>
      </c>
      <c r="B105">
        <v>0</v>
      </c>
      <c r="C105" t="s">
        <v>376</v>
      </c>
      <c r="D105">
        <v>79</v>
      </c>
      <c r="F105" s="1" t="s">
        <v>264</v>
      </c>
      <c r="G105">
        <v>0</v>
      </c>
      <c r="I105">
        <f>IF(COUNTIF(Sheet2!A:A,F105)&gt;0,VLOOKUP(F105,Sheet2!A:B,2,FALSE),"Not Found")</f>
        <v>0</v>
      </c>
      <c r="J105" t="str">
        <f t="shared" si="1"/>
        <v>Matching</v>
      </c>
    </row>
    <row r="106" spans="1:10" x14ac:dyDescent="0.35">
      <c r="A106" t="s">
        <v>104</v>
      </c>
      <c r="B106">
        <v>0</v>
      </c>
      <c r="C106" t="s">
        <v>405</v>
      </c>
      <c r="D106">
        <v>51</v>
      </c>
      <c r="F106" s="1" t="s">
        <v>276</v>
      </c>
      <c r="G106">
        <v>0</v>
      </c>
      <c r="I106">
        <f>IF(COUNTIF(Sheet2!A:A,F106)&gt;0,VLOOKUP(F106,Sheet2!A:B,2,FALSE),"Not Found")</f>
        <v>0</v>
      </c>
      <c r="J106" t="str">
        <f t="shared" si="1"/>
        <v>Matching</v>
      </c>
    </row>
    <row r="107" spans="1:10" x14ac:dyDescent="0.35">
      <c r="A107" t="s">
        <v>105</v>
      </c>
      <c r="B107">
        <v>0</v>
      </c>
      <c r="C107" t="s">
        <v>406</v>
      </c>
      <c r="D107">
        <v>46</v>
      </c>
      <c r="F107" s="1" t="s">
        <v>136</v>
      </c>
      <c r="G107">
        <v>0</v>
      </c>
      <c r="I107">
        <f>IF(COUNTIF(Sheet2!A:A,F107)&gt;0,VLOOKUP(F107,Sheet2!A:B,2,FALSE),"Not Found")</f>
        <v>0</v>
      </c>
      <c r="J107" t="str">
        <f t="shared" si="1"/>
        <v>Matching</v>
      </c>
    </row>
    <row r="108" spans="1:10" x14ac:dyDescent="0.35">
      <c r="A108" t="s">
        <v>106</v>
      </c>
      <c r="B108">
        <v>0</v>
      </c>
      <c r="C108" t="s">
        <v>407</v>
      </c>
      <c r="D108">
        <v>73</v>
      </c>
      <c r="F108" s="1" t="s">
        <v>137</v>
      </c>
      <c r="G108">
        <v>0</v>
      </c>
      <c r="I108">
        <f>IF(COUNTIF(Sheet2!A:A,F108)&gt;0,VLOOKUP(F108,Sheet2!A:B,2,FALSE),"Not Found")</f>
        <v>0</v>
      </c>
      <c r="J108" t="str">
        <f t="shared" si="1"/>
        <v>Matching</v>
      </c>
    </row>
    <row r="109" spans="1:10" x14ac:dyDescent="0.35">
      <c r="A109" t="s">
        <v>107</v>
      </c>
      <c r="B109">
        <v>40</v>
      </c>
      <c r="C109" t="s">
        <v>386</v>
      </c>
      <c r="D109">
        <v>6</v>
      </c>
      <c r="F109" s="1" t="s">
        <v>94</v>
      </c>
      <c r="G109">
        <v>0</v>
      </c>
      <c r="I109">
        <f>IF(COUNTIF(Sheet2!A:A,F109)&gt;0,VLOOKUP(F109,Sheet2!A:B,2,FALSE),"Not Found")</f>
        <v>0</v>
      </c>
      <c r="J109" t="str">
        <f t="shared" si="1"/>
        <v>Matching</v>
      </c>
    </row>
    <row r="110" spans="1:10" x14ac:dyDescent="0.35">
      <c r="A110" t="s">
        <v>108</v>
      </c>
      <c r="B110">
        <v>0</v>
      </c>
      <c r="C110" t="s">
        <v>359</v>
      </c>
      <c r="D110">
        <v>5</v>
      </c>
      <c r="F110" s="1" t="s">
        <v>138</v>
      </c>
      <c r="G110">
        <v>0</v>
      </c>
      <c r="I110">
        <f>IF(COUNTIF(Sheet2!A:A,F110)&gt;0,VLOOKUP(F110,Sheet2!A:B,2,FALSE),"Not Found")</f>
        <v>0</v>
      </c>
      <c r="J110" t="str">
        <f t="shared" si="1"/>
        <v>Matching</v>
      </c>
    </row>
    <row r="111" spans="1:10" x14ac:dyDescent="0.35">
      <c r="A111" t="s">
        <v>109</v>
      </c>
      <c r="B111">
        <v>0</v>
      </c>
      <c r="C111" t="s">
        <v>359</v>
      </c>
      <c r="D111">
        <v>5</v>
      </c>
      <c r="F111" s="1" t="s">
        <v>220</v>
      </c>
      <c r="G111">
        <v>0</v>
      </c>
      <c r="I111">
        <f>IF(COUNTIF(Sheet2!A:A,F111)&gt;0,VLOOKUP(F111,Sheet2!A:B,2,FALSE),"Not Found")</f>
        <v>0</v>
      </c>
      <c r="J111" t="str">
        <f t="shared" si="1"/>
        <v>Matching</v>
      </c>
    </row>
    <row r="112" spans="1:10" x14ac:dyDescent="0.35">
      <c r="A112" t="s">
        <v>110</v>
      </c>
      <c r="B112">
        <v>0</v>
      </c>
      <c r="C112" t="s">
        <v>408</v>
      </c>
      <c r="D112">
        <v>35</v>
      </c>
      <c r="F112" s="1" t="s">
        <v>41</v>
      </c>
      <c r="G112">
        <v>0</v>
      </c>
      <c r="I112">
        <f>IF(COUNTIF(Sheet2!A:A,F112)&gt;0,VLOOKUP(F112,Sheet2!A:B,2,FALSE),"Not Found")</f>
        <v>0</v>
      </c>
      <c r="J112" t="str">
        <f t="shared" si="1"/>
        <v>Matching</v>
      </c>
    </row>
    <row r="113" spans="1:10" x14ac:dyDescent="0.35">
      <c r="A113" t="s">
        <v>111</v>
      </c>
      <c r="B113">
        <v>0</v>
      </c>
      <c r="C113" t="s">
        <v>409</v>
      </c>
      <c r="D113">
        <v>38</v>
      </c>
      <c r="F113" s="1" t="s">
        <v>139</v>
      </c>
      <c r="G113">
        <v>0</v>
      </c>
      <c r="I113">
        <f>IF(COUNTIF(Sheet2!A:A,F113)&gt;0,VLOOKUP(F113,Sheet2!A:B,2,FALSE),"Not Found")</f>
        <v>0</v>
      </c>
      <c r="J113" t="str">
        <f t="shared" si="1"/>
        <v>Matching</v>
      </c>
    </row>
    <row r="114" spans="1:10" x14ac:dyDescent="0.35">
      <c r="A114" t="s">
        <v>112</v>
      </c>
      <c r="B114">
        <v>0</v>
      </c>
      <c r="C114" t="s">
        <v>410</v>
      </c>
      <c r="D114">
        <v>32</v>
      </c>
      <c r="F114" s="1" t="s">
        <v>335</v>
      </c>
      <c r="G114">
        <v>0</v>
      </c>
      <c r="I114">
        <f>IF(COUNTIF(Sheet2!A:A,F114)&gt;0,VLOOKUP(F114,Sheet2!A:B,2,FALSE),"Not Found")</f>
        <v>0</v>
      </c>
      <c r="J114" t="str">
        <f t="shared" si="1"/>
        <v>Matching</v>
      </c>
    </row>
    <row r="115" spans="1:10" x14ac:dyDescent="0.35">
      <c r="A115" t="s">
        <v>113</v>
      </c>
      <c r="B115">
        <v>0</v>
      </c>
      <c r="C115" t="s">
        <v>411</v>
      </c>
      <c r="D115">
        <v>25</v>
      </c>
      <c r="F115" s="1" t="s">
        <v>4</v>
      </c>
      <c r="G115">
        <v>0</v>
      </c>
      <c r="I115">
        <f>IF(COUNTIF(Sheet2!A:A,F115)&gt;0,VLOOKUP(F115,Sheet2!A:B,2,FALSE),"Not Found")</f>
        <v>0</v>
      </c>
      <c r="J115" t="str">
        <f t="shared" si="1"/>
        <v>Matching</v>
      </c>
    </row>
    <row r="116" spans="1:10" x14ac:dyDescent="0.35">
      <c r="A116" t="s">
        <v>114</v>
      </c>
      <c r="B116">
        <v>0</v>
      </c>
      <c r="C116" t="s">
        <v>411</v>
      </c>
      <c r="D116">
        <v>25</v>
      </c>
      <c r="F116" s="1" t="s">
        <v>228</v>
      </c>
      <c r="G116">
        <v>0</v>
      </c>
      <c r="I116">
        <f>IF(COUNTIF(Sheet2!A:A,F116)&gt;0,VLOOKUP(F116,Sheet2!A:B,2,FALSE),"Not Found")</f>
        <v>0</v>
      </c>
      <c r="J116" t="str">
        <f t="shared" si="1"/>
        <v>Matching</v>
      </c>
    </row>
    <row r="117" spans="1:10" x14ac:dyDescent="0.35">
      <c r="A117" t="s">
        <v>115</v>
      </c>
      <c r="B117">
        <v>2</v>
      </c>
      <c r="C117" t="s">
        <v>366</v>
      </c>
      <c r="D117">
        <v>85</v>
      </c>
      <c r="F117" s="1" t="s">
        <v>324</v>
      </c>
      <c r="G117">
        <v>0</v>
      </c>
      <c r="I117">
        <f>IF(COUNTIF(Sheet2!A:A,F117)&gt;0,VLOOKUP(F117,Sheet2!A:B,2,FALSE),"Not Found")</f>
        <v>0</v>
      </c>
      <c r="J117" t="str">
        <f t="shared" si="1"/>
        <v>Matching</v>
      </c>
    </row>
    <row r="118" spans="1:10" x14ac:dyDescent="0.35">
      <c r="A118" t="s">
        <v>116</v>
      </c>
      <c r="B118">
        <v>2</v>
      </c>
      <c r="C118" t="s">
        <v>366</v>
      </c>
      <c r="D118">
        <v>85</v>
      </c>
      <c r="F118" s="1" t="s">
        <v>106</v>
      </c>
      <c r="G118">
        <v>0</v>
      </c>
      <c r="I118">
        <f>IF(COUNTIF(Sheet2!A:A,F118)&gt;0,VLOOKUP(F118,Sheet2!A:B,2,FALSE),"Not Found")</f>
        <v>0</v>
      </c>
      <c r="J118" t="str">
        <f t="shared" si="1"/>
        <v>Matching</v>
      </c>
    </row>
    <row r="119" spans="1:10" x14ac:dyDescent="0.35">
      <c r="A119" t="s">
        <v>117</v>
      </c>
      <c r="B119">
        <v>0</v>
      </c>
      <c r="C119" t="s">
        <v>412</v>
      </c>
      <c r="D119">
        <v>84</v>
      </c>
      <c r="F119" s="1" t="s">
        <v>229</v>
      </c>
      <c r="G119">
        <v>0</v>
      </c>
      <c r="I119">
        <f>IF(COUNTIF(Sheet2!A:A,F119)&gt;0,VLOOKUP(F119,Sheet2!A:B,2,FALSE),"Not Found")</f>
        <v>0</v>
      </c>
      <c r="J119" t="str">
        <f t="shared" si="1"/>
        <v>Matching</v>
      </c>
    </row>
    <row r="120" spans="1:10" x14ac:dyDescent="0.35">
      <c r="A120" t="s">
        <v>118</v>
      </c>
      <c r="B120">
        <v>0</v>
      </c>
      <c r="C120" t="s">
        <v>413</v>
      </c>
      <c r="D120">
        <v>66</v>
      </c>
      <c r="F120" s="1" t="s">
        <v>3</v>
      </c>
      <c r="G120">
        <v>0</v>
      </c>
      <c r="I120">
        <f>IF(COUNTIF(Sheet2!A:A,F120)&gt;0,VLOOKUP(F120,Sheet2!A:B,2,FALSE),"Not Found")</f>
        <v>0</v>
      </c>
      <c r="J120" t="str">
        <f t="shared" si="1"/>
        <v>Matching</v>
      </c>
    </row>
    <row r="121" spans="1:10" x14ac:dyDescent="0.35">
      <c r="A121" t="s">
        <v>119</v>
      </c>
      <c r="B121">
        <v>0</v>
      </c>
      <c r="C121" t="s">
        <v>413</v>
      </c>
      <c r="D121">
        <v>66</v>
      </c>
      <c r="F121" s="1" t="s">
        <v>330</v>
      </c>
      <c r="G121">
        <v>0</v>
      </c>
      <c r="I121">
        <f>IF(COUNTIF(Sheet2!A:A,F121)&gt;0,VLOOKUP(F121,Sheet2!A:B,2,FALSE),"Not Found")</f>
        <v>0</v>
      </c>
      <c r="J121" t="str">
        <f t="shared" si="1"/>
        <v>Matching</v>
      </c>
    </row>
    <row r="122" spans="1:10" x14ac:dyDescent="0.35">
      <c r="A122" t="s">
        <v>120</v>
      </c>
      <c r="B122">
        <v>0</v>
      </c>
      <c r="C122" t="s">
        <v>368</v>
      </c>
      <c r="D122">
        <v>99</v>
      </c>
      <c r="F122" s="1" t="s">
        <v>165</v>
      </c>
      <c r="G122">
        <v>0</v>
      </c>
      <c r="I122">
        <f>IF(COUNTIF(Sheet2!A:A,F122)&gt;0,VLOOKUP(F122,Sheet2!A:B,2,FALSE),"Not Found")</f>
        <v>0</v>
      </c>
      <c r="J122" t="str">
        <f t="shared" si="1"/>
        <v>Matching</v>
      </c>
    </row>
    <row r="123" spans="1:10" x14ac:dyDescent="0.35">
      <c r="A123" t="s">
        <v>121</v>
      </c>
      <c r="B123">
        <v>0</v>
      </c>
      <c r="C123" t="s">
        <v>370</v>
      </c>
      <c r="D123">
        <v>86</v>
      </c>
      <c r="F123" s="1" t="s">
        <v>164</v>
      </c>
      <c r="G123">
        <v>0</v>
      </c>
      <c r="I123">
        <f>IF(COUNTIF(Sheet2!A:A,F123)&gt;0,VLOOKUP(F123,Sheet2!A:B,2,FALSE),"Not Found")</f>
        <v>0</v>
      </c>
      <c r="J123" t="str">
        <f t="shared" si="1"/>
        <v>Matching</v>
      </c>
    </row>
    <row r="124" spans="1:10" x14ac:dyDescent="0.35">
      <c r="A124" t="s">
        <v>122</v>
      </c>
      <c r="B124">
        <v>0</v>
      </c>
      <c r="C124" t="s">
        <v>370</v>
      </c>
      <c r="D124">
        <v>86</v>
      </c>
      <c r="F124" s="1" t="s">
        <v>163</v>
      </c>
      <c r="G124">
        <v>0</v>
      </c>
      <c r="I124">
        <f>IF(COUNTIF(Sheet2!A:A,F124)&gt;0,VLOOKUP(F124,Sheet2!A:B,2,FALSE),"Not Found")</f>
        <v>0</v>
      </c>
      <c r="J124" t="str">
        <f t="shared" si="1"/>
        <v>Matching</v>
      </c>
    </row>
    <row r="125" spans="1:10" x14ac:dyDescent="0.35">
      <c r="A125" t="s">
        <v>123</v>
      </c>
      <c r="B125">
        <v>0</v>
      </c>
      <c r="C125" t="s">
        <v>414</v>
      </c>
      <c r="D125">
        <v>2</v>
      </c>
      <c r="F125" s="1" t="s">
        <v>73</v>
      </c>
      <c r="G125">
        <v>0</v>
      </c>
      <c r="I125">
        <f>IF(COUNTIF(Sheet2!A:A,F125)&gt;0,VLOOKUP(F125,Sheet2!A:B,2,FALSE),"Not Found")</f>
        <v>0</v>
      </c>
      <c r="J125" t="str">
        <f t="shared" si="1"/>
        <v>Matching</v>
      </c>
    </row>
    <row r="126" spans="1:10" x14ac:dyDescent="0.35">
      <c r="A126" t="s">
        <v>124</v>
      </c>
      <c r="B126">
        <v>115856</v>
      </c>
      <c r="C126" t="s">
        <v>371</v>
      </c>
      <c r="D126">
        <v>1</v>
      </c>
      <c r="F126" s="1" t="s">
        <v>244</v>
      </c>
      <c r="G126">
        <v>0</v>
      </c>
      <c r="I126">
        <f>IF(COUNTIF(Sheet2!A:A,F126)&gt;0,VLOOKUP(F126,Sheet2!A:B,2,FALSE),"Not Found")</f>
        <v>0</v>
      </c>
      <c r="J126" t="str">
        <f t="shared" si="1"/>
        <v>Matching</v>
      </c>
    </row>
    <row r="127" spans="1:10" x14ac:dyDescent="0.35">
      <c r="A127" t="s">
        <v>125</v>
      </c>
      <c r="B127">
        <v>7523118</v>
      </c>
      <c r="C127" t="s">
        <v>371</v>
      </c>
      <c r="D127">
        <v>1</v>
      </c>
      <c r="F127" s="1" t="s">
        <v>202</v>
      </c>
      <c r="G127">
        <v>0</v>
      </c>
      <c r="I127">
        <f>IF(COUNTIF(Sheet2!A:A,F127)&gt;0,VLOOKUP(F127,Sheet2!A:B,2,FALSE),"Not Found")</f>
        <v>0</v>
      </c>
      <c r="J127" t="str">
        <f t="shared" si="1"/>
        <v>Matching</v>
      </c>
    </row>
    <row r="128" spans="1:10" x14ac:dyDescent="0.35">
      <c r="A128" t="s">
        <v>126</v>
      </c>
      <c r="B128">
        <v>4543</v>
      </c>
      <c r="C128" t="s">
        <v>371</v>
      </c>
      <c r="D128">
        <v>1</v>
      </c>
      <c r="F128" s="1" t="s">
        <v>118</v>
      </c>
      <c r="G128">
        <v>0</v>
      </c>
      <c r="I128">
        <f>IF(COUNTIF(Sheet2!A:A,F128)&gt;0,VLOOKUP(F128,Sheet2!A:B,2,FALSE),"Not Found")</f>
        <v>0</v>
      </c>
      <c r="J128" t="str">
        <f t="shared" si="1"/>
        <v>Matching</v>
      </c>
    </row>
    <row r="129" spans="1:10" x14ac:dyDescent="0.35">
      <c r="A129" t="s">
        <v>127</v>
      </c>
      <c r="B129">
        <v>0</v>
      </c>
      <c r="C129" t="s">
        <v>372</v>
      </c>
      <c r="D129">
        <v>42</v>
      </c>
      <c r="F129" s="1" t="s">
        <v>119</v>
      </c>
      <c r="G129">
        <v>0</v>
      </c>
      <c r="I129">
        <f>IF(COUNTIF(Sheet2!A:A,F129)&gt;0,VLOOKUP(F129,Sheet2!A:B,2,FALSE),"Not Found")</f>
        <v>0</v>
      </c>
      <c r="J129" t="str">
        <f t="shared" si="1"/>
        <v>Matching</v>
      </c>
    </row>
    <row r="130" spans="1:10" x14ac:dyDescent="0.35">
      <c r="A130" t="s">
        <v>128</v>
      </c>
      <c r="B130">
        <v>9034</v>
      </c>
      <c r="C130" t="s">
        <v>373</v>
      </c>
      <c r="D130">
        <v>114</v>
      </c>
      <c r="F130" s="1" t="s">
        <v>303</v>
      </c>
      <c r="G130">
        <v>0</v>
      </c>
      <c r="I130">
        <f>IF(COUNTIF(Sheet2!A:A,F130)&gt;0,VLOOKUP(F130,Sheet2!A:B,2,FALSE),"Not Found")</f>
        <v>0</v>
      </c>
      <c r="J130" t="str">
        <f t="shared" si="1"/>
        <v>Matching</v>
      </c>
    </row>
    <row r="131" spans="1:10" x14ac:dyDescent="0.35">
      <c r="A131" t="s">
        <v>129</v>
      </c>
      <c r="B131">
        <v>0</v>
      </c>
      <c r="C131" t="s">
        <v>373</v>
      </c>
      <c r="D131">
        <v>114</v>
      </c>
      <c r="F131" s="1" t="s">
        <v>277</v>
      </c>
      <c r="G131">
        <v>0</v>
      </c>
      <c r="I131">
        <f>IF(COUNTIF(Sheet2!A:A,F131)&gt;0,VLOOKUP(F131,Sheet2!A:B,2,FALSE),"Not Found")</f>
        <v>0</v>
      </c>
      <c r="J131" t="str">
        <f t="shared" ref="J131:J194" si="2">IF(G131=I131,"Matching","Mis Match")</f>
        <v>Matching</v>
      </c>
    </row>
    <row r="132" spans="1:10" x14ac:dyDescent="0.35">
      <c r="A132" t="s">
        <v>130</v>
      </c>
      <c r="B132">
        <v>0</v>
      </c>
      <c r="C132" t="s">
        <v>415</v>
      </c>
      <c r="D132">
        <v>98</v>
      </c>
      <c r="F132" s="1" t="s">
        <v>231</v>
      </c>
      <c r="G132">
        <v>0</v>
      </c>
      <c r="I132">
        <f>IF(COUNTIF(Sheet2!A:A,F132)&gt;0,VLOOKUP(F132,Sheet2!A:B,2,FALSE),"Not Found")</f>
        <v>0</v>
      </c>
      <c r="J132" t="str">
        <f t="shared" si="2"/>
        <v>Matching</v>
      </c>
    </row>
    <row r="133" spans="1:10" x14ac:dyDescent="0.35">
      <c r="A133" t="s">
        <v>131</v>
      </c>
      <c r="B133">
        <v>0</v>
      </c>
      <c r="C133" t="s">
        <v>376</v>
      </c>
      <c r="D133">
        <v>79</v>
      </c>
      <c r="F133" s="1" t="s">
        <v>42</v>
      </c>
      <c r="G133">
        <v>0</v>
      </c>
      <c r="I133">
        <f>IF(COUNTIF(Sheet2!A:A,F133)&gt;0,VLOOKUP(F133,Sheet2!A:B,2,FALSE),"Not Found")</f>
        <v>0</v>
      </c>
      <c r="J133" t="str">
        <f t="shared" si="2"/>
        <v>Matching</v>
      </c>
    </row>
    <row r="134" spans="1:10" x14ac:dyDescent="0.35">
      <c r="A134" t="s">
        <v>132</v>
      </c>
      <c r="B134">
        <v>0</v>
      </c>
      <c r="C134" t="s">
        <v>376</v>
      </c>
      <c r="D134">
        <v>79</v>
      </c>
      <c r="F134" s="1" t="s">
        <v>265</v>
      </c>
      <c r="G134">
        <v>0</v>
      </c>
      <c r="I134">
        <f>IF(COUNTIF(Sheet2!A:A,F134)&gt;0,VLOOKUP(F134,Sheet2!A:B,2,FALSE),"Not Found")</f>
        <v>0</v>
      </c>
      <c r="J134" t="str">
        <f t="shared" si="2"/>
        <v>Matching</v>
      </c>
    </row>
    <row r="135" spans="1:10" x14ac:dyDescent="0.35">
      <c r="A135" t="s">
        <v>133</v>
      </c>
      <c r="B135">
        <v>0</v>
      </c>
      <c r="C135" t="s">
        <v>376</v>
      </c>
      <c r="D135">
        <v>79</v>
      </c>
      <c r="F135" s="1" t="s">
        <v>258</v>
      </c>
      <c r="G135">
        <v>0</v>
      </c>
      <c r="I135">
        <f>IF(COUNTIF(Sheet2!A:A,F135)&gt;0,VLOOKUP(F135,Sheet2!A:B,2,FALSE),"Not Found")</f>
        <v>0</v>
      </c>
      <c r="J135" t="str">
        <f t="shared" si="2"/>
        <v>Matching</v>
      </c>
    </row>
    <row r="136" spans="1:10" x14ac:dyDescent="0.35">
      <c r="A136" t="s">
        <v>134</v>
      </c>
      <c r="B136">
        <v>0</v>
      </c>
      <c r="C136" t="s">
        <v>376</v>
      </c>
      <c r="D136">
        <v>79</v>
      </c>
      <c r="F136" s="1" t="s">
        <v>140</v>
      </c>
      <c r="G136">
        <v>0</v>
      </c>
      <c r="I136">
        <f>IF(COUNTIF(Sheet2!A:A,F136)&gt;0,VLOOKUP(F136,Sheet2!A:B,2,FALSE),"Not Found")</f>
        <v>0</v>
      </c>
      <c r="J136" t="str">
        <f t="shared" si="2"/>
        <v>Matching</v>
      </c>
    </row>
    <row r="137" spans="1:10" x14ac:dyDescent="0.35">
      <c r="A137" t="s">
        <v>135</v>
      </c>
      <c r="B137">
        <v>0</v>
      </c>
      <c r="C137" t="s">
        <v>376</v>
      </c>
      <c r="D137">
        <v>79</v>
      </c>
      <c r="F137" s="1" t="s">
        <v>266</v>
      </c>
      <c r="G137">
        <v>0</v>
      </c>
      <c r="I137">
        <f>IF(COUNTIF(Sheet2!A:A,F137)&gt;0,VLOOKUP(F137,Sheet2!A:B,2,FALSE),"Not Found")</f>
        <v>0</v>
      </c>
      <c r="J137" t="str">
        <f t="shared" si="2"/>
        <v>Matching</v>
      </c>
    </row>
    <row r="138" spans="1:10" x14ac:dyDescent="0.35">
      <c r="A138" t="s">
        <v>136</v>
      </c>
      <c r="B138">
        <v>0</v>
      </c>
      <c r="C138" t="s">
        <v>376</v>
      </c>
      <c r="D138">
        <v>79</v>
      </c>
      <c r="F138" s="1" t="s">
        <v>221</v>
      </c>
      <c r="G138">
        <v>0</v>
      </c>
      <c r="I138">
        <f>IF(COUNTIF(Sheet2!A:A,F138)&gt;0,VLOOKUP(F138,Sheet2!A:B,2,FALSE),"Not Found")</f>
        <v>0</v>
      </c>
      <c r="J138" t="str">
        <f t="shared" si="2"/>
        <v>Matching</v>
      </c>
    </row>
    <row r="139" spans="1:10" x14ac:dyDescent="0.35">
      <c r="A139" t="s">
        <v>137</v>
      </c>
      <c r="B139">
        <v>0</v>
      </c>
      <c r="C139" t="s">
        <v>376</v>
      </c>
      <c r="D139">
        <v>79</v>
      </c>
      <c r="F139" s="1" t="s">
        <v>141</v>
      </c>
      <c r="G139">
        <v>0</v>
      </c>
      <c r="I139">
        <f>IF(COUNTIF(Sheet2!A:A,F139)&gt;0,VLOOKUP(F139,Sheet2!A:B,2,FALSE),"Not Found")</f>
        <v>0</v>
      </c>
      <c r="J139" t="str">
        <f t="shared" si="2"/>
        <v>Matching</v>
      </c>
    </row>
    <row r="140" spans="1:10" x14ac:dyDescent="0.35">
      <c r="A140" t="s">
        <v>138</v>
      </c>
      <c r="B140">
        <v>0</v>
      </c>
      <c r="C140" t="s">
        <v>376</v>
      </c>
      <c r="D140">
        <v>79</v>
      </c>
      <c r="F140" s="1" t="s">
        <v>142</v>
      </c>
      <c r="G140">
        <v>0</v>
      </c>
      <c r="I140">
        <f>IF(COUNTIF(Sheet2!A:A,F140)&gt;0,VLOOKUP(F140,Sheet2!A:B,2,FALSE),"Not Found")</f>
        <v>0</v>
      </c>
      <c r="J140" t="str">
        <f t="shared" si="2"/>
        <v>Matching</v>
      </c>
    </row>
    <row r="141" spans="1:10" x14ac:dyDescent="0.35">
      <c r="A141" t="s">
        <v>139</v>
      </c>
      <c r="B141">
        <v>0</v>
      </c>
      <c r="C141" t="s">
        <v>376</v>
      </c>
      <c r="D141">
        <v>79</v>
      </c>
      <c r="F141" s="1" t="s">
        <v>311</v>
      </c>
      <c r="G141">
        <v>0</v>
      </c>
      <c r="I141">
        <f>IF(COUNTIF(Sheet2!A:A,F141)&gt;0,VLOOKUP(F141,Sheet2!A:B,2,FALSE),"Not Found")</f>
        <v>0</v>
      </c>
      <c r="J141" t="str">
        <f t="shared" si="2"/>
        <v>Matching</v>
      </c>
    </row>
    <row r="142" spans="1:10" x14ac:dyDescent="0.35">
      <c r="A142" t="s">
        <v>140</v>
      </c>
      <c r="B142">
        <v>0</v>
      </c>
      <c r="C142" t="s">
        <v>376</v>
      </c>
      <c r="D142">
        <v>79</v>
      </c>
      <c r="F142" s="1" t="s">
        <v>95</v>
      </c>
      <c r="G142">
        <v>0</v>
      </c>
      <c r="I142">
        <f>IF(COUNTIF(Sheet2!A:A,F142)&gt;0,VLOOKUP(F142,Sheet2!A:B,2,FALSE),"Not Found")</f>
        <v>0</v>
      </c>
      <c r="J142" t="str">
        <f t="shared" si="2"/>
        <v>Matching</v>
      </c>
    </row>
    <row r="143" spans="1:10" x14ac:dyDescent="0.35">
      <c r="A143" t="s">
        <v>141</v>
      </c>
      <c r="B143">
        <v>0</v>
      </c>
      <c r="C143" t="s">
        <v>376</v>
      </c>
      <c r="D143">
        <v>79</v>
      </c>
      <c r="F143" s="1" t="s">
        <v>215</v>
      </c>
      <c r="G143">
        <v>0</v>
      </c>
      <c r="I143">
        <f>IF(COUNTIF(Sheet2!A:A,F143)&gt;0,VLOOKUP(F143,Sheet2!A:B,2,FALSE),"Not Found")</f>
        <v>0</v>
      </c>
      <c r="J143" t="str">
        <f t="shared" si="2"/>
        <v>Matching</v>
      </c>
    </row>
    <row r="144" spans="1:10" x14ac:dyDescent="0.35">
      <c r="A144" t="s">
        <v>142</v>
      </c>
      <c r="B144">
        <v>0</v>
      </c>
      <c r="C144" t="s">
        <v>376</v>
      </c>
      <c r="D144">
        <v>79</v>
      </c>
      <c r="F144" s="1" t="s">
        <v>59</v>
      </c>
      <c r="G144">
        <v>1661481</v>
      </c>
      <c r="I144">
        <f>IF(COUNTIF(Sheet2!A:A,F144)&gt;0,VLOOKUP(F144,Sheet2!A:B,2,FALSE),"Not Found")</f>
        <v>1661481</v>
      </c>
      <c r="J144" t="str">
        <f t="shared" si="2"/>
        <v>Matching</v>
      </c>
    </row>
    <row r="145" spans="1:10" x14ac:dyDescent="0.35">
      <c r="A145" t="s">
        <v>143</v>
      </c>
      <c r="B145">
        <v>0</v>
      </c>
      <c r="C145" t="s">
        <v>376</v>
      </c>
      <c r="D145">
        <v>79</v>
      </c>
      <c r="F145" s="1" t="s">
        <v>279</v>
      </c>
      <c r="G145">
        <v>0</v>
      </c>
      <c r="I145">
        <f>IF(COUNTIF(Sheet2!A:A,F145)&gt;0,VLOOKUP(F145,Sheet2!A:B,2,FALSE),"Not Found")</f>
        <v>0</v>
      </c>
      <c r="J145" t="str">
        <f t="shared" si="2"/>
        <v>Matching</v>
      </c>
    </row>
    <row r="146" spans="1:10" x14ac:dyDescent="0.35">
      <c r="A146" t="s">
        <v>144</v>
      </c>
      <c r="B146">
        <v>0</v>
      </c>
      <c r="C146" t="s">
        <v>376</v>
      </c>
      <c r="D146">
        <v>79</v>
      </c>
      <c r="F146" s="1" t="s">
        <v>233</v>
      </c>
      <c r="G146">
        <v>0</v>
      </c>
      <c r="I146">
        <f>IF(COUNTIF(Sheet2!A:A,F146)&gt;0,VLOOKUP(F146,Sheet2!A:B,2,FALSE),"Not Found")</f>
        <v>0</v>
      </c>
      <c r="J146" t="str">
        <f t="shared" si="2"/>
        <v>Matching</v>
      </c>
    </row>
    <row r="147" spans="1:10" x14ac:dyDescent="0.35">
      <c r="A147" t="s">
        <v>145</v>
      </c>
      <c r="B147">
        <v>0</v>
      </c>
      <c r="C147" t="s">
        <v>376</v>
      </c>
      <c r="D147">
        <v>79</v>
      </c>
      <c r="F147" s="1" t="s">
        <v>61</v>
      </c>
      <c r="G147">
        <v>0</v>
      </c>
      <c r="I147">
        <f>IF(COUNTIF(Sheet2!A:A,F147)&gt;0,VLOOKUP(F147,Sheet2!A:B,2,FALSE),"Not Found")</f>
        <v>0</v>
      </c>
      <c r="J147" t="str">
        <f t="shared" si="2"/>
        <v>Matching</v>
      </c>
    </row>
    <row r="148" spans="1:10" x14ac:dyDescent="0.35">
      <c r="A148" t="s">
        <v>146</v>
      </c>
      <c r="B148">
        <v>0</v>
      </c>
      <c r="C148" t="s">
        <v>376</v>
      </c>
      <c r="D148">
        <v>79</v>
      </c>
      <c r="F148" s="1" t="s">
        <v>222</v>
      </c>
      <c r="G148">
        <v>0</v>
      </c>
      <c r="I148">
        <f>IF(COUNTIF(Sheet2!A:A,F148)&gt;0,VLOOKUP(F148,Sheet2!A:B,2,FALSE),"Not Found")</f>
        <v>0</v>
      </c>
      <c r="J148" t="str">
        <f t="shared" si="2"/>
        <v>Matching</v>
      </c>
    </row>
    <row r="149" spans="1:10" x14ac:dyDescent="0.35">
      <c r="A149" t="s">
        <v>147</v>
      </c>
      <c r="B149">
        <v>0</v>
      </c>
      <c r="C149" t="s">
        <v>376</v>
      </c>
      <c r="D149">
        <v>79</v>
      </c>
      <c r="F149" s="1" t="s">
        <v>96</v>
      </c>
      <c r="G149">
        <v>0</v>
      </c>
      <c r="I149">
        <f>IF(COUNTIF(Sheet2!A:A,F149)&gt;0,VLOOKUP(F149,Sheet2!A:B,2,FALSE),"Not Found")</f>
        <v>0</v>
      </c>
      <c r="J149" t="str">
        <f t="shared" si="2"/>
        <v>Matching</v>
      </c>
    </row>
    <row r="150" spans="1:10" x14ac:dyDescent="0.35">
      <c r="A150" t="s">
        <v>148</v>
      </c>
      <c r="B150">
        <v>0</v>
      </c>
      <c r="C150" t="s">
        <v>376</v>
      </c>
      <c r="D150">
        <v>79</v>
      </c>
      <c r="F150" s="1" t="s">
        <v>354</v>
      </c>
      <c r="G150">
        <v>0</v>
      </c>
      <c r="I150">
        <f>IF(COUNTIF(Sheet2!A:A,F150)&gt;0,VLOOKUP(F150,Sheet2!A:B,2,FALSE),"Not Found")</f>
        <v>0</v>
      </c>
      <c r="J150" t="str">
        <f t="shared" si="2"/>
        <v>Matching</v>
      </c>
    </row>
    <row r="151" spans="1:10" x14ac:dyDescent="0.35">
      <c r="A151" t="s">
        <v>149</v>
      </c>
      <c r="B151">
        <v>0</v>
      </c>
      <c r="C151" t="s">
        <v>416</v>
      </c>
      <c r="D151">
        <v>48</v>
      </c>
      <c r="F151" s="1" t="s">
        <v>125</v>
      </c>
      <c r="G151">
        <v>7523118</v>
      </c>
      <c r="I151">
        <f>IF(COUNTIF(Sheet2!A:A,F151)&gt;0,VLOOKUP(F151,Sheet2!A:B,2,FALSE),"Not Found")</f>
        <v>7523118</v>
      </c>
      <c r="J151" t="str">
        <f t="shared" si="2"/>
        <v>Matching</v>
      </c>
    </row>
    <row r="152" spans="1:10" x14ac:dyDescent="0.35">
      <c r="A152" t="s">
        <v>150</v>
      </c>
      <c r="B152">
        <v>0</v>
      </c>
      <c r="C152" t="s">
        <v>417</v>
      </c>
      <c r="D152">
        <v>44</v>
      </c>
      <c r="F152" s="1" t="s">
        <v>22</v>
      </c>
      <c r="G152">
        <v>0</v>
      </c>
      <c r="I152">
        <f>IF(COUNTIF(Sheet2!A:A,F152)&gt;0,VLOOKUP(F152,Sheet2!A:B,2,FALSE),"Not Found")</f>
        <v>0</v>
      </c>
      <c r="J152" t="str">
        <f t="shared" si="2"/>
        <v>Matching</v>
      </c>
    </row>
    <row r="153" spans="1:10" x14ac:dyDescent="0.35">
      <c r="A153" t="s">
        <v>151</v>
      </c>
      <c r="B153">
        <v>0</v>
      </c>
      <c r="C153" t="s">
        <v>418</v>
      </c>
      <c r="D153">
        <v>62</v>
      </c>
      <c r="F153" s="1" t="s">
        <v>251</v>
      </c>
      <c r="G153">
        <v>0</v>
      </c>
      <c r="I153">
        <f>IF(COUNTIF(Sheet2!A:A,F153)&gt;0,VLOOKUP(F153,Sheet2!A:B,2,FALSE),"Not Found")</f>
        <v>0</v>
      </c>
      <c r="J153" t="str">
        <f t="shared" si="2"/>
        <v>Matching</v>
      </c>
    </row>
    <row r="154" spans="1:10" x14ac:dyDescent="0.35">
      <c r="A154" t="s">
        <v>129</v>
      </c>
      <c r="B154">
        <v>0</v>
      </c>
      <c r="C154" t="s">
        <v>419</v>
      </c>
      <c r="D154">
        <v>55</v>
      </c>
      <c r="F154" s="1" t="s">
        <v>338</v>
      </c>
      <c r="G154">
        <v>4200782</v>
      </c>
      <c r="I154">
        <f>IF(COUNTIF(Sheet2!A:A,F154)&gt;0,VLOOKUP(F154,Sheet2!A:B,2,FALSE),"Not Found")</f>
        <v>4200782</v>
      </c>
      <c r="J154" t="str">
        <f t="shared" si="2"/>
        <v>Matching</v>
      </c>
    </row>
    <row r="155" spans="1:10" x14ac:dyDescent="0.35">
      <c r="A155" t="s">
        <v>152</v>
      </c>
      <c r="B155">
        <v>0</v>
      </c>
      <c r="C155" t="s">
        <v>420</v>
      </c>
      <c r="D155">
        <v>60</v>
      </c>
      <c r="F155" s="1" t="s">
        <v>78</v>
      </c>
      <c r="G155">
        <v>3597701</v>
      </c>
      <c r="I155">
        <f>IF(COUNTIF(Sheet2!A:A,F155)&gt;0,VLOOKUP(F155,Sheet2!A:B,2,FALSE),"Not Found")</f>
        <v>3597701</v>
      </c>
      <c r="J155" t="str">
        <f t="shared" si="2"/>
        <v>Matching</v>
      </c>
    </row>
    <row r="156" spans="1:10" x14ac:dyDescent="0.35">
      <c r="A156" t="s">
        <v>153</v>
      </c>
      <c r="B156">
        <v>0</v>
      </c>
      <c r="C156" t="s">
        <v>421</v>
      </c>
      <c r="D156">
        <v>16</v>
      </c>
      <c r="F156" s="1" t="s">
        <v>208</v>
      </c>
      <c r="G156">
        <v>10833774</v>
      </c>
      <c r="I156">
        <f>IF(COUNTIF(Sheet2!A:A,F156)&gt;0,VLOOKUP(F156,Sheet2!A:B,2,FALSE),"Not Found")</f>
        <v>10833774</v>
      </c>
      <c r="J156" t="str">
        <f t="shared" si="2"/>
        <v>Matching</v>
      </c>
    </row>
    <row r="157" spans="1:10" x14ac:dyDescent="0.35">
      <c r="A157" t="s">
        <v>154</v>
      </c>
      <c r="B157">
        <v>9069</v>
      </c>
      <c r="C157" t="s">
        <v>360</v>
      </c>
      <c r="D157">
        <v>11</v>
      </c>
      <c r="F157" s="1" t="s">
        <v>172</v>
      </c>
      <c r="G157">
        <v>277490</v>
      </c>
      <c r="I157">
        <f>IF(COUNTIF(Sheet2!A:A,F157)&gt;0,VLOOKUP(F157,Sheet2!A:B,2,FALSE),"Not Found")</f>
        <v>277490</v>
      </c>
      <c r="J157" t="str">
        <f t="shared" si="2"/>
        <v>Matching</v>
      </c>
    </row>
    <row r="158" spans="1:10" x14ac:dyDescent="0.35">
      <c r="A158" t="s">
        <v>155</v>
      </c>
      <c r="B158">
        <v>0</v>
      </c>
      <c r="C158" t="s">
        <v>422</v>
      </c>
      <c r="D158">
        <v>13</v>
      </c>
      <c r="F158" s="1" t="s">
        <v>209</v>
      </c>
      <c r="G158">
        <v>999</v>
      </c>
      <c r="I158">
        <f>IF(COUNTIF(Sheet2!A:A,F158)&gt;0,VLOOKUP(F158,Sheet2!A:B,2,FALSE),"Not Found")</f>
        <v>999</v>
      </c>
      <c r="J158" t="str">
        <f t="shared" si="2"/>
        <v>Matching</v>
      </c>
    </row>
    <row r="159" spans="1:10" x14ac:dyDescent="0.35">
      <c r="A159" t="s">
        <v>156</v>
      </c>
      <c r="B159">
        <v>0</v>
      </c>
      <c r="C159" t="s">
        <v>389</v>
      </c>
      <c r="D159">
        <v>33</v>
      </c>
      <c r="F159" s="1" t="s">
        <v>23</v>
      </c>
      <c r="G159">
        <v>187928</v>
      </c>
      <c r="I159">
        <f>IF(COUNTIF(Sheet2!A:A,F159)&gt;0,VLOOKUP(F159,Sheet2!A:B,2,FALSE),"Not Found")</f>
        <v>187928</v>
      </c>
      <c r="J159" t="str">
        <f t="shared" si="2"/>
        <v>Matching</v>
      </c>
    </row>
    <row r="160" spans="1:10" x14ac:dyDescent="0.35">
      <c r="A160" t="s">
        <v>157</v>
      </c>
      <c r="B160">
        <v>0</v>
      </c>
      <c r="C160" t="s">
        <v>423</v>
      </c>
      <c r="D160">
        <v>37</v>
      </c>
      <c r="F160" s="1" t="s">
        <v>24</v>
      </c>
      <c r="G160">
        <v>647</v>
      </c>
      <c r="I160">
        <f>IF(COUNTIF(Sheet2!A:A,F160)&gt;0,VLOOKUP(F160,Sheet2!A:B,2,FALSE),"Not Found")</f>
        <v>647</v>
      </c>
      <c r="J160" t="str">
        <f t="shared" si="2"/>
        <v>Matching</v>
      </c>
    </row>
    <row r="161" spans="1:10" x14ac:dyDescent="0.35">
      <c r="A161" t="s">
        <v>158</v>
      </c>
      <c r="B161">
        <v>0</v>
      </c>
      <c r="C161" t="s">
        <v>394</v>
      </c>
      <c r="D161">
        <v>22</v>
      </c>
      <c r="F161" s="1" t="s">
        <v>25</v>
      </c>
      <c r="G161">
        <v>7390532</v>
      </c>
      <c r="I161">
        <f>IF(COUNTIF(Sheet2!A:A,F161)&gt;0,VLOOKUP(F161,Sheet2!A:B,2,FALSE),"Not Found")</f>
        <v>7390532</v>
      </c>
      <c r="J161" t="str">
        <f t="shared" si="2"/>
        <v>Matching</v>
      </c>
    </row>
    <row r="162" spans="1:10" x14ac:dyDescent="0.35">
      <c r="A162" t="s">
        <v>159</v>
      </c>
      <c r="B162">
        <v>0</v>
      </c>
      <c r="C162" t="s">
        <v>424</v>
      </c>
      <c r="D162">
        <v>23</v>
      </c>
      <c r="F162" s="1" t="s">
        <v>252</v>
      </c>
      <c r="G162">
        <v>92492</v>
      </c>
      <c r="I162">
        <f>IF(COUNTIF(Sheet2!A:A,F162)&gt;0,VLOOKUP(F162,Sheet2!A:B,2,FALSE),"Not Found")</f>
        <v>92492</v>
      </c>
      <c r="J162" t="str">
        <f t="shared" si="2"/>
        <v>Matching</v>
      </c>
    </row>
    <row r="163" spans="1:10" x14ac:dyDescent="0.35">
      <c r="A163" t="s">
        <v>160</v>
      </c>
      <c r="B163">
        <v>0</v>
      </c>
      <c r="C163" t="s">
        <v>425</v>
      </c>
      <c r="D163">
        <v>19</v>
      </c>
      <c r="F163" s="1" t="s">
        <v>173</v>
      </c>
      <c r="G163">
        <v>10836094</v>
      </c>
      <c r="I163">
        <f>IF(COUNTIF(Sheet2!A:A,F163)&gt;0,VLOOKUP(F163,Sheet2!A:B,2,FALSE),"Not Found")</f>
        <v>10836094</v>
      </c>
      <c r="J163" t="str">
        <f t="shared" si="2"/>
        <v>Matching</v>
      </c>
    </row>
    <row r="164" spans="1:10" x14ac:dyDescent="0.35">
      <c r="A164" t="s">
        <v>161</v>
      </c>
      <c r="B164">
        <v>4</v>
      </c>
      <c r="C164" t="s">
        <v>366</v>
      </c>
      <c r="D164">
        <v>85</v>
      </c>
      <c r="F164" s="1" t="s">
        <v>174</v>
      </c>
      <c r="G164">
        <v>1156556</v>
      </c>
      <c r="I164">
        <f>IF(COUNTIF(Sheet2!A:A,F164)&gt;0,VLOOKUP(F164,Sheet2!A:B,2,FALSE),"Not Found")</f>
        <v>1156556</v>
      </c>
      <c r="J164" t="str">
        <f t="shared" si="2"/>
        <v>Matching</v>
      </c>
    </row>
    <row r="165" spans="1:10" x14ac:dyDescent="0.35">
      <c r="A165" t="s">
        <v>162</v>
      </c>
      <c r="B165">
        <v>0</v>
      </c>
      <c r="C165" t="s">
        <v>397</v>
      </c>
      <c r="D165">
        <v>4</v>
      </c>
      <c r="F165" s="1" t="s">
        <v>253</v>
      </c>
      <c r="G165">
        <v>14517983</v>
      </c>
      <c r="I165">
        <f>IF(COUNTIF(Sheet2!A:A,F165)&gt;0,VLOOKUP(F165,Sheet2!A:B,2,FALSE),"Not Found")</f>
        <v>14517983</v>
      </c>
      <c r="J165" t="str">
        <f t="shared" si="2"/>
        <v>Matching</v>
      </c>
    </row>
    <row r="166" spans="1:10" x14ac:dyDescent="0.35">
      <c r="A166" t="s">
        <v>163</v>
      </c>
      <c r="B166">
        <v>0</v>
      </c>
      <c r="C166" t="s">
        <v>426</v>
      </c>
      <c r="D166">
        <v>64</v>
      </c>
      <c r="F166" s="1" t="s">
        <v>126</v>
      </c>
      <c r="G166">
        <v>4543</v>
      </c>
      <c r="I166">
        <f>IF(COUNTIF(Sheet2!A:A,F166)&gt;0,VLOOKUP(F166,Sheet2!A:B,2,FALSE),"Not Found")</f>
        <v>4543</v>
      </c>
      <c r="J166" t="str">
        <f t="shared" si="2"/>
        <v>Matching</v>
      </c>
    </row>
    <row r="167" spans="1:10" x14ac:dyDescent="0.35">
      <c r="A167" t="s">
        <v>164</v>
      </c>
      <c r="B167">
        <v>0</v>
      </c>
      <c r="C167" t="s">
        <v>426</v>
      </c>
      <c r="D167">
        <v>64</v>
      </c>
      <c r="F167" s="1" t="s">
        <v>27</v>
      </c>
      <c r="G167">
        <v>0</v>
      </c>
      <c r="I167">
        <f>IF(COUNTIF(Sheet2!A:A,F167)&gt;0,VLOOKUP(F167,Sheet2!A:B,2,FALSE),"Not Found")</f>
        <v>0</v>
      </c>
      <c r="J167" t="str">
        <f t="shared" si="2"/>
        <v>Matching</v>
      </c>
    </row>
    <row r="168" spans="1:10" x14ac:dyDescent="0.35">
      <c r="A168" t="s">
        <v>165</v>
      </c>
      <c r="B168">
        <v>0</v>
      </c>
      <c r="C168" t="s">
        <v>427</v>
      </c>
      <c r="D168">
        <v>67</v>
      </c>
      <c r="F168" s="1" t="s">
        <v>26</v>
      </c>
      <c r="G168">
        <v>45985292</v>
      </c>
      <c r="I168">
        <f>IF(COUNTIF(Sheet2!A:A,F168)&gt;0,VLOOKUP(F168,Sheet2!A:B,2,FALSE),"Not Found")</f>
        <v>45985292</v>
      </c>
      <c r="J168" t="str">
        <f t="shared" si="2"/>
        <v>Matching</v>
      </c>
    </row>
    <row r="169" spans="1:10" x14ac:dyDescent="0.35">
      <c r="A169" t="s">
        <v>166</v>
      </c>
      <c r="B169">
        <v>0</v>
      </c>
      <c r="C169" t="s">
        <v>428</v>
      </c>
      <c r="D169">
        <v>112</v>
      </c>
      <c r="F169" s="1" t="s">
        <v>175</v>
      </c>
      <c r="G169">
        <v>83154</v>
      </c>
      <c r="I169">
        <f>IF(COUNTIF(Sheet2!A:A,F169)&gt;0,VLOOKUP(F169,Sheet2!A:B,2,FALSE),"Not Found")</f>
        <v>83154</v>
      </c>
      <c r="J169" t="str">
        <f t="shared" si="2"/>
        <v>Matching</v>
      </c>
    </row>
    <row r="170" spans="1:10" x14ac:dyDescent="0.35">
      <c r="A170" t="s">
        <v>167</v>
      </c>
      <c r="B170">
        <v>0</v>
      </c>
      <c r="C170" t="s">
        <v>370</v>
      </c>
      <c r="D170">
        <v>86</v>
      </c>
      <c r="F170" s="1" t="s">
        <v>124</v>
      </c>
      <c r="G170">
        <v>115856</v>
      </c>
      <c r="I170">
        <f>IF(COUNTIF(Sheet2!A:A,F170)&gt;0,VLOOKUP(F170,Sheet2!A:B,2,FALSE),"Not Found")</f>
        <v>115856</v>
      </c>
      <c r="J170" t="str">
        <f t="shared" si="2"/>
        <v>Matching</v>
      </c>
    </row>
    <row r="171" spans="1:10" x14ac:dyDescent="0.35">
      <c r="A171" t="s">
        <v>168</v>
      </c>
      <c r="B171">
        <v>0</v>
      </c>
      <c r="C171" t="s">
        <v>370</v>
      </c>
      <c r="D171">
        <v>86</v>
      </c>
      <c r="F171" s="1" t="s">
        <v>143</v>
      </c>
      <c r="G171">
        <v>0</v>
      </c>
      <c r="I171">
        <f>IF(COUNTIF(Sheet2!A:A,F171)&gt;0,VLOOKUP(F171,Sheet2!A:B,2,FALSE),"Not Found")</f>
        <v>0</v>
      </c>
      <c r="J171" t="str">
        <f t="shared" si="2"/>
        <v>Matching</v>
      </c>
    </row>
    <row r="172" spans="1:10" x14ac:dyDescent="0.35">
      <c r="A172" t="s">
        <v>169</v>
      </c>
      <c r="B172">
        <v>0</v>
      </c>
      <c r="C172" t="s">
        <v>370</v>
      </c>
      <c r="D172">
        <v>86</v>
      </c>
      <c r="F172" s="1" t="s">
        <v>190</v>
      </c>
      <c r="G172">
        <v>0</v>
      </c>
      <c r="I172">
        <f>IF(COUNTIF(Sheet2!A:A,F172)&gt;0,VLOOKUP(F172,Sheet2!A:B,2,FALSE),"Not Found")</f>
        <v>0</v>
      </c>
      <c r="J172" t="str">
        <f t="shared" si="2"/>
        <v>Matching</v>
      </c>
    </row>
    <row r="173" spans="1:10" x14ac:dyDescent="0.35">
      <c r="A173" t="s">
        <v>170</v>
      </c>
      <c r="B173">
        <v>0</v>
      </c>
      <c r="C173" t="s">
        <v>370</v>
      </c>
      <c r="D173">
        <v>86</v>
      </c>
      <c r="F173" s="1" t="s">
        <v>313</v>
      </c>
      <c r="G173">
        <v>0</v>
      </c>
      <c r="I173">
        <f>IF(COUNTIF(Sheet2!A:A,F173)&gt;0,VLOOKUP(F173,Sheet2!A:B,2,FALSE),"Not Found")</f>
        <v>0</v>
      </c>
      <c r="J173" t="str">
        <f t="shared" si="2"/>
        <v>Matching</v>
      </c>
    </row>
    <row r="174" spans="1:10" x14ac:dyDescent="0.35">
      <c r="A174" t="s">
        <v>171</v>
      </c>
      <c r="B174">
        <v>0</v>
      </c>
      <c r="C174" t="s">
        <v>370</v>
      </c>
      <c r="D174">
        <v>86</v>
      </c>
      <c r="F174" s="1" t="s">
        <v>43</v>
      </c>
      <c r="G174">
        <v>0</v>
      </c>
      <c r="I174">
        <f>IF(COUNTIF(Sheet2!A:A,F174)&gt;0,VLOOKUP(F174,Sheet2!A:B,2,FALSE),"Not Found")</f>
        <v>0</v>
      </c>
      <c r="J174" t="str">
        <f t="shared" si="2"/>
        <v>Matching</v>
      </c>
    </row>
    <row r="175" spans="1:10" x14ac:dyDescent="0.35">
      <c r="A175" t="s">
        <v>172</v>
      </c>
      <c r="B175">
        <v>277490</v>
      </c>
      <c r="C175" t="s">
        <v>371</v>
      </c>
      <c r="D175">
        <v>1</v>
      </c>
      <c r="F175" s="1" t="s">
        <v>44</v>
      </c>
      <c r="G175">
        <v>0</v>
      </c>
      <c r="I175">
        <f>IF(COUNTIF(Sheet2!A:A,F175)&gt;0,VLOOKUP(F175,Sheet2!A:B,2,FALSE),"Not Found")</f>
        <v>0</v>
      </c>
      <c r="J175" t="str">
        <f t="shared" si="2"/>
        <v>Matching</v>
      </c>
    </row>
    <row r="176" spans="1:10" x14ac:dyDescent="0.35">
      <c r="A176" t="s">
        <v>173</v>
      </c>
      <c r="B176">
        <v>10836094</v>
      </c>
      <c r="C176" t="s">
        <v>371</v>
      </c>
      <c r="D176">
        <v>1</v>
      </c>
      <c r="F176" s="1" t="s">
        <v>45</v>
      </c>
      <c r="G176">
        <v>0</v>
      </c>
      <c r="I176">
        <f>IF(COUNTIF(Sheet2!A:A,F176)&gt;0,VLOOKUP(F176,Sheet2!A:B,2,FALSE),"Not Found")</f>
        <v>0</v>
      </c>
      <c r="J176" t="str">
        <f t="shared" si="2"/>
        <v>Matching</v>
      </c>
    </row>
    <row r="177" spans="1:10" x14ac:dyDescent="0.35">
      <c r="A177" t="s">
        <v>174</v>
      </c>
      <c r="B177">
        <v>1156556</v>
      </c>
      <c r="C177" t="s">
        <v>371</v>
      </c>
      <c r="D177">
        <v>1</v>
      </c>
      <c r="F177" s="1" t="s">
        <v>269</v>
      </c>
      <c r="G177">
        <v>0</v>
      </c>
      <c r="I177">
        <f>IF(COUNTIF(Sheet2!A:A,F177)&gt;0,VLOOKUP(F177,Sheet2!A:B,2,FALSE),"Not Found")</f>
        <v>0</v>
      </c>
      <c r="J177" t="str">
        <f t="shared" si="2"/>
        <v>Matching</v>
      </c>
    </row>
    <row r="178" spans="1:10" x14ac:dyDescent="0.35">
      <c r="A178" t="s">
        <v>175</v>
      </c>
      <c r="B178">
        <v>83154</v>
      </c>
      <c r="C178" t="s">
        <v>371</v>
      </c>
      <c r="D178">
        <v>1</v>
      </c>
      <c r="F178" s="1" t="s">
        <v>314</v>
      </c>
      <c r="G178">
        <v>0</v>
      </c>
      <c r="I178">
        <f>IF(COUNTIF(Sheet2!A:A,F178)&gt;0,VLOOKUP(F178,Sheet2!A:B,2,FALSE),"Not Found")</f>
        <v>0</v>
      </c>
      <c r="J178" t="str">
        <f t="shared" si="2"/>
        <v>Matching</v>
      </c>
    </row>
    <row r="179" spans="1:10" x14ac:dyDescent="0.35">
      <c r="A179" t="s">
        <v>176</v>
      </c>
      <c r="B179">
        <v>0</v>
      </c>
      <c r="C179" t="s">
        <v>372</v>
      </c>
      <c r="D179">
        <v>42</v>
      </c>
      <c r="F179" s="1" t="s">
        <v>270</v>
      </c>
      <c r="G179">
        <v>0</v>
      </c>
      <c r="I179">
        <f>IF(COUNTIF(Sheet2!A:A,F179)&gt;0,VLOOKUP(F179,Sheet2!A:B,2,FALSE),"Not Found")</f>
        <v>0</v>
      </c>
      <c r="J179" t="str">
        <f t="shared" si="2"/>
        <v>Matching</v>
      </c>
    </row>
    <row r="180" spans="1:10" x14ac:dyDescent="0.35">
      <c r="A180" t="s">
        <v>177</v>
      </c>
      <c r="B180">
        <v>0</v>
      </c>
      <c r="C180" t="s">
        <v>372</v>
      </c>
      <c r="D180">
        <v>42</v>
      </c>
      <c r="F180" s="1" t="s">
        <v>99</v>
      </c>
      <c r="G180">
        <v>0</v>
      </c>
      <c r="I180">
        <f>IF(COUNTIF(Sheet2!A:A,F180)&gt;0,VLOOKUP(F180,Sheet2!A:B,2,FALSE),"Not Found")</f>
        <v>0</v>
      </c>
      <c r="J180" t="str">
        <f t="shared" si="2"/>
        <v>Matching</v>
      </c>
    </row>
    <row r="181" spans="1:10" x14ac:dyDescent="0.35">
      <c r="A181" t="s">
        <v>178</v>
      </c>
      <c r="B181">
        <v>0</v>
      </c>
      <c r="C181" t="s">
        <v>372</v>
      </c>
      <c r="D181">
        <v>42</v>
      </c>
      <c r="F181" s="1" t="s">
        <v>97</v>
      </c>
      <c r="G181">
        <v>0</v>
      </c>
      <c r="I181">
        <f>IF(COUNTIF(Sheet2!A:A,F181)&gt;0,VLOOKUP(F181,Sheet2!A:B,2,FALSE),"Not Found")</f>
        <v>0</v>
      </c>
      <c r="J181" t="str">
        <f t="shared" si="2"/>
        <v>Matching</v>
      </c>
    </row>
    <row r="182" spans="1:10" x14ac:dyDescent="0.35">
      <c r="A182" t="s">
        <v>179</v>
      </c>
      <c r="B182">
        <v>0</v>
      </c>
      <c r="C182" t="s">
        <v>373</v>
      </c>
      <c r="D182">
        <v>114</v>
      </c>
      <c r="F182" s="1" t="s">
        <v>98</v>
      </c>
      <c r="G182">
        <v>0</v>
      </c>
      <c r="I182">
        <f>IF(COUNTIF(Sheet2!A:A,F182)&gt;0,VLOOKUP(F182,Sheet2!A:B,2,FALSE),"Not Found")</f>
        <v>0</v>
      </c>
      <c r="J182" t="str">
        <f t="shared" si="2"/>
        <v>Matching</v>
      </c>
    </row>
    <row r="183" spans="1:10" x14ac:dyDescent="0.35">
      <c r="A183" t="s">
        <v>180</v>
      </c>
      <c r="B183">
        <v>0</v>
      </c>
      <c r="C183" t="s">
        <v>373</v>
      </c>
      <c r="D183">
        <v>114</v>
      </c>
      <c r="F183" s="1" t="s">
        <v>267</v>
      </c>
      <c r="G183">
        <v>0</v>
      </c>
      <c r="I183">
        <f>IF(COUNTIF(Sheet2!A:A,F183)&gt;0,VLOOKUP(F183,Sheet2!A:B,2,FALSE),"Not Found")</f>
        <v>0</v>
      </c>
      <c r="J183" t="str">
        <f t="shared" si="2"/>
        <v>Matching</v>
      </c>
    </row>
    <row r="184" spans="1:10" x14ac:dyDescent="0.35">
      <c r="A184" t="s">
        <v>181</v>
      </c>
      <c r="B184">
        <v>0</v>
      </c>
      <c r="C184" t="s">
        <v>429</v>
      </c>
      <c r="D184">
        <v>75</v>
      </c>
      <c r="F184" s="1" t="s">
        <v>144</v>
      </c>
      <c r="G184">
        <v>0</v>
      </c>
      <c r="I184">
        <f>IF(COUNTIF(Sheet2!A:A,F184)&gt;0,VLOOKUP(F184,Sheet2!A:B,2,FALSE),"Not Found")</f>
        <v>0</v>
      </c>
      <c r="J184" t="str">
        <f t="shared" si="2"/>
        <v>Matching</v>
      </c>
    </row>
    <row r="185" spans="1:10" x14ac:dyDescent="0.35">
      <c r="A185" t="s">
        <v>182</v>
      </c>
      <c r="B185">
        <v>0</v>
      </c>
      <c r="C185" t="s">
        <v>376</v>
      </c>
      <c r="D185">
        <v>79</v>
      </c>
      <c r="F185" s="1" t="s">
        <v>268</v>
      </c>
      <c r="G185">
        <v>0</v>
      </c>
      <c r="I185">
        <f>IF(COUNTIF(Sheet2!A:A,F185)&gt;0,VLOOKUP(F185,Sheet2!A:B,2,FALSE),"Not Found")</f>
        <v>0</v>
      </c>
      <c r="J185" t="str">
        <f t="shared" si="2"/>
        <v>Matching</v>
      </c>
    </row>
    <row r="186" spans="1:10" x14ac:dyDescent="0.35">
      <c r="A186" t="s">
        <v>183</v>
      </c>
      <c r="B186">
        <v>0</v>
      </c>
      <c r="C186" t="s">
        <v>376</v>
      </c>
      <c r="D186">
        <v>79</v>
      </c>
      <c r="F186" s="1" t="s">
        <v>351</v>
      </c>
      <c r="G186">
        <v>0</v>
      </c>
      <c r="I186">
        <f>IF(COUNTIF(Sheet2!A:A,F186)&gt;0,VLOOKUP(F186,Sheet2!A:B,2,FALSE),"Not Found")</f>
        <v>0</v>
      </c>
      <c r="J186" t="str">
        <f t="shared" si="2"/>
        <v>Matching</v>
      </c>
    </row>
    <row r="187" spans="1:10" x14ac:dyDescent="0.35">
      <c r="A187" t="s">
        <v>184</v>
      </c>
      <c r="B187">
        <v>0</v>
      </c>
      <c r="C187" t="s">
        <v>376</v>
      </c>
      <c r="D187">
        <v>79</v>
      </c>
      <c r="F187" s="1" t="s">
        <v>347</v>
      </c>
      <c r="G187">
        <v>0</v>
      </c>
      <c r="I187">
        <f>IF(COUNTIF(Sheet2!A:A,F187)&gt;0,VLOOKUP(F187,Sheet2!A:B,2,FALSE),"Not Found")</f>
        <v>0</v>
      </c>
      <c r="J187" t="str">
        <f t="shared" si="2"/>
        <v>Matching</v>
      </c>
    </row>
    <row r="188" spans="1:10" x14ac:dyDescent="0.35">
      <c r="A188" t="s">
        <v>185</v>
      </c>
      <c r="B188">
        <v>0</v>
      </c>
      <c r="C188" t="s">
        <v>376</v>
      </c>
      <c r="D188">
        <v>79</v>
      </c>
      <c r="F188" s="1" t="s">
        <v>312</v>
      </c>
      <c r="G188">
        <v>0</v>
      </c>
      <c r="I188">
        <f>IF(COUNTIF(Sheet2!A:A,F188)&gt;0,VLOOKUP(F188,Sheet2!A:B,2,FALSE),"Not Found")</f>
        <v>0</v>
      </c>
      <c r="J188" t="str">
        <f t="shared" si="2"/>
        <v>Matching</v>
      </c>
    </row>
    <row r="189" spans="1:10" x14ac:dyDescent="0.35">
      <c r="A189" t="s">
        <v>186</v>
      </c>
      <c r="B189">
        <v>0</v>
      </c>
      <c r="C189" t="s">
        <v>376</v>
      </c>
      <c r="D189">
        <v>79</v>
      </c>
      <c r="F189" s="1" t="s">
        <v>87</v>
      </c>
      <c r="G189">
        <v>0</v>
      </c>
      <c r="I189">
        <f>IF(COUNTIF(Sheet2!A:A,F189)&gt;0,VLOOKUP(F189,Sheet2!A:B,2,FALSE),"Not Found")</f>
        <v>0</v>
      </c>
      <c r="J189" t="str">
        <f t="shared" si="2"/>
        <v>Matching</v>
      </c>
    </row>
    <row r="190" spans="1:10" x14ac:dyDescent="0.35">
      <c r="A190" t="s">
        <v>187</v>
      </c>
      <c r="B190">
        <v>0</v>
      </c>
      <c r="C190" t="s">
        <v>376</v>
      </c>
      <c r="D190">
        <v>79</v>
      </c>
      <c r="F190" s="1" t="s">
        <v>188</v>
      </c>
      <c r="G190">
        <v>0</v>
      </c>
      <c r="I190">
        <f>IF(COUNTIF(Sheet2!A:A,F190)&gt;0,VLOOKUP(F190,Sheet2!A:B,2,FALSE),"Not Found")</f>
        <v>0</v>
      </c>
      <c r="J190" t="str">
        <f t="shared" si="2"/>
        <v>Matching</v>
      </c>
    </row>
    <row r="191" spans="1:10" x14ac:dyDescent="0.35">
      <c r="A191" t="s">
        <v>188</v>
      </c>
      <c r="B191">
        <v>0</v>
      </c>
      <c r="C191" t="s">
        <v>376</v>
      </c>
      <c r="D191">
        <v>79</v>
      </c>
      <c r="F191" s="1" t="s">
        <v>189</v>
      </c>
      <c r="G191">
        <v>0</v>
      </c>
      <c r="I191">
        <f>IF(COUNTIF(Sheet2!A:A,F191)&gt;0,VLOOKUP(F191,Sheet2!A:B,2,FALSE),"Not Found")</f>
        <v>0</v>
      </c>
      <c r="J191" t="str">
        <f t="shared" si="2"/>
        <v>Matching</v>
      </c>
    </row>
    <row r="192" spans="1:10" x14ac:dyDescent="0.35">
      <c r="A192" t="s">
        <v>189</v>
      </c>
      <c r="B192">
        <v>0</v>
      </c>
      <c r="C192" t="s">
        <v>376</v>
      </c>
      <c r="D192">
        <v>79</v>
      </c>
      <c r="F192" s="1" t="s">
        <v>100</v>
      </c>
      <c r="G192">
        <v>0</v>
      </c>
      <c r="I192">
        <f>IF(COUNTIF(Sheet2!A:A,F192)&gt;0,VLOOKUP(F192,Sheet2!A:B,2,FALSE),"Not Found")</f>
        <v>0</v>
      </c>
      <c r="J192" t="str">
        <f t="shared" si="2"/>
        <v>Matching</v>
      </c>
    </row>
    <row r="193" spans="1:10" x14ac:dyDescent="0.35">
      <c r="A193" t="s">
        <v>190</v>
      </c>
      <c r="B193">
        <v>0</v>
      </c>
      <c r="C193" t="s">
        <v>376</v>
      </c>
      <c r="D193">
        <v>79</v>
      </c>
      <c r="F193" s="1" t="s">
        <v>48</v>
      </c>
      <c r="G193">
        <v>0</v>
      </c>
      <c r="I193">
        <f>IF(COUNTIF(Sheet2!A:A,F193)&gt;0,VLOOKUP(F193,Sheet2!A:B,2,FALSE),"Not Found")</f>
        <v>0</v>
      </c>
      <c r="J193" t="str">
        <f t="shared" si="2"/>
        <v>Matching</v>
      </c>
    </row>
    <row r="194" spans="1:10" x14ac:dyDescent="0.35">
      <c r="A194" t="s">
        <v>191</v>
      </c>
      <c r="B194">
        <v>0</v>
      </c>
      <c r="C194" t="s">
        <v>376</v>
      </c>
      <c r="D194">
        <v>79</v>
      </c>
      <c r="F194" s="1" t="s">
        <v>304</v>
      </c>
      <c r="G194">
        <v>0</v>
      </c>
      <c r="I194">
        <f>IF(COUNTIF(Sheet2!A:A,F194)&gt;0,VLOOKUP(F194,Sheet2!A:B,2,FALSE),"Not Found")</f>
        <v>0</v>
      </c>
      <c r="J194" t="str">
        <f t="shared" si="2"/>
        <v>Matching</v>
      </c>
    </row>
    <row r="195" spans="1:10" x14ac:dyDescent="0.35">
      <c r="A195" t="s">
        <v>2</v>
      </c>
      <c r="B195">
        <v>0</v>
      </c>
      <c r="C195" t="s">
        <v>418</v>
      </c>
      <c r="D195">
        <v>62</v>
      </c>
      <c r="F195" s="1" t="s">
        <v>145</v>
      </c>
      <c r="G195">
        <v>0</v>
      </c>
      <c r="I195">
        <f>IF(COUNTIF(Sheet2!A:A,F195)&gt;0,VLOOKUP(F195,Sheet2!A:B,2,FALSE),"Not Found")</f>
        <v>0</v>
      </c>
      <c r="J195" t="str">
        <f t="shared" ref="J195:J258" si="3">IF(G195=I195,"Matching","Mis Match")</f>
        <v>Matching</v>
      </c>
    </row>
    <row r="196" spans="1:10" x14ac:dyDescent="0.35">
      <c r="A196" t="s">
        <v>192</v>
      </c>
      <c r="B196">
        <v>0</v>
      </c>
      <c r="C196" t="s">
        <v>430</v>
      </c>
      <c r="D196">
        <v>61</v>
      </c>
      <c r="F196" s="1" t="s">
        <v>101</v>
      </c>
      <c r="G196">
        <v>0</v>
      </c>
      <c r="I196">
        <f>IF(COUNTIF(Sheet2!A:A,F196)&gt;0,VLOOKUP(F196,Sheet2!A:B,2,FALSE),"Not Found")</f>
        <v>0</v>
      </c>
      <c r="J196" t="str">
        <f t="shared" si="3"/>
        <v>Matching</v>
      </c>
    </row>
    <row r="197" spans="1:10" x14ac:dyDescent="0.35">
      <c r="A197" t="s">
        <v>193</v>
      </c>
      <c r="B197">
        <v>0</v>
      </c>
      <c r="C197" t="s">
        <v>431</v>
      </c>
      <c r="D197">
        <v>57</v>
      </c>
      <c r="F197" s="1" t="s">
        <v>316</v>
      </c>
      <c r="G197">
        <v>0</v>
      </c>
      <c r="I197">
        <f>IF(COUNTIF(Sheet2!A:A,F197)&gt;0,VLOOKUP(F197,Sheet2!A:B,2,FALSE),"Not Found")</f>
        <v>0</v>
      </c>
      <c r="J197" t="str">
        <f t="shared" si="3"/>
        <v>Matching</v>
      </c>
    </row>
    <row r="198" spans="1:10" x14ac:dyDescent="0.35">
      <c r="A198" t="s">
        <v>194</v>
      </c>
      <c r="B198">
        <v>0</v>
      </c>
      <c r="C198" t="s">
        <v>359</v>
      </c>
      <c r="D198">
        <v>5</v>
      </c>
      <c r="F198" s="1" t="s">
        <v>148</v>
      </c>
      <c r="G198">
        <v>0</v>
      </c>
      <c r="I198">
        <f>IF(COUNTIF(Sheet2!A:A,F198)&gt;0,VLOOKUP(F198,Sheet2!A:B,2,FALSE),"Not Found")</f>
        <v>0</v>
      </c>
      <c r="J198" t="str">
        <f t="shared" si="3"/>
        <v>Matching</v>
      </c>
    </row>
    <row r="199" spans="1:10" x14ac:dyDescent="0.35">
      <c r="A199" t="s">
        <v>195</v>
      </c>
      <c r="B199">
        <v>0</v>
      </c>
      <c r="C199" t="s">
        <v>423</v>
      </c>
      <c r="D199">
        <v>37</v>
      </c>
      <c r="F199" s="1" t="s">
        <v>191</v>
      </c>
      <c r="G199">
        <v>0</v>
      </c>
      <c r="I199">
        <f>IF(COUNTIF(Sheet2!A:A,F199)&gt;0,VLOOKUP(F199,Sheet2!A:B,2,FALSE),"Not Found")</f>
        <v>0</v>
      </c>
      <c r="J199" t="str">
        <f t="shared" si="3"/>
        <v>Matching</v>
      </c>
    </row>
    <row r="200" spans="1:10" x14ac:dyDescent="0.35">
      <c r="A200" t="s">
        <v>196</v>
      </c>
      <c r="B200">
        <v>0</v>
      </c>
      <c r="C200" t="s">
        <v>409</v>
      </c>
      <c r="D200">
        <v>38</v>
      </c>
      <c r="F200" s="1" t="s">
        <v>271</v>
      </c>
      <c r="G200">
        <v>0</v>
      </c>
      <c r="I200">
        <f>IF(COUNTIF(Sheet2!A:A,F200)&gt;0,VLOOKUP(F200,Sheet2!A:B,2,FALSE),"Not Found")</f>
        <v>0</v>
      </c>
      <c r="J200" t="str">
        <f t="shared" si="3"/>
        <v>Matching</v>
      </c>
    </row>
    <row r="201" spans="1:10" x14ac:dyDescent="0.35">
      <c r="A201" t="s">
        <v>197</v>
      </c>
      <c r="B201">
        <v>0</v>
      </c>
      <c r="C201" t="s">
        <v>432</v>
      </c>
      <c r="D201">
        <v>31</v>
      </c>
      <c r="F201" s="1" t="s">
        <v>342</v>
      </c>
      <c r="G201">
        <v>0</v>
      </c>
      <c r="I201">
        <f>IF(COUNTIF(Sheet2!A:A,F201)&gt;0,VLOOKUP(F201,Sheet2!A:B,2,FALSE),"Not Found")</f>
        <v>0</v>
      </c>
      <c r="J201" t="str">
        <f t="shared" si="3"/>
        <v>Matching</v>
      </c>
    </row>
    <row r="202" spans="1:10" x14ac:dyDescent="0.35">
      <c r="A202" t="s">
        <v>198</v>
      </c>
      <c r="B202">
        <v>0</v>
      </c>
      <c r="C202" t="s">
        <v>410</v>
      </c>
      <c r="D202">
        <v>32</v>
      </c>
      <c r="F202" s="1" t="s">
        <v>259</v>
      </c>
      <c r="G202">
        <v>0</v>
      </c>
      <c r="I202">
        <f>IF(COUNTIF(Sheet2!A:A,F202)&gt;0,VLOOKUP(F202,Sheet2!A:B,2,FALSE),"Not Found")</f>
        <v>0</v>
      </c>
      <c r="J202" t="str">
        <f t="shared" si="3"/>
        <v>Matching</v>
      </c>
    </row>
    <row r="203" spans="1:10" x14ac:dyDescent="0.35">
      <c r="A203" t="s">
        <v>199</v>
      </c>
      <c r="B203">
        <v>0</v>
      </c>
      <c r="C203" t="s">
        <v>396</v>
      </c>
      <c r="D203">
        <v>27</v>
      </c>
      <c r="F203" s="1" t="s">
        <v>130</v>
      </c>
      <c r="G203">
        <v>0</v>
      </c>
      <c r="I203">
        <f>IF(COUNTIF(Sheet2!A:A,F203)&gt;0,VLOOKUP(F203,Sheet2!A:B,2,FALSE),"Not Found")</f>
        <v>0</v>
      </c>
      <c r="J203" t="str">
        <f t="shared" si="3"/>
        <v>Matching</v>
      </c>
    </row>
    <row r="204" spans="1:10" x14ac:dyDescent="0.35">
      <c r="A204" t="s">
        <v>200</v>
      </c>
      <c r="B204">
        <v>0</v>
      </c>
      <c r="C204" t="s">
        <v>433</v>
      </c>
      <c r="D204">
        <v>28</v>
      </c>
      <c r="F204" s="1" t="s">
        <v>339</v>
      </c>
      <c r="G204">
        <v>0</v>
      </c>
      <c r="I204">
        <f>IF(COUNTIF(Sheet2!A:A,F204)&gt;0,VLOOKUP(F204,Sheet2!A:B,2,FALSE),"Not Found")</f>
        <v>0</v>
      </c>
      <c r="J204" t="str">
        <f t="shared" si="3"/>
        <v>Matching</v>
      </c>
    </row>
    <row r="205" spans="1:10" x14ac:dyDescent="0.35">
      <c r="A205" t="s">
        <v>201</v>
      </c>
      <c r="B205">
        <v>1</v>
      </c>
      <c r="C205" t="s">
        <v>366</v>
      </c>
      <c r="D205">
        <v>85</v>
      </c>
      <c r="F205" s="1" t="s">
        <v>301</v>
      </c>
      <c r="G205">
        <v>0</v>
      </c>
      <c r="I205">
        <f>IF(COUNTIF(Sheet2!A:A,F205)&gt;0,VLOOKUP(F205,Sheet2!A:B,2,FALSE),"Not Found")</f>
        <v>0</v>
      </c>
      <c r="J205" t="str">
        <f t="shared" si="3"/>
        <v>Matching</v>
      </c>
    </row>
    <row r="206" spans="1:10" x14ac:dyDescent="0.35">
      <c r="A206" t="s">
        <v>117</v>
      </c>
      <c r="B206">
        <v>0</v>
      </c>
      <c r="C206" t="s">
        <v>434</v>
      </c>
      <c r="D206">
        <v>83</v>
      </c>
      <c r="F206" s="1" t="s">
        <v>31</v>
      </c>
      <c r="G206">
        <v>0</v>
      </c>
      <c r="I206">
        <f>IF(COUNTIF(Sheet2!A:A,F206)&gt;0,VLOOKUP(F206,Sheet2!A:B,2,FALSE),"Not Found")</f>
        <v>0</v>
      </c>
      <c r="J206" t="str">
        <f t="shared" si="3"/>
        <v>Matching</v>
      </c>
    </row>
    <row r="207" spans="1:10" x14ac:dyDescent="0.35">
      <c r="A207" t="s">
        <v>202</v>
      </c>
      <c r="B207">
        <v>0</v>
      </c>
      <c r="C207" t="s">
        <v>435</v>
      </c>
      <c r="D207">
        <v>68</v>
      </c>
      <c r="F207" s="1" t="s">
        <v>81</v>
      </c>
      <c r="G207">
        <v>0</v>
      </c>
      <c r="I207">
        <f>IF(COUNTIF(Sheet2!A:A,F207)&gt;0,VLOOKUP(F207,Sheet2!A:B,2,FALSE),"Not Found")</f>
        <v>0</v>
      </c>
      <c r="J207" t="str">
        <f t="shared" si="3"/>
        <v>Matching</v>
      </c>
    </row>
    <row r="208" spans="1:10" x14ac:dyDescent="0.35">
      <c r="A208" t="s">
        <v>203</v>
      </c>
      <c r="B208">
        <v>0</v>
      </c>
      <c r="C208" t="s">
        <v>399</v>
      </c>
      <c r="D208">
        <v>100</v>
      </c>
      <c r="F208" s="1" t="s">
        <v>82</v>
      </c>
      <c r="G208">
        <v>0</v>
      </c>
      <c r="I208">
        <f>IF(COUNTIF(Sheet2!A:A,F208)&gt;0,VLOOKUP(F208,Sheet2!A:B,2,FALSE),"Not Found")</f>
        <v>0</v>
      </c>
      <c r="J208" t="str">
        <f t="shared" si="3"/>
        <v>Matching</v>
      </c>
    </row>
    <row r="209" spans="1:10" x14ac:dyDescent="0.35">
      <c r="A209" t="s">
        <v>204</v>
      </c>
      <c r="B209">
        <v>0</v>
      </c>
      <c r="C209" t="s">
        <v>399</v>
      </c>
      <c r="D209">
        <v>100</v>
      </c>
      <c r="F209" s="1" t="s">
        <v>181</v>
      </c>
      <c r="G209">
        <v>0</v>
      </c>
      <c r="I209">
        <f>IF(COUNTIF(Sheet2!A:A,F209)&gt;0,VLOOKUP(F209,Sheet2!A:B,2,FALSE),"Not Found")</f>
        <v>0</v>
      </c>
      <c r="J209" t="str">
        <f t="shared" si="3"/>
        <v>Matching</v>
      </c>
    </row>
    <row r="210" spans="1:10" x14ac:dyDescent="0.35">
      <c r="A210" t="s">
        <v>205</v>
      </c>
      <c r="B210">
        <v>0</v>
      </c>
      <c r="C210" t="s">
        <v>370</v>
      </c>
      <c r="D210">
        <v>86</v>
      </c>
      <c r="F210" s="1" t="s">
        <v>340</v>
      </c>
      <c r="G210">
        <v>0</v>
      </c>
      <c r="I210">
        <f>IF(COUNTIF(Sheet2!A:A,F210)&gt;0,VLOOKUP(F210,Sheet2!A:B,2,FALSE),"Not Found")</f>
        <v>0</v>
      </c>
      <c r="J210" t="str">
        <f t="shared" si="3"/>
        <v>Matching</v>
      </c>
    </row>
    <row r="211" spans="1:10" x14ac:dyDescent="0.35">
      <c r="A211" t="s">
        <v>206</v>
      </c>
      <c r="B211">
        <v>0</v>
      </c>
      <c r="C211" t="s">
        <v>370</v>
      </c>
      <c r="D211">
        <v>86</v>
      </c>
      <c r="F211" s="1" t="s">
        <v>341</v>
      </c>
      <c r="G211">
        <v>0</v>
      </c>
      <c r="I211">
        <f>IF(COUNTIF(Sheet2!A:A,F211)&gt;0,VLOOKUP(F211,Sheet2!A:B,2,FALSE),"Not Found")</f>
        <v>0</v>
      </c>
      <c r="J211" t="str">
        <f t="shared" si="3"/>
        <v>Matching</v>
      </c>
    </row>
    <row r="212" spans="1:10" x14ac:dyDescent="0.35">
      <c r="A212" t="s">
        <v>207</v>
      </c>
      <c r="B212">
        <v>5764</v>
      </c>
      <c r="C212" t="s">
        <v>371</v>
      </c>
      <c r="D212">
        <v>1</v>
      </c>
      <c r="F212" s="1" t="s">
        <v>305</v>
      </c>
      <c r="G212">
        <v>0</v>
      </c>
      <c r="I212">
        <f>IF(COUNTIF(Sheet2!A:A,F212)&gt;0,VLOOKUP(F212,Sheet2!A:B,2,FALSE),"Not Found")</f>
        <v>0</v>
      </c>
      <c r="J212" t="str">
        <f t="shared" si="3"/>
        <v>Matching</v>
      </c>
    </row>
    <row r="213" spans="1:10" x14ac:dyDescent="0.35">
      <c r="A213" t="s">
        <v>208</v>
      </c>
      <c r="B213">
        <v>10833774</v>
      </c>
      <c r="C213" t="s">
        <v>371</v>
      </c>
      <c r="D213">
        <v>1</v>
      </c>
      <c r="F213" s="1" t="s">
        <v>302</v>
      </c>
      <c r="G213">
        <v>0</v>
      </c>
      <c r="I213">
        <f>IF(COUNTIF(Sheet2!A:A,F213)&gt;0,VLOOKUP(F213,Sheet2!A:B,2,FALSE),"Not Found")</f>
        <v>0</v>
      </c>
      <c r="J213" t="str">
        <f t="shared" si="3"/>
        <v>Matching</v>
      </c>
    </row>
    <row r="214" spans="1:10" x14ac:dyDescent="0.35">
      <c r="A214" t="s">
        <v>209</v>
      </c>
      <c r="B214">
        <v>999</v>
      </c>
      <c r="C214" t="s">
        <v>371</v>
      </c>
      <c r="D214">
        <v>1</v>
      </c>
      <c r="F214" s="1" t="s">
        <v>317</v>
      </c>
      <c r="G214">
        <v>0</v>
      </c>
      <c r="I214">
        <f>IF(COUNTIF(Sheet2!A:A,F214)&gt;0,VLOOKUP(F214,Sheet2!A:B,2,FALSE),"Not Found")</f>
        <v>0</v>
      </c>
      <c r="J214" t="str">
        <f t="shared" si="3"/>
        <v>Matching</v>
      </c>
    </row>
    <row r="215" spans="1:10" x14ac:dyDescent="0.35">
      <c r="A215" t="s">
        <v>210</v>
      </c>
      <c r="B215">
        <v>0</v>
      </c>
      <c r="C215" t="s">
        <v>372</v>
      </c>
      <c r="D215">
        <v>42</v>
      </c>
      <c r="F215" s="1" t="s">
        <v>103</v>
      </c>
      <c r="G215">
        <v>0</v>
      </c>
      <c r="I215">
        <f>IF(COUNTIF(Sheet2!A:A,F215)&gt;0,VLOOKUP(F215,Sheet2!A:B,2,FALSE),"Not Found")</f>
        <v>0</v>
      </c>
      <c r="J215" t="str">
        <f t="shared" si="3"/>
        <v>Matching</v>
      </c>
    </row>
    <row r="216" spans="1:10" x14ac:dyDescent="0.35">
      <c r="A216" t="s">
        <v>211</v>
      </c>
      <c r="B216">
        <v>0</v>
      </c>
      <c r="C216" t="s">
        <v>372</v>
      </c>
      <c r="D216">
        <v>42</v>
      </c>
      <c r="F216" s="1" t="s">
        <v>348</v>
      </c>
      <c r="G216">
        <v>0</v>
      </c>
      <c r="I216">
        <f>IF(COUNTIF(Sheet2!A:A,F216)&gt;0,VLOOKUP(F216,Sheet2!A:B,2,FALSE),"Not Found")</f>
        <v>0</v>
      </c>
      <c r="J216" t="str">
        <f t="shared" si="3"/>
        <v>Matching</v>
      </c>
    </row>
    <row r="217" spans="1:10" x14ac:dyDescent="0.35">
      <c r="A217" t="s">
        <v>212</v>
      </c>
      <c r="B217">
        <v>0</v>
      </c>
      <c r="C217" t="s">
        <v>372</v>
      </c>
      <c r="D217">
        <v>42</v>
      </c>
      <c r="F217" s="1" t="s">
        <v>146</v>
      </c>
      <c r="G217">
        <v>0</v>
      </c>
      <c r="I217">
        <f>IF(COUNTIF(Sheet2!A:A,F217)&gt;0,VLOOKUP(F217,Sheet2!A:B,2,FALSE),"Not Found")</f>
        <v>0</v>
      </c>
      <c r="J217" t="str">
        <f t="shared" si="3"/>
        <v>Matching</v>
      </c>
    </row>
    <row r="218" spans="1:10" x14ac:dyDescent="0.35">
      <c r="A218" t="s">
        <v>213</v>
      </c>
      <c r="B218">
        <v>0</v>
      </c>
      <c r="C218" t="s">
        <v>372</v>
      </c>
      <c r="D218">
        <v>42</v>
      </c>
      <c r="F218" s="1" t="s">
        <v>177</v>
      </c>
      <c r="G218">
        <v>0</v>
      </c>
      <c r="I218">
        <f>IF(COUNTIF(Sheet2!A:A,F218)&gt;0,VLOOKUP(F218,Sheet2!A:B,2,FALSE),"Not Found")</f>
        <v>0</v>
      </c>
      <c r="J218" t="str">
        <f t="shared" si="3"/>
        <v>Matching</v>
      </c>
    </row>
    <row r="219" spans="1:10" x14ac:dyDescent="0.35">
      <c r="A219" t="s">
        <v>214</v>
      </c>
      <c r="B219">
        <v>9035</v>
      </c>
      <c r="C219" t="s">
        <v>373</v>
      </c>
      <c r="D219">
        <v>114</v>
      </c>
      <c r="F219" s="1" t="s">
        <v>254</v>
      </c>
      <c r="G219">
        <v>0</v>
      </c>
      <c r="I219">
        <f>IF(COUNTIF(Sheet2!A:A,F219)&gt;0,VLOOKUP(F219,Sheet2!A:B,2,FALSE),"Not Found")</f>
        <v>0</v>
      </c>
      <c r="J219" t="str">
        <f t="shared" si="3"/>
        <v>Matching</v>
      </c>
    </row>
    <row r="220" spans="1:10" x14ac:dyDescent="0.35">
      <c r="A220" t="s">
        <v>181</v>
      </c>
      <c r="B220">
        <v>0</v>
      </c>
      <c r="C220" t="s">
        <v>429</v>
      </c>
      <c r="D220">
        <v>80</v>
      </c>
      <c r="F220" s="1" t="s">
        <v>210</v>
      </c>
      <c r="G220">
        <v>0</v>
      </c>
      <c r="I220">
        <f>IF(COUNTIF(Sheet2!A:A,F220)&gt;0,VLOOKUP(F220,Sheet2!A:B,2,FALSE),"Not Found")</f>
        <v>0</v>
      </c>
      <c r="J220" t="str">
        <f t="shared" si="3"/>
        <v>Matching</v>
      </c>
    </row>
    <row r="221" spans="1:10" x14ac:dyDescent="0.35">
      <c r="A221" t="s">
        <v>215</v>
      </c>
      <c r="B221">
        <v>0</v>
      </c>
      <c r="C221" t="s">
        <v>436</v>
      </c>
      <c r="D221">
        <v>104</v>
      </c>
      <c r="F221" s="1" t="s">
        <v>211</v>
      </c>
      <c r="G221">
        <v>0</v>
      </c>
      <c r="I221">
        <f>IF(COUNTIF(Sheet2!A:A,F221)&gt;0,VLOOKUP(F221,Sheet2!A:B,2,FALSE),"Not Found")</f>
        <v>0</v>
      </c>
      <c r="J221" t="str">
        <f t="shared" si="3"/>
        <v>Matching</v>
      </c>
    </row>
    <row r="222" spans="1:10" x14ac:dyDescent="0.35">
      <c r="A222" t="s">
        <v>216</v>
      </c>
      <c r="B222">
        <v>0</v>
      </c>
      <c r="C222" t="s">
        <v>376</v>
      </c>
      <c r="D222">
        <v>79</v>
      </c>
      <c r="F222" s="1" t="s">
        <v>29</v>
      </c>
      <c r="G222">
        <v>0</v>
      </c>
      <c r="I222">
        <f>IF(COUNTIF(Sheet2!A:A,F222)&gt;0,VLOOKUP(F222,Sheet2!A:B,2,FALSE),"Not Found")</f>
        <v>0</v>
      </c>
      <c r="J222" t="str">
        <f t="shared" si="3"/>
        <v>Matching</v>
      </c>
    </row>
    <row r="223" spans="1:10" x14ac:dyDescent="0.35">
      <c r="A223" t="s">
        <v>217</v>
      </c>
      <c r="B223">
        <v>0</v>
      </c>
      <c r="C223" t="s">
        <v>376</v>
      </c>
      <c r="D223">
        <v>79</v>
      </c>
      <c r="F223" s="1" t="s">
        <v>79</v>
      </c>
      <c r="G223">
        <v>0</v>
      </c>
      <c r="I223">
        <f>IF(COUNTIF(Sheet2!A:A,F223)&gt;0,VLOOKUP(F223,Sheet2!A:B,2,FALSE),"Not Found")</f>
        <v>0</v>
      </c>
      <c r="J223" t="str">
        <f t="shared" si="3"/>
        <v>Matching</v>
      </c>
    </row>
    <row r="224" spans="1:10" x14ac:dyDescent="0.35">
      <c r="A224" t="s">
        <v>218</v>
      </c>
      <c r="B224">
        <v>0</v>
      </c>
      <c r="C224" t="s">
        <v>376</v>
      </c>
      <c r="D224">
        <v>79</v>
      </c>
      <c r="F224" s="1" t="s">
        <v>212</v>
      </c>
      <c r="G224">
        <v>0</v>
      </c>
      <c r="I224">
        <f>IF(COUNTIF(Sheet2!A:A,F224)&gt;0,VLOOKUP(F224,Sheet2!A:B,2,FALSE),"Not Found")</f>
        <v>0</v>
      </c>
      <c r="J224" t="str">
        <f t="shared" si="3"/>
        <v>Matching</v>
      </c>
    </row>
    <row r="225" spans="1:10" x14ac:dyDescent="0.35">
      <c r="A225" t="s">
        <v>219</v>
      </c>
      <c r="B225">
        <v>0</v>
      </c>
      <c r="C225" t="s">
        <v>376</v>
      </c>
      <c r="D225">
        <v>79</v>
      </c>
      <c r="F225" s="1" t="s">
        <v>178</v>
      </c>
      <c r="G225">
        <v>0</v>
      </c>
      <c r="I225">
        <f>IF(COUNTIF(Sheet2!A:A,F225)&gt;0,VLOOKUP(F225,Sheet2!A:B,2,FALSE),"Not Found")</f>
        <v>0</v>
      </c>
      <c r="J225" t="str">
        <f t="shared" si="3"/>
        <v>Matching</v>
      </c>
    </row>
    <row r="226" spans="1:10" x14ac:dyDescent="0.35">
      <c r="A226" t="s">
        <v>220</v>
      </c>
      <c r="B226">
        <v>0</v>
      </c>
      <c r="C226" t="s">
        <v>376</v>
      </c>
      <c r="D226">
        <v>79</v>
      </c>
      <c r="F226" s="1" t="s">
        <v>213</v>
      </c>
      <c r="G226">
        <v>0</v>
      </c>
      <c r="I226">
        <f>IF(COUNTIF(Sheet2!A:A,F226)&gt;0,VLOOKUP(F226,Sheet2!A:B,2,FALSE),"Not Found")</f>
        <v>0</v>
      </c>
      <c r="J226" t="str">
        <f t="shared" si="3"/>
        <v>Matching</v>
      </c>
    </row>
    <row r="227" spans="1:10" x14ac:dyDescent="0.35">
      <c r="A227" t="s">
        <v>221</v>
      </c>
      <c r="B227">
        <v>0</v>
      </c>
      <c r="C227" t="s">
        <v>376</v>
      </c>
      <c r="D227">
        <v>79</v>
      </c>
      <c r="F227" s="1" t="s">
        <v>349</v>
      </c>
      <c r="G227">
        <v>0</v>
      </c>
      <c r="I227">
        <f>IF(COUNTIF(Sheet2!A:A,F227)&gt;0,VLOOKUP(F227,Sheet2!A:B,2,FALSE),"Not Found")</f>
        <v>0</v>
      </c>
      <c r="J227" t="str">
        <f t="shared" si="3"/>
        <v>Matching</v>
      </c>
    </row>
    <row r="228" spans="1:10" x14ac:dyDescent="0.35">
      <c r="A228" t="s">
        <v>222</v>
      </c>
      <c r="B228">
        <v>0</v>
      </c>
      <c r="C228" t="s">
        <v>376</v>
      </c>
      <c r="D228">
        <v>79</v>
      </c>
      <c r="F228" s="1" t="s">
        <v>352</v>
      </c>
      <c r="G228">
        <v>0</v>
      </c>
      <c r="I228">
        <f>IF(COUNTIF(Sheet2!A:A,F228)&gt;0,VLOOKUP(F228,Sheet2!A:B,2,FALSE),"Not Found")</f>
        <v>0</v>
      </c>
      <c r="J228" t="str">
        <f t="shared" si="3"/>
        <v>Matching</v>
      </c>
    </row>
    <row r="229" spans="1:10" x14ac:dyDescent="0.35">
      <c r="A229" t="s">
        <v>223</v>
      </c>
      <c r="B229">
        <v>0</v>
      </c>
      <c r="C229" t="s">
        <v>376</v>
      </c>
      <c r="D229">
        <v>79</v>
      </c>
      <c r="F229" s="1" t="s">
        <v>300</v>
      </c>
      <c r="G229">
        <v>0</v>
      </c>
      <c r="I229">
        <f>IF(COUNTIF(Sheet2!A:A,F229)&gt;0,VLOOKUP(F229,Sheet2!A:B,2,FALSE),"Not Found")</f>
        <v>0</v>
      </c>
      <c r="J229" t="str">
        <f t="shared" si="3"/>
        <v>Matching</v>
      </c>
    </row>
    <row r="230" spans="1:10" x14ac:dyDescent="0.35">
      <c r="A230" t="s">
        <v>224</v>
      </c>
      <c r="B230">
        <v>0</v>
      </c>
      <c r="C230" t="s">
        <v>437</v>
      </c>
      <c r="D230">
        <v>43</v>
      </c>
      <c r="F230" s="1" t="s">
        <v>179</v>
      </c>
      <c r="G230">
        <v>0</v>
      </c>
      <c r="I230">
        <f>IF(COUNTIF(Sheet2!A:A,F230)&gt;0,VLOOKUP(F230,Sheet2!A:B,2,FALSE),"Not Found")</f>
        <v>0</v>
      </c>
      <c r="J230" t="str">
        <f t="shared" si="3"/>
        <v>Matching</v>
      </c>
    </row>
    <row r="231" spans="1:10" x14ac:dyDescent="0.35">
      <c r="A231" t="s">
        <v>225</v>
      </c>
      <c r="B231">
        <v>0</v>
      </c>
      <c r="C231" t="s">
        <v>430</v>
      </c>
      <c r="D231">
        <v>61</v>
      </c>
      <c r="F231" s="1" t="s">
        <v>214</v>
      </c>
      <c r="G231">
        <v>9035</v>
      </c>
      <c r="I231">
        <f>IF(COUNTIF(Sheet2!A:A,F231)&gt;0,VLOOKUP(F231,Sheet2!A:B,2,FALSE),"Not Found")</f>
        <v>9035</v>
      </c>
      <c r="J231" t="str">
        <f t="shared" si="3"/>
        <v>Matching</v>
      </c>
    </row>
    <row r="232" spans="1:10" x14ac:dyDescent="0.35">
      <c r="A232" t="s">
        <v>226</v>
      </c>
      <c r="B232">
        <v>0</v>
      </c>
      <c r="C232" t="s">
        <v>419</v>
      </c>
      <c r="D232">
        <v>55</v>
      </c>
      <c r="F232" s="1" t="s">
        <v>80</v>
      </c>
      <c r="G232">
        <v>9771</v>
      </c>
      <c r="I232">
        <f>IF(COUNTIF(Sheet2!A:A,F232)&gt;0,VLOOKUP(F232,Sheet2!A:B,2,FALSE),"Not Found")</f>
        <v>9771</v>
      </c>
      <c r="J232" t="str">
        <f t="shared" si="3"/>
        <v>Matching</v>
      </c>
    </row>
    <row r="233" spans="1:10" x14ac:dyDescent="0.35">
      <c r="A233" t="s">
        <v>227</v>
      </c>
      <c r="B233">
        <v>0</v>
      </c>
      <c r="C233" t="s">
        <v>438</v>
      </c>
      <c r="D233">
        <v>82</v>
      </c>
      <c r="F233" s="1" t="s">
        <v>255</v>
      </c>
      <c r="G233">
        <v>0</v>
      </c>
      <c r="I233">
        <f>IF(COUNTIF(Sheet2!A:A,F233)&gt;0,VLOOKUP(F233,Sheet2!A:B,2,FALSE),"Not Found")</f>
        <v>0</v>
      </c>
      <c r="J233" t="str">
        <f t="shared" si="3"/>
        <v>Matching</v>
      </c>
    </row>
    <row r="234" spans="1:10" x14ac:dyDescent="0.35">
      <c r="A234" t="s">
        <v>228</v>
      </c>
      <c r="B234">
        <v>0</v>
      </c>
      <c r="C234" t="s">
        <v>439</v>
      </c>
      <c r="D234">
        <v>72</v>
      </c>
      <c r="F234" s="1" t="s">
        <v>299</v>
      </c>
      <c r="G234">
        <v>18178</v>
      </c>
      <c r="I234">
        <f>IF(COUNTIF(Sheet2!A:A,F234)&gt;0,VLOOKUP(F234,Sheet2!A:B,2,FALSE),"Not Found")</f>
        <v>18178</v>
      </c>
      <c r="J234" t="str">
        <f t="shared" si="3"/>
        <v>Matching</v>
      </c>
    </row>
    <row r="235" spans="1:10" x14ac:dyDescent="0.35">
      <c r="A235" t="s">
        <v>229</v>
      </c>
      <c r="B235">
        <v>0</v>
      </c>
      <c r="C235" t="s">
        <v>407</v>
      </c>
      <c r="D235">
        <v>73</v>
      </c>
      <c r="F235" s="1" t="s">
        <v>128</v>
      </c>
      <c r="G235">
        <v>9034</v>
      </c>
      <c r="I235">
        <f>IF(COUNTIF(Sheet2!A:A,F235)&gt;0,VLOOKUP(F235,Sheet2!A:B,2,FALSE),"Not Found")</f>
        <v>9034</v>
      </c>
      <c r="J235" t="str">
        <f t="shared" si="3"/>
        <v>Matching</v>
      </c>
    </row>
    <row r="236" spans="1:10" x14ac:dyDescent="0.35">
      <c r="A236" t="s">
        <v>230</v>
      </c>
      <c r="B236">
        <v>54</v>
      </c>
      <c r="C236" t="s">
        <v>386</v>
      </c>
      <c r="D236">
        <v>6</v>
      </c>
      <c r="F236" s="1" t="s">
        <v>30</v>
      </c>
      <c r="G236">
        <v>8919</v>
      </c>
      <c r="I236">
        <f>IF(COUNTIF(Sheet2!A:A,F236)&gt;0,VLOOKUP(F236,Sheet2!A:B,2,FALSE),"Not Found")</f>
        <v>8919</v>
      </c>
      <c r="J236" t="str">
        <f t="shared" si="3"/>
        <v>Matching</v>
      </c>
    </row>
    <row r="237" spans="1:10" x14ac:dyDescent="0.35">
      <c r="A237" t="s">
        <v>231</v>
      </c>
      <c r="B237">
        <v>0</v>
      </c>
      <c r="C237" t="s">
        <v>440</v>
      </c>
      <c r="D237">
        <v>8</v>
      </c>
      <c r="F237" s="1" t="s">
        <v>153</v>
      </c>
      <c r="G237">
        <v>0</v>
      </c>
      <c r="I237">
        <f>IF(COUNTIF(Sheet2!A:A,F237)&gt;0,VLOOKUP(F237,Sheet2!A:B,2,FALSE),"Not Found")</f>
        <v>0</v>
      </c>
      <c r="J237" t="str">
        <f t="shared" si="3"/>
        <v>Matching</v>
      </c>
    </row>
    <row r="238" spans="1:10" x14ac:dyDescent="0.35">
      <c r="A238" t="s">
        <v>232</v>
      </c>
      <c r="B238">
        <v>0</v>
      </c>
      <c r="C238" t="s">
        <v>361</v>
      </c>
      <c r="D238">
        <v>18</v>
      </c>
      <c r="F238" s="1" t="s">
        <v>66</v>
      </c>
      <c r="G238">
        <v>0</v>
      </c>
      <c r="I238">
        <f>IF(COUNTIF(Sheet2!A:A,F238)&gt;0,VLOOKUP(F238,Sheet2!A:B,2,FALSE),"Not Found")</f>
        <v>0</v>
      </c>
      <c r="J238" t="str">
        <f t="shared" si="3"/>
        <v>Matching</v>
      </c>
    </row>
    <row r="239" spans="1:10" x14ac:dyDescent="0.35">
      <c r="A239" t="s">
        <v>233</v>
      </c>
      <c r="B239">
        <v>0</v>
      </c>
      <c r="C239" t="s">
        <v>388</v>
      </c>
      <c r="D239">
        <v>15</v>
      </c>
      <c r="F239" s="1" t="s">
        <v>273</v>
      </c>
      <c r="G239">
        <v>0</v>
      </c>
      <c r="I239">
        <f>IF(COUNTIF(Sheet2!A:A,F239)&gt;0,VLOOKUP(F239,Sheet2!A:B,2,FALSE),"Not Found")</f>
        <v>0</v>
      </c>
      <c r="J239" t="str">
        <f t="shared" si="3"/>
        <v>Matching</v>
      </c>
    </row>
    <row r="240" spans="1:10" x14ac:dyDescent="0.35">
      <c r="A240" t="s">
        <v>234</v>
      </c>
      <c r="B240">
        <v>0</v>
      </c>
      <c r="C240" t="s">
        <v>363</v>
      </c>
      <c r="D240">
        <v>17</v>
      </c>
      <c r="F240" s="1" t="s">
        <v>298</v>
      </c>
      <c r="G240">
        <v>5216</v>
      </c>
      <c r="I240">
        <f>IF(COUNTIF(Sheet2!A:A,F240)&gt;0,VLOOKUP(F240,Sheet2!A:B,2,FALSE),"Not Found")</f>
        <v>5216</v>
      </c>
      <c r="J240" t="str">
        <f t="shared" si="3"/>
        <v>Matching</v>
      </c>
    </row>
    <row r="241" spans="1:10" x14ac:dyDescent="0.35">
      <c r="A241" t="s">
        <v>235</v>
      </c>
      <c r="B241">
        <v>0</v>
      </c>
      <c r="C241" t="s">
        <v>364</v>
      </c>
      <c r="D241">
        <v>36</v>
      </c>
      <c r="F241" s="1" t="s">
        <v>46</v>
      </c>
      <c r="G241">
        <v>0</v>
      </c>
      <c r="I241">
        <f>IF(COUNTIF(Sheet2!A:A,F241)&gt;0,VLOOKUP(F241,Sheet2!A:B,2,FALSE),"Not Found")</f>
        <v>0</v>
      </c>
      <c r="J241" t="str">
        <f t="shared" si="3"/>
        <v>Matching</v>
      </c>
    </row>
    <row r="242" spans="1:10" x14ac:dyDescent="0.35">
      <c r="A242" t="s">
        <v>236</v>
      </c>
      <c r="B242">
        <v>0</v>
      </c>
      <c r="C242" t="s">
        <v>441</v>
      </c>
      <c r="D242">
        <v>39</v>
      </c>
      <c r="F242" s="1" t="s">
        <v>296</v>
      </c>
      <c r="G242">
        <v>7918</v>
      </c>
      <c r="I242">
        <f>IF(COUNTIF(Sheet2!A:A,F242)&gt;0,VLOOKUP(F242,Sheet2!A:B,2,FALSE),"Not Found")</f>
        <v>7918</v>
      </c>
      <c r="J242" t="str">
        <f t="shared" si="3"/>
        <v>Matching</v>
      </c>
    </row>
    <row r="243" spans="1:10" x14ac:dyDescent="0.35">
      <c r="A243" t="s">
        <v>237</v>
      </c>
      <c r="B243">
        <v>0</v>
      </c>
      <c r="C243" t="s">
        <v>441</v>
      </c>
      <c r="D243">
        <v>39</v>
      </c>
      <c r="F243" s="1" t="s">
        <v>207</v>
      </c>
      <c r="G243">
        <v>5764</v>
      </c>
      <c r="I243">
        <f>IF(COUNTIF(Sheet2!A:A,F243)&gt;0,VLOOKUP(F243,Sheet2!A:B,2,FALSE),"Not Found")</f>
        <v>5764</v>
      </c>
      <c r="J243" t="str">
        <f t="shared" si="3"/>
        <v>Matching</v>
      </c>
    </row>
    <row r="244" spans="1:10" x14ac:dyDescent="0.35">
      <c r="A244" t="s">
        <v>238</v>
      </c>
      <c r="B244">
        <v>0</v>
      </c>
      <c r="C244" t="s">
        <v>391</v>
      </c>
      <c r="D244">
        <v>29</v>
      </c>
      <c r="F244" s="1" t="s">
        <v>297</v>
      </c>
      <c r="G244">
        <v>0</v>
      </c>
      <c r="I244">
        <f>IF(COUNTIF(Sheet2!A:A,F244)&gt;0,VLOOKUP(F244,Sheet2!A:B,2,FALSE),"Not Found")</f>
        <v>0</v>
      </c>
      <c r="J244" t="str">
        <f t="shared" si="3"/>
        <v>Matching</v>
      </c>
    </row>
    <row r="245" spans="1:10" x14ac:dyDescent="0.35">
      <c r="A245" t="s">
        <v>239</v>
      </c>
      <c r="B245">
        <v>0</v>
      </c>
      <c r="C245" t="s">
        <v>442</v>
      </c>
      <c r="D245">
        <v>20</v>
      </c>
      <c r="F245" s="1" t="s">
        <v>336</v>
      </c>
      <c r="G245">
        <v>0</v>
      </c>
      <c r="I245">
        <f>IF(COUNTIF(Sheet2!A:A,F245)&gt;0,VLOOKUP(F245,Sheet2!A:B,2,FALSE),"Not Found")</f>
        <v>0</v>
      </c>
      <c r="J245" t="str">
        <f t="shared" si="3"/>
        <v>Matching</v>
      </c>
    </row>
    <row r="246" spans="1:10" x14ac:dyDescent="0.35">
      <c r="A246" t="s">
        <v>240</v>
      </c>
      <c r="B246">
        <v>0</v>
      </c>
      <c r="C246" t="s">
        <v>395</v>
      </c>
      <c r="D246">
        <v>24</v>
      </c>
      <c r="F246" s="1" t="s">
        <v>147</v>
      </c>
      <c r="G246">
        <v>0</v>
      </c>
      <c r="I246">
        <f>IF(COUNTIF(Sheet2!A:A,F246)&gt;0,VLOOKUP(F246,Sheet2!A:B,2,FALSE),"Not Found")</f>
        <v>0</v>
      </c>
      <c r="J246" t="str">
        <f t="shared" si="3"/>
        <v>Matching</v>
      </c>
    </row>
    <row r="247" spans="1:10" x14ac:dyDescent="0.35">
      <c r="A247" t="s">
        <v>241</v>
      </c>
      <c r="B247">
        <v>0</v>
      </c>
      <c r="C247" t="s">
        <v>443</v>
      </c>
      <c r="D247">
        <v>26</v>
      </c>
      <c r="F247" s="1" t="s">
        <v>337</v>
      </c>
      <c r="G247">
        <v>0</v>
      </c>
      <c r="I247">
        <f>IF(COUNTIF(Sheet2!A:A,F247)&gt;0,VLOOKUP(F247,Sheet2!A:B,2,FALSE),"Not Found")</f>
        <v>0</v>
      </c>
      <c r="J247" t="str">
        <f t="shared" si="3"/>
        <v>Matching</v>
      </c>
    </row>
    <row r="248" spans="1:10" x14ac:dyDescent="0.35">
      <c r="A248" t="s">
        <v>242</v>
      </c>
      <c r="B248">
        <v>0</v>
      </c>
      <c r="C248" t="s">
        <v>443</v>
      </c>
      <c r="D248">
        <v>26</v>
      </c>
      <c r="F248" s="1" t="s">
        <v>327</v>
      </c>
      <c r="G248">
        <v>0</v>
      </c>
      <c r="I248">
        <f>IF(COUNTIF(Sheet2!A:A,F248)&gt;0,VLOOKUP(F248,Sheet2!A:B,2,FALSE),"Not Found")</f>
        <v>0</v>
      </c>
      <c r="J248" t="str">
        <f t="shared" si="3"/>
        <v>Matching</v>
      </c>
    </row>
    <row r="249" spans="1:10" x14ac:dyDescent="0.35">
      <c r="A249" t="s">
        <v>243</v>
      </c>
      <c r="B249">
        <v>0</v>
      </c>
      <c r="C249" t="s">
        <v>397</v>
      </c>
      <c r="D249">
        <v>4</v>
      </c>
      <c r="F249" s="1" t="s">
        <v>155</v>
      </c>
      <c r="G249">
        <v>0</v>
      </c>
      <c r="I249">
        <f>IF(COUNTIF(Sheet2!A:A,F249)&gt;0,VLOOKUP(F249,Sheet2!A:B,2,FALSE),"Not Found")</f>
        <v>0</v>
      </c>
      <c r="J249" t="str">
        <f t="shared" si="3"/>
        <v>Matching</v>
      </c>
    </row>
    <row r="250" spans="1:10" x14ac:dyDescent="0.35">
      <c r="A250" t="s">
        <v>244</v>
      </c>
      <c r="B250">
        <v>0</v>
      </c>
      <c r="C250" t="s">
        <v>444</v>
      </c>
      <c r="D250">
        <v>63</v>
      </c>
      <c r="F250" s="1" t="s">
        <v>280</v>
      </c>
      <c r="G250">
        <v>0</v>
      </c>
      <c r="I250">
        <f>IF(COUNTIF(Sheet2!A:A,F250)&gt;0,VLOOKUP(F250,Sheet2!A:B,2,FALSE),"Not Found")</f>
        <v>0</v>
      </c>
      <c r="J250" t="str">
        <f t="shared" si="3"/>
        <v>Matching</v>
      </c>
    </row>
    <row r="251" spans="1:10" x14ac:dyDescent="0.35">
      <c r="A251" t="s">
        <v>245</v>
      </c>
      <c r="B251">
        <v>0</v>
      </c>
      <c r="C251" t="s">
        <v>368</v>
      </c>
      <c r="D251">
        <v>99</v>
      </c>
      <c r="F251" s="1" t="s">
        <v>239</v>
      </c>
      <c r="G251">
        <v>0</v>
      </c>
      <c r="I251">
        <f>IF(COUNTIF(Sheet2!A:A,F251)&gt;0,VLOOKUP(F251,Sheet2!A:B,2,FALSE),"Not Found")</f>
        <v>0</v>
      </c>
      <c r="J251" t="str">
        <f t="shared" si="3"/>
        <v>Matching</v>
      </c>
    </row>
    <row r="252" spans="1:10" x14ac:dyDescent="0.35">
      <c r="A252" t="s">
        <v>246</v>
      </c>
      <c r="B252">
        <v>0</v>
      </c>
      <c r="C252" t="s">
        <v>370</v>
      </c>
      <c r="D252">
        <v>86</v>
      </c>
      <c r="F252" s="1" t="s">
        <v>283</v>
      </c>
      <c r="G252">
        <v>0</v>
      </c>
      <c r="I252">
        <f>IF(COUNTIF(Sheet2!A:A,F252)&gt;0,VLOOKUP(F252,Sheet2!A:B,2,FALSE),"Not Found")</f>
        <v>0</v>
      </c>
      <c r="J252" t="str">
        <f t="shared" si="3"/>
        <v>Matching</v>
      </c>
    </row>
    <row r="253" spans="1:10" x14ac:dyDescent="0.35">
      <c r="A253" t="s">
        <v>247</v>
      </c>
      <c r="B253">
        <v>0</v>
      </c>
      <c r="C253" t="s">
        <v>370</v>
      </c>
      <c r="D253">
        <v>86</v>
      </c>
      <c r="F253" s="1" t="s">
        <v>12</v>
      </c>
      <c r="G253">
        <v>0</v>
      </c>
      <c r="I253">
        <f>IF(COUNTIF(Sheet2!A:A,F253)&gt;0,VLOOKUP(F253,Sheet2!A:B,2,FALSE),"Not Found")</f>
        <v>0</v>
      </c>
      <c r="J253" t="str">
        <f t="shared" si="3"/>
        <v>Matching</v>
      </c>
    </row>
    <row r="254" spans="1:10" x14ac:dyDescent="0.35">
      <c r="A254" t="s">
        <v>248</v>
      </c>
      <c r="B254">
        <v>0</v>
      </c>
      <c r="C254" t="s">
        <v>370</v>
      </c>
      <c r="D254">
        <v>86</v>
      </c>
      <c r="F254" s="1" t="s">
        <v>285</v>
      </c>
      <c r="G254">
        <v>0</v>
      </c>
      <c r="I254">
        <f>IF(COUNTIF(Sheet2!A:A,F254)&gt;0,VLOOKUP(F254,Sheet2!A:B,2,FALSE),"Not Found")</f>
        <v>0</v>
      </c>
      <c r="J254" t="str">
        <f t="shared" si="3"/>
        <v>Matching</v>
      </c>
    </row>
    <row r="255" spans="1:10" x14ac:dyDescent="0.35">
      <c r="A255" t="s">
        <v>249</v>
      </c>
      <c r="B255">
        <v>0</v>
      </c>
      <c r="C255" t="s">
        <v>370</v>
      </c>
      <c r="D255">
        <v>86</v>
      </c>
      <c r="F255" s="1" t="s">
        <v>67</v>
      </c>
      <c r="G255">
        <v>0</v>
      </c>
      <c r="I255">
        <f>IF(COUNTIF(Sheet2!A:A,F255)&gt;0,VLOOKUP(F255,Sheet2!A:B,2,FALSE),"Not Found")</f>
        <v>0</v>
      </c>
      <c r="J255" t="str">
        <f t="shared" si="3"/>
        <v>Matching</v>
      </c>
    </row>
    <row r="256" spans="1:10" x14ac:dyDescent="0.35">
      <c r="A256" t="s">
        <v>250</v>
      </c>
      <c r="B256">
        <v>0</v>
      </c>
      <c r="C256" t="s">
        <v>370</v>
      </c>
      <c r="D256">
        <v>86</v>
      </c>
      <c r="F256" s="1" t="s">
        <v>158</v>
      </c>
      <c r="G256">
        <v>0</v>
      </c>
      <c r="I256">
        <f>IF(COUNTIF(Sheet2!A:A,F256)&gt;0,VLOOKUP(F256,Sheet2!A:B,2,FALSE),"Not Found")</f>
        <v>0</v>
      </c>
      <c r="J256" t="str">
        <f t="shared" si="3"/>
        <v>Matching</v>
      </c>
    </row>
    <row r="257" spans="1:10" x14ac:dyDescent="0.35">
      <c r="A257" t="s">
        <v>251</v>
      </c>
      <c r="B257">
        <v>0</v>
      </c>
      <c r="C257" t="s">
        <v>371</v>
      </c>
      <c r="D257">
        <v>1</v>
      </c>
      <c r="F257" s="1" t="s">
        <v>159</v>
      </c>
      <c r="G257">
        <v>0</v>
      </c>
      <c r="I257">
        <f>IF(COUNTIF(Sheet2!A:A,F257)&gt;0,VLOOKUP(F257,Sheet2!A:B,2,FALSE),"Not Found")</f>
        <v>0</v>
      </c>
      <c r="J257" t="str">
        <f t="shared" si="3"/>
        <v>Matching</v>
      </c>
    </row>
    <row r="258" spans="1:10" x14ac:dyDescent="0.35">
      <c r="A258" t="s">
        <v>252</v>
      </c>
      <c r="B258">
        <v>92492</v>
      </c>
      <c r="C258" t="s">
        <v>371</v>
      </c>
      <c r="D258">
        <v>1</v>
      </c>
      <c r="F258" s="1" t="s">
        <v>286</v>
      </c>
      <c r="G258">
        <v>0</v>
      </c>
      <c r="I258">
        <f>IF(COUNTIF(Sheet2!A:A,F258)&gt;0,VLOOKUP(F258,Sheet2!A:B,2,FALSE),"Not Found")</f>
        <v>0</v>
      </c>
      <c r="J258" t="str">
        <f t="shared" si="3"/>
        <v>Matching</v>
      </c>
    </row>
    <row r="259" spans="1:10" x14ac:dyDescent="0.35">
      <c r="A259" t="s">
        <v>253</v>
      </c>
      <c r="B259">
        <v>14517983</v>
      </c>
      <c r="C259" t="s">
        <v>371</v>
      </c>
      <c r="D259">
        <v>1</v>
      </c>
      <c r="F259" s="1" t="s">
        <v>68</v>
      </c>
      <c r="G259">
        <v>0</v>
      </c>
      <c r="I259">
        <f>IF(COUNTIF(Sheet2!A:A,F259)&gt;0,VLOOKUP(F259,Sheet2!A:B,2,FALSE),"Not Found")</f>
        <v>0</v>
      </c>
      <c r="J259" t="str">
        <f t="shared" ref="J259:J322" si="4">IF(G259=I259,"Matching","Mis Match")</f>
        <v>Matching</v>
      </c>
    </row>
    <row r="260" spans="1:10" x14ac:dyDescent="0.35">
      <c r="A260" t="s">
        <v>254</v>
      </c>
      <c r="B260">
        <v>0</v>
      </c>
      <c r="C260" t="s">
        <v>372</v>
      </c>
      <c r="D260">
        <v>42</v>
      </c>
      <c r="F260" s="1" t="s">
        <v>240</v>
      </c>
      <c r="G260">
        <v>0</v>
      </c>
      <c r="I260">
        <f>IF(COUNTIF(Sheet2!A:A,F260)&gt;0,VLOOKUP(F260,Sheet2!A:B,2,FALSE),"Not Found")</f>
        <v>0</v>
      </c>
      <c r="J260" t="str">
        <f t="shared" si="4"/>
        <v>Matching</v>
      </c>
    </row>
    <row r="261" spans="1:10" x14ac:dyDescent="0.35">
      <c r="A261" t="s">
        <v>255</v>
      </c>
      <c r="B261">
        <v>0</v>
      </c>
      <c r="C261" t="s">
        <v>373</v>
      </c>
      <c r="D261">
        <v>114</v>
      </c>
      <c r="F261" s="1" t="s">
        <v>113</v>
      </c>
      <c r="G261">
        <v>0</v>
      </c>
      <c r="I261">
        <f>IF(COUNTIF(Sheet2!A:A,F261)&gt;0,VLOOKUP(F261,Sheet2!A:B,2,FALSE),"Not Found")</f>
        <v>0</v>
      </c>
      <c r="J261" t="str">
        <f t="shared" si="4"/>
        <v>Matching</v>
      </c>
    </row>
    <row r="262" spans="1:10" x14ac:dyDescent="0.35">
      <c r="A262" t="s">
        <v>256</v>
      </c>
      <c r="B262">
        <v>0</v>
      </c>
      <c r="C262" t="s">
        <v>373</v>
      </c>
      <c r="D262">
        <v>114</v>
      </c>
      <c r="F262" s="1" t="s">
        <v>114</v>
      </c>
      <c r="G262">
        <v>0</v>
      </c>
      <c r="I262">
        <f>IF(COUNTIF(Sheet2!A:A,F262)&gt;0,VLOOKUP(F262,Sheet2!A:B,2,FALSE),"Not Found")</f>
        <v>0</v>
      </c>
      <c r="J262" t="str">
        <f t="shared" si="4"/>
        <v>Matching</v>
      </c>
    </row>
    <row r="263" spans="1:10" x14ac:dyDescent="0.35">
      <c r="A263" t="s">
        <v>257</v>
      </c>
      <c r="B263">
        <v>0</v>
      </c>
      <c r="C263" t="s">
        <v>445</v>
      </c>
      <c r="D263">
        <v>101</v>
      </c>
      <c r="F263" s="1" t="s">
        <v>241</v>
      </c>
      <c r="G263">
        <v>0</v>
      </c>
      <c r="I263">
        <f>IF(COUNTIF(Sheet2!A:A,F263)&gt;0,VLOOKUP(F263,Sheet2!A:B,2,FALSE),"Not Found")</f>
        <v>0</v>
      </c>
      <c r="J263" t="str">
        <f t="shared" si="4"/>
        <v>Matching</v>
      </c>
    </row>
    <row r="264" spans="1:10" x14ac:dyDescent="0.35">
      <c r="A264" t="s">
        <v>258</v>
      </c>
      <c r="B264">
        <v>0</v>
      </c>
      <c r="C264" t="s">
        <v>446</v>
      </c>
      <c r="D264">
        <v>96</v>
      </c>
      <c r="F264" s="1" t="s">
        <v>242</v>
      </c>
      <c r="G264">
        <v>0</v>
      </c>
      <c r="I264">
        <f>IF(COUNTIF(Sheet2!A:A,F264)&gt;0,VLOOKUP(F264,Sheet2!A:B,2,FALSE),"Not Found")</f>
        <v>0</v>
      </c>
      <c r="J264" t="str">
        <f t="shared" si="4"/>
        <v>Matching</v>
      </c>
    </row>
    <row r="265" spans="1:10" x14ac:dyDescent="0.35">
      <c r="A265" t="s">
        <v>259</v>
      </c>
      <c r="B265">
        <v>0</v>
      </c>
      <c r="C265" t="s">
        <v>447</v>
      </c>
      <c r="D265">
        <v>97</v>
      </c>
      <c r="F265" s="1" t="s">
        <v>199</v>
      </c>
      <c r="G265">
        <v>0</v>
      </c>
      <c r="I265">
        <f>IF(COUNTIF(Sheet2!A:A,F265)&gt;0,VLOOKUP(F265,Sheet2!A:B,2,FALSE),"Not Found")</f>
        <v>0</v>
      </c>
      <c r="J265" t="str">
        <f t="shared" si="4"/>
        <v>Matching</v>
      </c>
    </row>
    <row r="266" spans="1:10" x14ac:dyDescent="0.35">
      <c r="A266" t="s">
        <v>260</v>
      </c>
      <c r="B266">
        <v>0</v>
      </c>
      <c r="C266" t="s">
        <v>376</v>
      </c>
      <c r="D266">
        <v>79</v>
      </c>
      <c r="F266" s="1" t="s">
        <v>69</v>
      </c>
      <c r="G266">
        <v>0</v>
      </c>
      <c r="I266">
        <f>IF(COUNTIF(Sheet2!A:A,F266)&gt;0,VLOOKUP(F266,Sheet2!A:B,2,FALSE),"Not Found")</f>
        <v>0</v>
      </c>
      <c r="J266" t="str">
        <f t="shared" si="4"/>
        <v>Matching</v>
      </c>
    </row>
    <row r="267" spans="1:10" x14ac:dyDescent="0.35">
      <c r="A267" t="s">
        <v>261</v>
      </c>
      <c r="B267">
        <v>0</v>
      </c>
      <c r="C267" t="s">
        <v>376</v>
      </c>
      <c r="D267">
        <v>79</v>
      </c>
      <c r="F267" s="1" t="s">
        <v>287</v>
      </c>
      <c r="G267">
        <v>0</v>
      </c>
      <c r="I267">
        <f>IF(COUNTIF(Sheet2!A:A,F267)&gt;0,VLOOKUP(F267,Sheet2!A:B,2,FALSE),"Not Found")</f>
        <v>0</v>
      </c>
      <c r="J267" t="str">
        <f t="shared" si="4"/>
        <v>Matching</v>
      </c>
    </row>
    <row r="268" spans="1:10" x14ac:dyDescent="0.35">
      <c r="A268" t="s">
        <v>262</v>
      </c>
      <c r="B268">
        <v>0</v>
      </c>
      <c r="C268" t="s">
        <v>376</v>
      </c>
      <c r="D268">
        <v>79</v>
      </c>
      <c r="F268" s="1" t="s">
        <v>200</v>
      </c>
      <c r="G268">
        <v>0</v>
      </c>
      <c r="I268">
        <f>IF(COUNTIF(Sheet2!A:A,F268)&gt;0,VLOOKUP(F268,Sheet2!A:B,2,FALSE),"Not Found")</f>
        <v>0</v>
      </c>
      <c r="J268" t="str">
        <f t="shared" si="4"/>
        <v>Matching</v>
      </c>
    </row>
    <row r="269" spans="1:10" x14ac:dyDescent="0.35">
      <c r="A269" t="s">
        <v>263</v>
      </c>
      <c r="B269">
        <v>0</v>
      </c>
      <c r="C269" t="s">
        <v>376</v>
      </c>
      <c r="D269">
        <v>79</v>
      </c>
      <c r="F269" s="1" t="s">
        <v>65</v>
      </c>
      <c r="G269">
        <v>0</v>
      </c>
      <c r="I269">
        <f>IF(COUNTIF(Sheet2!A:A,F269)&gt;0,VLOOKUP(F269,Sheet2!A:B,2,FALSE),"Not Found")</f>
        <v>0</v>
      </c>
      <c r="J269" t="str">
        <f t="shared" si="4"/>
        <v>Matching</v>
      </c>
    </row>
    <row r="270" spans="1:10" x14ac:dyDescent="0.35">
      <c r="A270" t="s">
        <v>264</v>
      </c>
      <c r="B270">
        <v>0</v>
      </c>
      <c r="C270" t="s">
        <v>376</v>
      </c>
      <c r="D270">
        <v>79</v>
      </c>
      <c r="F270" s="1" t="s">
        <v>64</v>
      </c>
      <c r="G270">
        <v>0</v>
      </c>
      <c r="I270">
        <f>IF(COUNTIF(Sheet2!A:A,F270)&gt;0,VLOOKUP(F270,Sheet2!A:B,2,FALSE),"Not Found")</f>
        <v>0</v>
      </c>
      <c r="J270" t="str">
        <f t="shared" si="4"/>
        <v>Matching</v>
      </c>
    </row>
    <row r="271" spans="1:10" x14ac:dyDescent="0.35">
      <c r="A271" t="s">
        <v>265</v>
      </c>
      <c r="B271">
        <v>0</v>
      </c>
      <c r="C271" t="s">
        <v>376</v>
      </c>
      <c r="D271">
        <v>79</v>
      </c>
      <c r="F271" s="1" t="s">
        <v>238</v>
      </c>
      <c r="G271">
        <v>0</v>
      </c>
      <c r="I271">
        <f>IF(COUNTIF(Sheet2!A:A,F271)&gt;0,VLOOKUP(F271,Sheet2!A:B,2,FALSE),"Not Found")</f>
        <v>0</v>
      </c>
      <c r="J271" t="str">
        <f t="shared" si="4"/>
        <v>Matching</v>
      </c>
    </row>
    <row r="272" spans="1:10" x14ac:dyDescent="0.35">
      <c r="A272" t="s">
        <v>266</v>
      </c>
      <c r="B272">
        <v>0</v>
      </c>
      <c r="C272" t="s">
        <v>376</v>
      </c>
      <c r="D272">
        <v>79</v>
      </c>
      <c r="F272" s="1" t="s">
        <v>282</v>
      </c>
      <c r="G272">
        <v>0</v>
      </c>
      <c r="I272">
        <f>IF(COUNTIF(Sheet2!A:A,F272)&gt;0,VLOOKUP(F272,Sheet2!A:B,2,FALSE),"Not Found")</f>
        <v>0</v>
      </c>
      <c r="J272" t="str">
        <f t="shared" si="4"/>
        <v>Matching</v>
      </c>
    </row>
    <row r="273" spans="1:10" x14ac:dyDescent="0.35">
      <c r="A273" t="s">
        <v>267</v>
      </c>
      <c r="B273">
        <v>0</v>
      </c>
      <c r="C273" t="s">
        <v>376</v>
      </c>
      <c r="D273">
        <v>79</v>
      </c>
      <c r="F273" s="1" t="s">
        <v>329</v>
      </c>
      <c r="G273">
        <v>0</v>
      </c>
      <c r="I273">
        <f>IF(COUNTIF(Sheet2!A:A,F273)&gt;0,VLOOKUP(F273,Sheet2!A:B,2,FALSE),"Not Found")</f>
        <v>0</v>
      </c>
      <c r="J273" t="str">
        <f t="shared" si="4"/>
        <v>Matching</v>
      </c>
    </row>
    <row r="274" spans="1:10" x14ac:dyDescent="0.35">
      <c r="A274" t="s">
        <v>268</v>
      </c>
      <c r="B274">
        <v>0</v>
      </c>
      <c r="C274" t="s">
        <v>376</v>
      </c>
      <c r="D274">
        <v>79</v>
      </c>
      <c r="F274" s="1" t="s">
        <v>197</v>
      </c>
      <c r="G274">
        <v>0</v>
      </c>
      <c r="I274">
        <f>IF(COUNTIF(Sheet2!A:A,F274)&gt;0,VLOOKUP(F274,Sheet2!A:B,2,FALSE),"Not Found")</f>
        <v>0</v>
      </c>
      <c r="J274" t="str">
        <f t="shared" si="4"/>
        <v>Matching</v>
      </c>
    </row>
    <row r="275" spans="1:10" x14ac:dyDescent="0.35">
      <c r="A275" t="s">
        <v>269</v>
      </c>
      <c r="B275">
        <v>0</v>
      </c>
      <c r="C275" t="s">
        <v>376</v>
      </c>
      <c r="D275">
        <v>79</v>
      </c>
      <c r="F275" s="1" t="s">
        <v>198</v>
      </c>
      <c r="G275">
        <v>0</v>
      </c>
      <c r="I275">
        <f>IF(COUNTIF(Sheet2!A:A,F275)&gt;0,VLOOKUP(F275,Sheet2!A:B,2,FALSE),"Not Found")</f>
        <v>0</v>
      </c>
      <c r="J275" t="str">
        <f t="shared" si="4"/>
        <v>Matching</v>
      </c>
    </row>
    <row r="276" spans="1:10" x14ac:dyDescent="0.35">
      <c r="A276" t="s">
        <v>270</v>
      </c>
      <c r="B276">
        <v>0</v>
      </c>
      <c r="C276" t="s">
        <v>376</v>
      </c>
      <c r="D276">
        <v>79</v>
      </c>
      <c r="F276" s="1" t="s">
        <v>112</v>
      </c>
      <c r="G276">
        <v>0</v>
      </c>
      <c r="I276">
        <f>IF(COUNTIF(Sheet2!A:A,F276)&gt;0,VLOOKUP(F276,Sheet2!A:B,2,FALSE),"Not Found")</f>
        <v>0</v>
      </c>
      <c r="J276" t="str">
        <f t="shared" si="4"/>
        <v>Matching</v>
      </c>
    </row>
    <row r="277" spans="1:10" x14ac:dyDescent="0.35">
      <c r="A277" t="s">
        <v>271</v>
      </c>
      <c r="B277">
        <v>0</v>
      </c>
      <c r="C277" t="s">
        <v>376</v>
      </c>
      <c r="D277">
        <v>79</v>
      </c>
      <c r="F277" s="1" t="s">
        <v>156</v>
      </c>
      <c r="G277">
        <v>0</v>
      </c>
      <c r="I277">
        <f>IF(COUNTIF(Sheet2!A:A,F277)&gt;0,VLOOKUP(F277,Sheet2!A:B,2,FALSE),"Not Found")</f>
        <v>0</v>
      </c>
      <c r="J277" t="str">
        <f t="shared" si="4"/>
        <v>Matching</v>
      </c>
    </row>
    <row r="278" spans="1:10" x14ac:dyDescent="0.35">
      <c r="A278" t="s">
        <v>1</v>
      </c>
      <c r="B278">
        <v>0</v>
      </c>
      <c r="C278" t="s">
        <v>418</v>
      </c>
      <c r="D278">
        <v>62</v>
      </c>
      <c r="F278" s="1" t="s">
        <v>62</v>
      </c>
      <c r="G278">
        <v>0</v>
      </c>
      <c r="I278">
        <f>IF(COUNTIF(Sheet2!A:A,F278)&gt;0,VLOOKUP(F278,Sheet2!A:B,2,FALSE),"Not Found")</f>
        <v>0</v>
      </c>
      <c r="J278" t="str">
        <f t="shared" si="4"/>
        <v>Matching</v>
      </c>
    </row>
    <row r="279" spans="1:10" x14ac:dyDescent="0.35">
      <c r="A279" t="s">
        <v>272</v>
      </c>
      <c r="B279">
        <v>0</v>
      </c>
      <c r="C279" t="s">
        <v>376</v>
      </c>
      <c r="D279">
        <v>79</v>
      </c>
      <c r="F279" s="1" t="s">
        <v>110</v>
      </c>
      <c r="G279">
        <v>0</v>
      </c>
      <c r="I279">
        <f>IF(COUNTIF(Sheet2!A:A,F279)&gt;0,VLOOKUP(F279,Sheet2!A:B,2,FALSE),"Not Found")</f>
        <v>0</v>
      </c>
      <c r="J279" t="str">
        <f t="shared" si="4"/>
        <v>Matching</v>
      </c>
    </row>
    <row r="280" spans="1:10" x14ac:dyDescent="0.35">
      <c r="A280" t="s">
        <v>273</v>
      </c>
      <c r="B280">
        <v>0</v>
      </c>
      <c r="C280" t="s">
        <v>448</v>
      </c>
      <c r="D280">
        <v>107</v>
      </c>
      <c r="F280" s="1" t="s">
        <v>328</v>
      </c>
      <c r="G280">
        <v>0</v>
      </c>
      <c r="I280">
        <f>IF(COUNTIF(Sheet2!A:A,F280)&gt;0,VLOOKUP(F280,Sheet2!A:B,2,FALSE),"Not Found")</f>
        <v>0</v>
      </c>
      <c r="J280" t="str">
        <f t="shared" si="4"/>
        <v>Matching</v>
      </c>
    </row>
    <row r="281" spans="1:10" x14ac:dyDescent="0.35">
      <c r="A281" t="s">
        <v>274</v>
      </c>
      <c r="B281">
        <v>0</v>
      </c>
      <c r="C281" t="s">
        <v>430</v>
      </c>
      <c r="D281">
        <v>61</v>
      </c>
      <c r="F281" s="1" t="s">
        <v>63</v>
      </c>
      <c r="G281">
        <v>0</v>
      </c>
      <c r="I281">
        <f>IF(COUNTIF(Sheet2!A:A,F281)&gt;0,VLOOKUP(F281,Sheet2!A:B,2,FALSE),"Not Found")</f>
        <v>0</v>
      </c>
      <c r="J281" t="str">
        <f t="shared" si="4"/>
        <v>Matching</v>
      </c>
    </row>
    <row r="282" spans="1:10" x14ac:dyDescent="0.35">
      <c r="A282" t="s">
        <v>275</v>
      </c>
      <c r="B282">
        <v>0</v>
      </c>
      <c r="C282" t="s">
        <v>406</v>
      </c>
      <c r="D282">
        <v>46</v>
      </c>
      <c r="F282" s="1" t="s">
        <v>281</v>
      </c>
      <c r="G282">
        <v>0</v>
      </c>
      <c r="I282">
        <f>IF(COUNTIF(Sheet2!A:A,F282)&gt;0,VLOOKUP(F282,Sheet2!A:B,2,FALSE),"Not Found")</f>
        <v>0</v>
      </c>
      <c r="J282" t="str">
        <f t="shared" si="4"/>
        <v>Matching</v>
      </c>
    </row>
    <row r="283" spans="1:10" x14ac:dyDescent="0.35">
      <c r="A283" t="s">
        <v>151</v>
      </c>
      <c r="B283">
        <v>0</v>
      </c>
      <c r="C283" t="s">
        <v>357</v>
      </c>
      <c r="D283">
        <v>69</v>
      </c>
      <c r="F283" s="1" t="s">
        <v>11</v>
      </c>
      <c r="G283">
        <v>0</v>
      </c>
      <c r="I283">
        <f>IF(COUNTIF(Sheet2!A:A,F283)&gt;0,VLOOKUP(F283,Sheet2!A:B,2,FALSE),"Not Found")</f>
        <v>0</v>
      </c>
      <c r="J283" t="str">
        <f t="shared" si="4"/>
        <v>Matching</v>
      </c>
    </row>
    <row r="284" spans="1:10" x14ac:dyDescent="0.35">
      <c r="A284" t="s">
        <v>276</v>
      </c>
      <c r="B284">
        <v>0</v>
      </c>
      <c r="C284" t="s">
        <v>449</v>
      </c>
      <c r="D284">
        <v>9</v>
      </c>
      <c r="F284" s="1" t="s">
        <v>235</v>
      </c>
      <c r="G284">
        <v>0</v>
      </c>
      <c r="I284">
        <f>IF(COUNTIF(Sheet2!A:A,F284)&gt;0,VLOOKUP(F284,Sheet2!A:B,2,FALSE),"Not Found")</f>
        <v>0</v>
      </c>
      <c r="J284" t="str">
        <f t="shared" si="4"/>
        <v>Matching</v>
      </c>
    </row>
    <row r="285" spans="1:10" x14ac:dyDescent="0.35">
      <c r="A285" t="s">
        <v>277</v>
      </c>
      <c r="B285">
        <v>0</v>
      </c>
      <c r="C285" t="s">
        <v>440</v>
      </c>
      <c r="D285">
        <v>8</v>
      </c>
      <c r="F285" s="1" t="s">
        <v>195</v>
      </c>
      <c r="G285">
        <v>0</v>
      </c>
      <c r="I285">
        <f>IF(COUNTIF(Sheet2!A:A,F285)&gt;0,VLOOKUP(F285,Sheet2!A:B,2,FALSE),"Not Found")</f>
        <v>0</v>
      </c>
      <c r="J285" t="str">
        <f t="shared" si="4"/>
        <v>Matching</v>
      </c>
    </row>
    <row r="286" spans="1:10" x14ac:dyDescent="0.35">
      <c r="A286" t="s">
        <v>278</v>
      </c>
      <c r="B286">
        <v>2343</v>
      </c>
      <c r="C286" t="s">
        <v>360</v>
      </c>
      <c r="D286">
        <v>11</v>
      </c>
      <c r="F286" s="1" t="s">
        <v>157</v>
      </c>
      <c r="G286">
        <v>0</v>
      </c>
      <c r="I286">
        <f>IF(COUNTIF(Sheet2!A:A,F286)&gt;0,VLOOKUP(F286,Sheet2!A:B,2,FALSE),"Not Found")</f>
        <v>0</v>
      </c>
      <c r="J286" t="str">
        <f t="shared" si="4"/>
        <v>Matching</v>
      </c>
    </row>
    <row r="287" spans="1:10" x14ac:dyDescent="0.35">
      <c r="A287" t="s">
        <v>279</v>
      </c>
      <c r="B287">
        <v>0</v>
      </c>
      <c r="C287" t="s">
        <v>450</v>
      </c>
      <c r="D287">
        <v>12</v>
      </c>
      <c r="F287" s="1" t="s">
        <v>111</v>
      </c>
      <c r="G287">
        <v>0</v>
      </c>
      <c r="I287">
        <f>IF(COUNTIF(Sheet2!A:A,F287)&gt;0,VLOOKUP(F287,Sheet2!A:B,2,FALSE),"Not Found")</f>
        <v>0</v>
      </c>
      <c r="J287" t="str">
        <f t="shared" si="4"/>
        <v>Matching</v>
      </c>
    </row>
    <row r="288" spans="1:10" x14ac:dyDescent="0.35">
      <c r="A288" t="s">
        <v>280</v>
      </c>
      <c r="B288">
        <v>0</v>
      </c>
      <c r="C288" t="s">
        <v>422</v>
      </c>
      <c r="D288">
        <v>13</v>
      </c>
      <c r="F288" s="1" t="s">
        <v>196</v>
      </c>
      <c r="G288">
        <v>0</v>
      </c>
      <c r="I288">
        <f>IF(COUNTIF(Sheet2!A:A,F288)&gt;0,VLOOKUP(F288,Sheet2!A:B,2,FALSE),"Not Found")</f>
        <v>0</v>
      </c>
      <c r="J288" t="str">
        <f t="shared" si="4"/>
        <v>Matching</v>
      </c>
    </row>
    <row r="289" spans="1:10" x14ac:dyDescent="0.35">
      <c r="A289" t="s">
        <v>281</v>
      </c>
      <c r="B289">
        <v>0</v>
      </c>
      <c r="C289" t="s">
        <v>408</v>
      </c>
      <c r="D289">
        <v>35</v>
      </c>
      <c r="F289" s="1" t="s">
        <v>236</v>
      </c>
      <c r="G289">
        <v>0</v>
      </c>
      <c r="I289">
        <f>IF(COUNTIF(Sheet2!A:A,F289)&gt;0,VLOOKUP(F289,Sheet2!A:B,2,FALSE),"Not Found")</f>
        <v>0</v>
      </c>
      <c r="J289" t="str">
        <f t="shared" si="4"/>
        <v>Matching</v>
      </c>
    </row>
    <row r="290" spans="1:10" x14ac:dyDescent="0.35">
      <c r="A290" t="s">
        <v>282</v>
      </c>
      <c r="B290">
        <v>0</v>
      </c>
      <c r="C290" t="s">
        <v>392</v>
      </c>
      <c r="D290">
        <v>30</v>
      </c>
      <c r="F290" s="1" t="s">
        <v>237</v>
      </c>
      <c r="G290">
        <v>0</v>
      </c>
      <c r="I290">
        <f>IF(COUNTIF(Sheet2!A:A,F290)&gt;0,VLOOKUP(F290,Sheet2!A:B,2,FALSE),"Not Found")</f>
        <v>0</v>
      </c>
      <c r="J290" t="str">
        <f t="shared" si="4"/>
        <v>Matching</v>
      </c>
    </row>
    <row r="291" spans="1:10" x14ac:dyDescent="0.35">
      <c r="A291" t="s">
        <v>283</v>
      </c>
      <c r="B291">
        <v>0</v>
      </c>
      <c r="C291" t="s">
        <v>442</v>
      </c>
      <c r="D291">
        <v>20</v>
      </c>
      <c r="F291" s="1" t="s">
        <v>17</v>
      </c>
      <c r="G291">
        <v>0</v>
      </c>
      <c r="I291">
        <f>IF(COUNTIF(Sheet2!A:A,F291)&gt;0,VLOOKUP(F291,Sheet2!A:B,2,FALSE),"Not Found")</f>
        <v>0</v>
      </c>
      <c r="J291" t="str">
        <f t="shared" si="4"/>
        <v>Matching</v>
      </c>
    </row>
    <row r="292" spans="1:10" x14ac:dyDescent="0.35">
      <c r="A292" t="s">
        <v>284</v>
      </c>
      <c r="B292">
        <v>481505</v>
      </c>
      <c r="C292" t="s">
        <v>451</v>
      </c>
      <c r="D292">
        <v>40</v>
      </c>
      <c r="F292" s="1" t="s">
        <v>292</v>
      </c>
      <c r="G292">
        <v>0</v>
      </c>
      <c r="I292">
        <f>IF(COUNTIF(Sheet2!A:A,F292)&gt;0,VLOOKUP(F292,Sheet2!A:B,2,FALSE),"Not Found")</f>
        <v>0</v>
      </c>
      <c r="J292" t="str">
        <f t="shared" si="4"/>
        <v>Matching</v>
      </c>
    </row>
    <row r="293" spans="1:10" x14ac:dyDescent="0.35">
      <c r="A293" t="s">
        <v>285</v>
      </c>
      <c r="B293">
        <v>0</v>
      </c>
      <c r="C293" t="s">
        <v>365</v>
      </c>
      <c r="D293">
        <v>21</v>
      </c>
      <c r="F293" s="1" t="s">
        <v>248</v>
      </c>
      <c r="G293">
        <v>0</v>
      </c>
      <c r="I293">
        <f>IF(COUNTIF(Sheet2!A:A,F293)&gt;0,VLOOKUP(F293,Sheet2!A:B,2,FALSE),"Not Found")</f>
        <v>0</v>
      </c>
      <c r="J293" t="str">
        <f t="shared" si="4"/>
        <v>Matching</v>
      </c>
    </row>
    <row r="294" spans="1:10" x14ac:dyDescent="0.35">
      <c r="A294" t="s">
        <v>286</v>
      </c>
      <c r="B294">
        <v>0</v>
      </c>
      <c r="C294" t="s">
        <v>424</v>
      </c>
      <c r="D294">
        <v>23</v>
      </c>
      <c r="F294" s="1" t="s">
        <v>170</v>
      </c>
      <c r="G294">
        <v>0</v>
      </c>
      <c r="I294">
        <f>IF(COUNTIF(Sheet2!A:A,F294)&gt;0,VLOOKUP(F294,Sheet2!A:B,2,FALSE),"Not Found")</f>
        <v>0</v>
      </c>
      <c r="J294" t="str">
        <f t="shared" si="4"/>
        <v>Matching</v>
      </c>
    </row>
    <row r="295" spans="1:10" x14ac:dyDescent="0.35">
      <c r="A295" t="s">
        <v>287</v>
      </c>
      <c r="B295">
        <v>0</v>
      </c>
      <c r="C295" t="s">
        <v>433</v>
      </c>
      <c r="D295">
        <v>28</v>
      </c>
      <c r="F295" s="1" t="s">
        <v>246</v>
      </c>
      <c r="G295">
        <v>0</v>
      </c>
      <c r="I295">
        <f>IF(COUNTIF(Sheet2!A:A,F295)&gt;0,VLOOKUP(F295,Sheet2!A:B,2,FALSE),"Not Found")</f>
        <v>0</v>
      </c>
      <c r="J295" t="str">
        <f t="shared" si="4"/>
        <v>Matching</v>
      </c>
    </row>
    <row r="296" spans="1:10" x14ac:dyDescent="0.35">
      <c r="A296" t="s">
        <v>288</v>
      </c>
      <c r="B296">
        <v>0</v>
      </c>
      <c r="C296" t="s">
        <v>425</v>
      </c>
      <c r="D296">
        <v>19</v>
      </c>
      <c r="F296" s="1" t="s">
        <v>18</v>
      </c>
      <c r="G296">
        <v>0</v>
      </c>
      <c r="I296">
        <f>IF(COUNTIF(Sheet2!A:A,F296)&gt;0,VLOOKUP(F296,Sheet2!A:B,2,FALSE),"Not Found")</f>
        <v>0</v>
      </c>
      <c r="J296" t="str">
        <f t="shared" si="4"/>
        <v>Matching</v>
      </c>
    </row>
    <row r="297" spans="1:10" x14ac:dyDescent="0.35">
      <c r="A297" t="s">
        <v>289</v>
      </c>
      <c r="B297">
        <v>8564349</v>
      </c>
      <c r="C297" t="s">
        <v>367</v>
      </c>
      <c r="D297">
        <v>3</v>
      </c>
      <c r="F297" s="1" t="s">
        <v>291</v>
      </c>
      <c r="G297">
        <v>0</v>
      </c>
      <c r="I297">
        <f>IF(COUNTIF(Sheet2!A:A,F297)&gt;0,VLOOKUP(F297,Sheet2!A:B,2,FALSE),"Not Found")</f>
        <v>0</v>
      </c>
      <c r="J297" t="str">
        <f t="shared" si="4"/>
        <v>Matching</v>
      </c>
    </row>
    <row r="298" spans="1:10" x14ac:dyDescent="0.35">
      <c r="A298" t="s">
        <v>290</v>
      </c>
      <c r="B298">
        <v>0</v>
      </c>
      <c r="C298" t="s">
        <v>368</v>
      </c>
      <c r="D298">
        <v>99</v>
      </c>
      <c r="F298" s="1" t="s">
        <v>166</v>
      </c>
      <c r="G298">
        <v>0</v>
      </c>
      <c r="I298">
        <f>IF(COUNTIF(Sheet2!A:A,F298)&gt;0,VLOOKUP(F298,Sheet2!A:B,2,FALSE),"Not Found")</f>
        <v>0</v>
      </c>
      <c r="J298" t="str">
        <f t="shared" si="4"/>
        <v>Matching</v>
      </c>
    </row>
    <row r="299" spans="1:10" x14ac:dyDescent="0.35">
      <c r="A299" t="s">
        <v>291</v>
      </c>
      <c r="B299">
        <v>0</v>
      </c>
      <c r="C299" t="s">
        <v>370</v>
      </c>
      <c r="D299">
        <v>86</v>
      </c>
      <c r="F299" s="1" t="s">
        <v>77</v>
      </c>
      <c r="G299">
        <v>0</v>
      </c>
      <c r="I299">
        <f>IF(COUNTIF(Sheet2!A:A,F299)&gt;0,VLOOKUP(F299,Sheet2!A:B,2,FALSE),"Not Found")</f>
        <v>0</v>
      </c>
      <c r="J299" t="str">
        <f t="shared" si="4"/>
        <v>Matching</v>
      </c>
    </row>
    <row r="300" spans="1:10" x14ac:dyDescent="0.35">
      <c r="A300" t="s">
        <v>292</v>
      </c>
      <c r="B300">
        <v>0</v>
      </c>
      <c r="C300" t="s">
        <v>369</v>
      </c>
      <c r="D300">
        <v>113</v>
      </c>
      <c r="F300" s="1" t="s">
        <v>333</v>
      </c>
      <c r="G300">
        <v>0</v>
      </c>
      <c r="I300">
        <f>IF(COUNTIF(Sheet2!A:A,F300)&gt;0,VLOOKUP(F300,Sheet2!A:B,2,FALSE),"Not Found")</f>
        <v>0</v>
      </c>
      <c r="J300" t="str">
        <f t="shared" si="4"/>
        <v>Matching</v>
      </c>
    </row>
    <row r="301" spans="1:10" x14ac:dyDescent="0.35">
      <c r="A301" t="s">
        <v>293</v>
      </c>
      <c r="B301">
        <v>0</v>
      </c>
      <c r="C301" t="s">
        <v>370</v>
      </c>
      <c r="D301">
        <v>86</v>
      </c>
      <c r="F301" s="1" t="s">
        <v>19</v>
      </c>
      <c r="G301">
        <v>0</v>
      </c>
      <c r="I301">
        <f>IF(COUNTIF(Sheet2!A:A,F301)&gt;0,VLOOKUP(F301,Sheet2!A:B,2,FALSE),"Not Found")</f>
        <v>0</v>
      </c>
      <c r="J301" t="str">
        <f t="shared" si="4"/>
        <v>Matching</v>
      </c>
    </row>
    <row r="302" spans="1:10" x14ac:dyDescent="0.35">
      <c r="A302" t="s">
        <v>294</v>
      </c>
      <c r="B302">
        <v>0</v>
      </c>
      <c r="C302" t="s">
        <v>370</v>
      </c>
      <c r="D302">
        <v>86</v>
      </c>
      <c r="F302" s="1" t="s">
        <v>250</v>
      </c>
      <c r="G302">
        <v>0</v>
      </c>
      <c r="I302">
        <f>IF(COUNTIF(Sheet2!A:A,F302)&gt;0,VLOOKUP(F302,Sheet2!A:B,2,FALSE),"Not Found")</f>
        <v>0</v>
      </c>
      <c r="J302" t="str">
        <f t="shared" si="4"/>
        <v>Matching</v>
      </c>
    </row>
    <row r="303" spans="1:10" x14ac:dyDescent="0.35">
      <c r="A303" t="s">
        <v>295</v>
      </c>
      <c r="B303">
        <v>0</v>
      </c>
      <c r="C303" t="s">
        <v>370</v>
      </c>
      <c r="D303">
        <v>86</v>
      </c>
      <c r="F303" s="1" t="s">
        <v>167</v>
      </c>
      <c r="G303">
        <v>0</v>
      </c>
      <c r="I303">
        <f>IF(COUNTIF(Sheet2!A:A,F303)&gt;0,VLOOKUP(F303,Sheet2!A:B,2,FALSE),"Not Found")</f>
        <v>0</v>
      </c>
      <c r="J303" t="str">
        <f t="shared" si="4"/>
        <v>Matching</v>
      </c>
    </row>
    <row r="304" spans="1:10" x14ac:dyDescent="0.35">
      <c r="A304" t="s">
        <v>296</v>
      </c>
      <c r="B304">
        <v>7918</v>
      </c>
      <c r="C304" t="s">
        <v>371</v>
      </c>
      <c r="D304">
        <v>1</v>
      </c>
      <c r="F304" s="1" t="s">
        <v>122</v>
      </c>
      <c r="G304">
        <v>0</v>
      </c>
      <c r="I304">
        <f>IF(COUNTIF(Sheet2!A:A,F304)&gt;0,VLOOKUP(F304,Sheet2!A:B,2,FALSE),"Not Found")</f>
        <v>0</v>
      </c>
      <c r="J304" t="str">
        <f t="shared" si="4"/>
        <v>Matching</v>
      </c>
    </row>
    <row r="305" spans="1:10" x14ac:dyDescent="0.35">
      <c r="A305" t="s">
        <v>297</v>
      </c>
      <c r="B305">
        <v>0</v>
      </c>
      <c r="C305" t="s">
        <v>371</v>
      </c>
      <c r="D305">
        <v>1</v>
      </c>
      <c r="F305" s="1" t="s">
        <v>21</v>
      </c>
      <c r="G305">
        <v>0</v>
      </c>
      <c r="I305">
        <f>IF(COUNTIF(Sheet2!A:A,F305)&gt;0,VLOOKUP(F305,Sheet2!A:B,2,FALSE),"Not Found")</f>
        <v>0</v>
      </c>
      <c r="J305" t="str">
        <f t="shared" si="4"/>
        <v>Matching</v>
      </c>
    </row>
    <row r="306" spans="1:10" x14ac:dyDescent="0.35">
      <c r="A306" t="s">
        <v>298</v>
      </c>
      <c r="B306">
        <v>5216</v>
      </c>
      <c r="C306" t="s">
        <v>371</v>
      </c>
      <c r="D306">
        <v>1</v>
      </c>
      <c r="F306" s="1" t="s">
        <v>121</v>
      </c>
      <c r="G306">
        <v>0</v>
      </c>
      <c r="I306">
        <f>IF(COUNTIF(Sheet2!A:A,F306)&gt;0,VLOOKUP(F306,Sheet2!A:B,2,FALSE),"Not Found")</f>
        <v>0</v>
      </c>
      <c r="J306" t="str">
        <f t="shared" si="4"/>
        <v>Matching</v>
      </c>
    </row>
    <row r="307" spans="1:10" x14ac:dyDescent="0.35">
      <c r="A307" t="s">
        <v>299</v>
      </c>
      <c r="B307">
        <v>18178</v>
      </c>
      <c r="C307" t="s">
        <v>373</v>
      </c>
      <c r="D307">
        <v>114</v>
      </c>
      <c r="F307" s="1" t="s">
        <v>247</v>
      </c>
      <c r="G307">
        <v>0</v>
      </c>
      <c r="I307">
        <f>IF(COUNTIF(Sheet2!A:A,F307)&gt;0,VLOOKUP(F307,Sheet2!A:B,2,FALSE),"Not Found")</f>
        <v>0</v>
      </c>
      <c r="J307" t="str">
        <f t="shared" si="4"/>
        <v>Matching</v>
      </c>
    </row>
    <row r="308" spans="1:10" x14ac:dyDescent="0.35">
      <c r="A308" t="s">
        <v>300</v>
      </c>
      <c r="B308">
        <v>0</v>
      </c>
      <c r="C308" t="s">
        <v>373</v>
      </c>
      <c r="D308">
        <v>114</v>
      </c>
      <c r="F308" s="1" t="s">
        <v>295</v>
      </c>
      <c r="G308">
        <v>0</v>
      </c>
      <c r="I308">
        <f>IF(COUNTIF(Sheet2!A:A,F308)&gt;0,VLOOKUP(F308,Sheet2!A:B,2,FALSE),"Not Found")</f>
        <v>0</v>
      </c>
      <c r="J308" t="str">
        <f t="shared" si="4"/>
        <v>Matching</v>
      </c>
    </row>
    <row r="309" spans="1:10" x14ac:dyDescent="0.35">
      <c r="A309" t="s">
        <v>301</v>
      </c>
      <c r="B309">
        <v>0</v>
      </c>
      <c r="C309" t="s">
        <v>452</v>
      </c>
      <c r="D309">
        <v>87</v>
      </c>
      <c r="F309" s="1" t="s">
        <v>169</v>
      </c>
      <c r="G309">
        <v>0</v>
      </c>
      <c r="I309">
        <f>IF(COUNTIF(Sheet2!A:A,F309)&gt;0,VLOOKUP(F309,Sheet2!A:B,2,FALSE),"Not Found")</f>
        <v>0</v>
      </c>
      <c r="J309" t="str">
        <f t="shared" si="4"/>
        <v>Matching</v>
      </c>
    </row>
    <row r="310" spans="1:10" x14ac:dyDescent="0.35">
      <c r="A310" t="s">
        <v>302</v>
      </c>
      <c r="B310">
        <v>0</v>
      </c>
      <c r="C310" t="s">
        <v>453</v>
      </c>
      <c r="D310">
        <v>92</v>
      </c>
      <c r="F310" s="1" t="s">
        <v>332</v>
      </c>
      <c r="G310">
        <v>0</v>
      </c>
      <c r="I310">
        <f>IF(COUNTIF(Sheet2!A:A,F310)&gt;0,VLOOKUP(F310,Sheet2!A:B,2,FALSE),"Not Found")</f>
        <v>0</v>
      </c>
      <c r="J310" t="str">
        <f t="shared" si="4"/>
        <v>Matching</v>
      </c>
    </row>
    <row r="311" spans="1:10" x14ac:dyDescent="0.35">
      <c r="A311" t="s">
        <v>303</v>
      </c>
      <c r="B311">
        <v>0</v>
      </c>
      <c r="C311" t="s">
        <v>454</v>
      </c>
      <c r="D311">
        <v>103</v>
      </c>
      <c r="F311" s="1" t="s">
        <v>331</v>
      </c>
      <c r="G311">
        <v>0</v>
      </c>
      <c r="I311">
        <f>IF(COUNTIF(Sheet2!A:A,F311)&gt;0,VLOOKUP(F311,Sheet2!A:B,2,FALSE),"Not Found")</f>
        <v>0</v>
      </c>
      <c r="J311" t="str">
        <f t="shared" si="4"/>
        <v>Matching</v>
      </c>
    </row>
    <row r="312" spans="1:10" x14ac:dyDescent="0.35">
      <c r="A312" t="s">
        <v>304</v>
      </c>
      <c r="B312">
        <v>0</v>
      </c>
      <c r="C312" t="s">
        <v>455</v>
      </c>
      <c r="D312">
        <v>105</v>
      </c>
      <c r="F312" s="1" t="s">
        <v>205</v>
      </c>
      <c r="G312">
        <v>0</v>
      </c>
      <c r="I312">
        <f>IF(COUNTIF(Sheet2!A:A,F312)&gt;0,VLOOKUP(F312,Sheet2!A:B,2,FALSE),"Not Found")</f>
        <v>0</v>
      </c>
      <c r="J312" t="str">
        <f t="shared" si="4"/>
        <v>Matching</v>
      </c>
    </row>
    <row r="313" spans="1:10" x14ac:dyDescent="0.35">
      <c r="A313" t="s">
        <v>305</v>
      </c>
      <c r="B313">
        <v>0</v>
      </c>
      <c r="C313" t="s">
        <v>456</v>
      </c>
      <c r="D313">
        <v>78</v>
      </c>
      <c r="F313" s="1" t="s">
        <v>206</v>
      </c>
      <c r="G313">
        <v>0</v>
      </c>
      <c r="I313">
        <f>IF(COUNTIF(Sheet2!A:A,F313)&gt;0,VLOOKUP(F313,Sheet2!A:B,2,FALSE),"Not Found")</f>
        <v>0</v>
      </c>
      <c r="J313" t="str">
        <f t="shared" si="4"/>
        <v>Matching</v>
      </c>
    </row>
    <row r="314" spans="1:10" x14ac:dyDescent="0.35">
      <c r="A314" t="s">
        <v>306</v>
      </c>
      <c r="B314">
        <v>0</v>
      </c>
      <c r="C314" t="s">
        <v>376</v>
      </c>
      <c r="D314">
        <v>79</v>
      </c>
      <c r="F314" s="1" t="s">
        <v>334</v>
      </c>
      <c r="G314">
        <v>0</v>
      </c>
      <c r="I314">
        <f>IF(COUNTIF(Sheet2!A:A,F314)&gt;0,VLOOKUP(F314,Sheet2!A:B,2,FALSE),"Not Found")</f>
        <v>0</v>
      </c>
      <c r="J314" t="str">
        <f t="shared" si="4"/>
        <v>Matching</v>
      </c>
    </row>
    <row r="315" spans="1:10" x14ac:dyDescent="0.35">
      <c r="A315" t="s">
        <v>307</v>
      </c>
      <c r="B315">
        <v>0</v>
      </c>
      <c r="C315" t="s">
        <v>376</v>
      </c>
      <c r="D315">
        <v>79</v>
      </c>
      <c r="F315" s="1" t="s">
        <v>20</v>
      </c>
      <c r="G315">
        <v>0</v>
      </c>
      <c r="I315">
        <f>IF(COUNTIF(Sheet2!A:A,F315)&gt;0,VLOOKUP(F315,Sheet2!A:B,2,FALSE),"Not Found")</f>
        <v>0</v>
      </c>
      <c r="J315" t="str">
        <f t="shared" si="4"/>
        <v>Matching</v>
      </c>
    </row>
    <row r="316" spans="1:10" x14ac:dyDescent="0.35">
      <c r="A316" t="s">
        <v>308</v>
      </c>
      <c r="B316">
        <v>0</v>
      </c>
      <c r="C316" t="s">
        <v>376</v>
      </c>
      <c r="D316">
        <v>79</v>
      </c>
      <c r="F316" s="1" t="s">
        <v>171</v>
      </c>
      <c r="G316">
        <v>0</v>
      </c>
      <c r="I316">
        <f>IF(COUNTIF(Sheet2!A:A,F316)&gt;0,VLOOKUP(F316,Sheet2!A:B,2,FALSE),"Not Found")</f>
        <v>0</v>
      </c>
      <c r="J316" t="str">
        <f t="shared" si="4"/>
        <v>Matching</v>
      </c>
    </row>
    <row r="317" spans="1:10" x14ac:dyDescent="0.35">
      <c r="A317" t="s">
        <v>309</v>
      </c>
      <c r="B317">
        <v>0</v>
      </c>
      <c r="C317" t="s">
        <v>376</v>
      </c>
      <c r="D317">
        <v>79</v>
      </c>
      <c r="F317" s="1" t="s">
        <v>249</v>
      </c>
      <c r="G317">
        <v>0</v>
      </c>
      <c r="I317">
        <f>IF(COUNTIF(Sheet2!A:A,F317)&gt;0,VLOOKUP(F317,Sheet2!A:B,2,FALSE),"Not Found")</f>
        <v>0</v>
      </c>
      <c r="J317" t="str">
        <f t="shared" si="4"/>
        <v>Matching</v>
      </c>
    </row>
    <row r="318" spans="1:10" x14ac:dyDescent="0.35">
      <c r="A318" t="s">
        <v>310</v>
      </c>
      <c r="B318">
        <v>0</v>
      </c>
      <c r="C318" t="s">
        <v>376</v>
      </c>
      <c r="D318">
        <v>79</v>
      </c>
      <c r="F318" s="1" t="s">
        <v>168</v>
      </c>
      <c r="G318">
        <v>0</v>
      </c>
      <c r="I318">
        <f>IF(COUNTIF(Sheet2!A:A,F318)&gt;0,VLOOKUP(F318,Sheet2!A:B,2,FALSE),"Not Found")</f>
        <v>0</v>
      </c>
      <c r="J318" t="str">
        <f t="shared" si="4"/>
        <v>Matching</v>
      </c>
    </row>
    <row r="319" spans="1:10" x14ac:dyDescent="0.35">
      <c r="A319" t="s">
        <v>311</v>
      </c>
      <c r="B319">
        <v>0</v>
      </c>
      <c r="C319" t="s">
        <v>376</v>
      </c>
      <c r="D319">
        <v>79</v>
      </c>
      <c r="F319" s="1" t="s">
        <v>293</v>
      </c>
      <c r="G319">
        <v>0</v>
      </c>
      <c r="I319">
        <f>IF(COUNTIF(Sheet2!A:A,F319)&gt;0,VLOOKUP(F319,Sheet2!A:B,2,FALSE),"Not Found")</f>
        <v>0</v>
      </c>
      <c r="J319" t="str">
        <f t="shared" si="4"/>
        <v>Matching</v>
      </c>
    </row>
    <row r="320" spans="1:10" x14ac:dyDescent="0.35">
      <c r="A320" t="s">
        <v>312</v>
      </c>
      <c r="B320">
        <v>0</v>
      </c>
      <c r="C320" t="s">
        <v>376</v>
      </c>
      <c r="D320">
        <v>79</v>
      </c>
      <c r="F320" s="1" t="s">
        <v>76</v>
      </c>
      <c r="G320">
        <v>0</v>
      </c>
      <c r="I320">
        <f>IF(COUNTIF(Sheet2!A:A,F320)&gt;0,VLOOKUP(F320,Sheet2!A:B,2,FALSE),"Not Found")</f>
        <v>0</v>
      </c>
      <c r="J320" t="str">
        <f t="shared" si="4"/>
        <v>Matching</v>
      </c>
    </row>
    <row r="321" spans="1:10" x14ac:dyDescent="0.35">
      <c r="A321" t="s">
        <v>313</v>
      </c>
      <c r="B321">
        <v>0</v>
      </c>
      <c r="C321" t="s">
        <v>376</v>
      </c>
      <c r="D321">
        <v>79</v>
      </c>
      <c r="F321" s="1" t="s">
        <v>294</v>
      </c>
      <c r="G321">
        <v>0</v>
      </c>
      <c r="I321">
        <f>IF(COUNTIF(Sheet2!A:A,F321)&gt;0,VLOOKUP(F321,Sheet2!A:B,2,FALSE),"Not Found")</f>
        <v>0</v>
      </c>
      <c r="J321" t="str">
        <f t="shared" si="4"/>
        <v>Matching</v>
      </c>
    </row>
    <row r="322" spans="1:10" x14ac:dyDescent="0.35">
      <c r="A322" t="s">
        <v>314</v>
      </c>
      <c r="B322">
        <v>0</v>
      </c>
      <c r="C322" t="s">
        <v>376</v>
      </c>
      <c r="D322">
        <v>79</v>
      </c>
      <c r="F322" s="1" t="s">
        <v>223</v>
      </c>
      <c r="G322">
        <v>0</v>
      </c>
      <c r="I322">
        <f>IF(COUNTIF(Sheet2!A:A,F322)&gt;0,VLOOKUP(F322,Sheet2!A:B,2,FALSE),"Not Found")</f>
        <v>0</v>
      </c>
      <c r="J322" t="str">
        <f t="shared" si="4"/>
        <v>Matching</v>
      </c>
    </row>
    <row r="323" spans="1:10" x14ac:dyDescent="0.35">
      <c r="A323" t="s">
        <v>315</v>
      </c>
      <c r="B323">
        <v>0</v>
      </c>
      <c r="C323" t="s">
        <v>376</v>
      </c>
      <c r="D323">
        <v>79</v>
      </c>
      <c r="F323" s="1" t="s">
        <v>71</v>
      </c>
      <c r="G323">
        <v>13119254</v>
      </c>
      <c r="I323">
        <f>IF(COUNTIF(Sheet2!A:A,F323)&gt;0,VLOOKUP(F323,Sheet2!A:B,2,FALSE),"Not Found")</f>
        <v>13119254</v>
      </c>
      <c r="J323" t="str">
        <f t="shared" ref="J323:J359" si="5">IF(G323=I323,"Matching","Mis Match")</f>
        <v>Matching</v>
      </c>
    </row>
    <row r="324" spans="1:10" x14ac:dyDescent="0.35">
      <c r="A324" t="s">
        <v>316</v>
      </c>
      <c r="B324">
        <v>0</v>
      </c>
      <c r="C324" t="s">
        <v>376</v>
      </c>
      <c r="D324">
        <v>79</v>
      </c>
      <c r="F324" s="1" t="s">
        <v>350</v>
      </c>
      <c r="G324">
        <v>0</v>
      </c>
      <c r="I324">
        <f>IF(COUNTIF(Sheet2!A:A,F324)&gt;0,VLOOKUP(F324,Sheet2!A:B,2,FALSE),"Not Found")</f>
        <v>0</v>
      </c>
      <c r="J324" t="str">
        <f t="shared" si="5"/>
        <v>Matching</v>
      </c>
    </row>
    <row r="325" spans="1:10" x14ac:dyDescent="0.35">
      <c r="A325" t="s">
        <v>317</v>
      </c>
      <c r="B325">
        <v>0</v>
      </c>
      <c r="C325" t="s">
        <v>376</v>
      </c>
      <c r="D325">
        <v>79</v>
      </c>
      <c r="F325" s="1" t="s">
        <v>54</v>
      </c>
      <c r="G325">
        <v>2328237</v>
      </c>
      <c r="I325">
        <f>IF(COUNTIF(Sheet2!A:A,F325)&gt;0,VLOOKUP(F325,Sheet2!A:B,2,FALSE),"Not Found")</f>
        <v>2328237</v>
      </c>
      <c r="J325" t="str">
        <f t="shared" si="5"/>
        <v>Matching</v>
      </c>
    </row>
    <row r="326" spans="1:10" x14ac:dyDescent="0.35">
      <c r="A326" t="s">
        <v>318</v>
      </c>
      <c r="B326">
        <v>0</v>
      </c>
      <c r="C326" t="s">
        <v>457</v>
      </c>
      <c r="D326">
        <v>47</v>
      </c>
      <c r="F326" s="1" t="s">
        <v>51</v>
      </c>
      <c r="G326">
        <v>0</v>
      </c>
      <c r="I326">
        <f>IF(COUNTIF(Sheet2!A:A,F326)&gt;0,VLOOKUP(F326,Sheet2!A:B,2,FALSE),"Not Found")</f>
        <v>0</v>
      </c>
      <c r="J326" t="str">
        <f t="shared" si="5"/>
        <v>Matching</v>
      </c>
    </row>
    <row r="327" spans="1:10" x14ac:dyDescent="0.35">
      <c r="A327" t="s">
        <v>319</v>
      </c>
      <c r="B327">
        <v>0</v>
      </c>
      <c r="C327" t="s">
        <v>458</v>
      </c>
      <c r="D327">
        <v>50</v>
      </c>
      <c r="F327" s="1" t="s">
        <v>318</v>
      </c>
      <c r="G327">
        <v>0</v>
      </c>
      <c r="I327">
        <f>IF(COUNTIF(Sheet2!A:A,F327)&gt;0,VLOOKUP(F327,Sheet2!A:B,2,FALSE),"Not Found")</f>
        <v>0</v>
      </c>
      <c r="J327" t="str">
        <f t="shared" si="5"/>
        <v>Matching</v>
      </c>
    </row>
    <row r="328" spans="1:10" x14ac:dyDescent="0.35">
      <c r="A328" t="s">
        <v>0</v>
      </c>
      <c r="B328">
        <v>0</v>
      </c>
      <c r="C328" t="s">
        <v>418</v>
      </c>
      <c r="D328">
        <v>62</v>
      </c>
      <c r="F328" s="1" t="s">
        <v>52</v>
      </c>
      <c r="G328">
        <v>0</v>
      </c>
      <c r="I328">
        <f>IF(COUNTIF(Sheet2!A:A,F328)&gt;0,VLOOKUP(F328,Sheet2!A:B,2,FALSE),"Not Found")</f>
        <v>0</v>
      </c>
      <c r="J328" t="str">
        <f t="shared" si="5"/>
        <v>Matching</v>
      </c>
    </row>
    <row r="329" spans="1:10" x14ac:dyDescent="0.35">
      <c r="A329" t="s">
        <v>320</v>
      </c>
      <c r="B329">
        <v>0</v>
      </c>
      <c r="C329" t="s">
        <v>418</v>
      </c>
      <c r="D329">
        <v>62</v>
      </c>
      <c r="F329" s="1" t="s">
        <v>49</v>
      </c>
      <c r="G329">
        <v>0</v>
      </c>
      <c r="I329">
        <f>IF(COUNTIF(Sheet2!A:A,F329)&gt;0,VLOOKUP(F329,Sheet2!A:B,2,FALSE),"Not Found")</f>
        <v>0</v>
      </c>
      <c r="J329" t="str">
        <f t="shared" si="5"/>
        <v>Matching</v>
      </c>
    </row>
    <row r="330" spans="1:10" x14ac:dyDescent="0.35">
      <c r="A330" t="s">
        <v>321</v>
      </c>
      <c r="B330">
        <v>0</v>
      </c>
      <c r="C330" t="s">
        <v>459</v>
      </c>
      <c r="D330">
        <v>45</v>
      </c>
      <c r="F330" s="1" t="s">
        <v>150</v>
      </c>
      <c r="G330">
        <v>0</v>
      </c>
      <c r="I330">
        <f>IF(COUNTIF(Sheet2!A:A,F330)&gt;0,VLOOKUP(F330,Sheet2!A:B,2,FALSE),"Not Found")</f>
        <v>0</v>
      </c>
      <c r="J330" t="str">
        <f t="shared" si="5"/>
        <v>Matching</v>
      </c>
    </row>
    <row r="331" spans="1:10" x14ac:dyDescent="0.35">
      <c r="A331" t="s">
        <v>180</v>
      </c>
      <c r="B331">
        <v>0</v>
      </c>
      <c r="C331" t="s">
        <v>419</v>
      </c>
      <c r="D331">
        <v>55</v>
      </c>
      <c r="F331" s="1" t="s">
        <v>322</v>
      </c>
      <c r="G331">
        <v>0</v>
      </c>
      <c r="I331">
        <f>IF(COUNTIF(Sheet2!A:A,F331)&gt;0,VLOOKUP(F331,Sheet2!A:B,2,FALSE),"Not Found")</f>
        <v>0</v>
      </c>
      <c r="J331" t="str">
        <f t="shared" si="5"/>
        <v>Matching</v>
      </c>
    </row>
    <row r="332" spans="1:10" x14ac:dyDescent="0.35">
      <c r="A332" t="s">
        <v>322</v>
      </c>
      <c r="B332">
        <v>0</v>
      </c>
      <c r="C332" t="s">
        <v>460</v>
      </c>
      <c r="D332">
        <v>58</v>
      </c>
      <c r="F332" s="1" t="s">
        <v>50</v>
      </c>
      <c r="G332">
        <v>0</v>
      </c>
      <c r="I332">
        <f>IF(COUNTIF(Sheet2!A:A,F332)&gt;0,VLOOKUP(F332,Sheet2!A:B,2,FALSE),"Not Found")</f>
        <v>0</v>
      </c>
      <c r="J332" t="str">
        <f t="shared" si="5"/>
        <v>Matching</v>
      </c>
    </row>
    <row r="333" spans="1:10" x14ac:dyDescent="0.35">
      <c r="A333" t="s">
        <v>323</v>
      </c>
      <c r="B333">
        <v>0</v>
      </c>
      <c r="C333" t="s">
        <v>357</v>
      </c>
      <c r="D333">
        <v>69</v>
      </c>
      <c r="F333" s="1" t="s">
        <v>355</v>
      </c>
      <c r="G333">
        <v>0</v>
      </c>
      <c r="I333">
        <f>IF(COUNTIF(Sheet2!A:A,F333)&gt;0,VLOOKUP(F333,Sheet2!A:B,2,FALSE),"Not Found")</f>
        <v>0</v>
      </c>
      <c r="J333" t="str">
        <f t="shared" si="5"/>
        <v>Matching</v>
      </c>
    </row>
    <row r="334" spans="1:10" x14ac:dyDescent="0.35">
      <c r="A334" t="s">
        <v>320</v>
      </c>
      <c r="B334">
        <v>0</v>
      </c>
      <c r="C334" t="s">
        <v>357</v>
      </c>
      <c r="D334">
        <v>69</v>
      </c>
      <c r="F334" s="1" t="s">
        <v>193</v>
      </c>
      <c r="G334">
        <v>0</v>
      </c>
      <c r="I334">
        <f>IF(COUNTIF(Sheet2!A:A,F334)&gt;0,VLOOKUP(F334,Sheet2!A:B,2,FALSE),"Not Found")</f>
        <v>0</v>
      </c>
      <c r="J334" t="str">
        <f t="shared" si="5"/>
        <v>Matching</v>
      </c>
    </row>
    <row r="335" spans="1:10" x14ac:dyDescent="0.35">
      <c r="A335" t="s">
        <v>324</v>
      </c>
      <c r="B335">
        <v>0</v>
      </c>
      <c r="C335" t="s">
        <v>461</v>
      </c>
      <c r="D335">
        <v>71</v>
      </c>
      <c r="F335" s="1" t="s">
        <v>224</v>
      </c>
      <c r="G335">
        <v>0</v>
      </c>
      <c r="I335">
        <f>IF(COUNTIF(Sheet2!A:A,F335)&gt;0,VLOOKUP(F335,Sheet2!A:B,2,FALSE),"Not Found")</f>
        <v>0</v>
      </c>
      <c r="J335" t="str">
        <f t="shared" si="5"/>
        <v>Matching</v>
      </c>
    </row>
    <row r="336" spans="1:10" x14ac:dyDescent="0.35">
      <c r="A336" t="s">
        <v>325</v>
      </c>
      <c r="B336">
        <v>0</v>
      </c>
      <c r="C336" t="s">
        <v>386</v>
      </c>
      <c r="D336">
        <v>6</v>
      </c>
      <c r="F336" s="1" t="s">
        <v>192</v>
      </c>
      <c r="G336">
        <v>0</v>
      </c>
      <c r="I336">
        <f>IF(COUNTIF(Sheet2!A:A,F336)&gt;0,VLOOKUP(F336,Sheet2!A:B,2,FALSE),"Not Found")</f>
        <v>0</v>
      </c>
      <c r="J336" t="str">
        <f t="shared" si="5"/>
        <v>Matching</v>
      </c>
    </row>
    <row r="337" spans="1:10" x14ac:dyDescent="0.35">
      <c r="A337" t="s">
        <v>326</v>
      </c>
      <c r="B337">
        <v>183</v>
      </c>
      <c r="C337" t="s">
        <v>386</v>
      </c>
      <c r="D337">
        <v>6</v>
      </c>
      <c r="F337" s="1" t="s">
        <v>353</v>
      </c>
      <c r="G337">
        <v>0</v>
      </c>
      <c r="I337">
        <f>IF(COUNTIF(Sheet2!A:A,F337)&gt;0,VLOOKUP(F337,Sheet2!A:B,2,FALSE),"Not Found")</f>
        <v>0</v>
      </c>
      <c r="J337" t="str">
        <f t="shared" si="5"/>
        <v>Matching</v>
      </c>
    </row>
    <row r="338" spans="1:10" x14ac:dyDescent="0.35">
      <c r="A338" t="s">
        <v>327</v>
      </c>
      <c r="B338">
        <v>0</v>
      </c>
      <c r="C338" t="s">
        <v>422</v>
      </c>
      <c r="D338">
        <v>13</v>
      </c>
      <c r="F338" s="1" t="s">
        <v>274</v>
      </c>
      <c r="G338">
        <v>0</v>
      </c>
      <c r="I338">
        <f>IF(COUNTIF(Sheet2!A:A,F338)&gt;0,VLOOKUP(F338,Sheet2!A:B,2,FALSE),"Not Found")</f>
        <v>0</v>
      </c>
      <c r="J338" t="str">
        <f t="shared" si="5"/>
        <v>Matching</v>
      </c>
    </row>
    <row r="339" spans="1:10" x14ac:dyDescent="0.35">
      <c r="A339" t="s">
        <v>328</v>
      </c>
      <c r="B339">
        <v>0</v>
      </c>
      <c r="C339" t="s">
        <v>390</v>
      </c>
      <c r="D339">
        <v>34</v>
      </c>
      <c r="F339" s="1" t="s">
        <v>225</v>
      </c>
      <c r="G339">
        <v>0</v>
      </c>
      <c r="I339">
        <f>IF(COUNTIF(Sheet2!A:A,F339)&gt;0,VLOOKUP(F339,Sheet2!A:B,2,FALSE),"Not Found")</f>
        <v>0</v>
      </c>
      <c r="J339" t="str">
        <f t="shared" si="5"/>
        <v>Matching</v>
      </c>
    </row>
    <row r="340" spans="1:10" x14ac:dyDescent="0.35">
      <c r="A340" t="s">
        <v>329</v>
      </c>
      <c r="B340">
        <v>0</v>
      </c>
      <c r="C340" t="s">
        <v>432</v>
      </c>
      <c r="D340">
        <v>31</v>
      </c>
      <c r="F340" s="1" t="s">
        <v>321</v>
      </c>
      <c r="G340">
        <v>0</v>
      </c>
      <c r="I340">
        <f>IF(COUNTIF(Sheet2!A:A,F340)&gt;0,VLOOKUP(F340,Sheet2!A:B,2,FALSE),"Not Found")</f>
        <v>0</v>
      </c>
      <c r="J340" t="str">
        <f t="shared" si="5"/>
        <v>Matching</v>
      </c>
    </row>
    <row r="341" spans="1:10" x14ac:dyDescent="0.35">
      <c r="A341" t="s">
        <v>330</v>
      </c>
      <c r="B341">
        <v>0</v>
      </c>
      <c r="C341" t="s">
        <v>427</v>
      </c>
      <c r="D341">
        <v>67</v>
      </c>
      <c r="F341" s="1" t="s">
        <v>55</v>
      </c>
      <c r="G341">
        <v>0</v>
      </c>
      <c r="I341">
        <f>IF(COUNTIF(Sheet2!A:A,F341)&gt;0,VLOOKUP(F341,Sheet2!A:B,2,FALSE),"Not Found")</f>
        <v>0</v>
      </c>
      <c r="J341" t="str">
        <f t="shared" si="5"/>
        <v>Matching</v>
      </c>
    </row>
    <row r="342" spans="1:10" x14ac:dyDescent="0.35">
      <c r="A342" t="s">
        <v>331</v>
      </c>
      <c r="B342">
        <v>0</v>
      </c>
      <c r="C342" t="s">
        <v>370</v>
      </c>
      <c r="D342">
        <v>86</v>
      </c>
      <c r="F342" s="5" t="s">
        <v>56</v>
      </c>
      <c r="G342" s="6">
        <v>0</v>
      </c>
      <c r="H342" s="6"/>
      <c r="I342" s="6" t="str">
        <f>IF(COUNTIF(Sheet2!A:A,F342)&gt;0,VLOOKUP(F342,Sheet2!A:B,2,FALSE),"Not Found")</f>
        <v>Not Found</v>
      </c>
      <c r="J342" t="str">
        <f t="shared" si="5"/>
        <v>Mis Match</v>
      </c>
    </row>
    <row r="343" spans="1:10" x14ac:dyDescent="0.35">
      <c r="A343" t="s">
        <v>332</v>
      </c>
      <c r="B343">
        <v>0</v>
      </c>
      <c r="C343" t="s">
        <v>370</v>
      </c>
      <c r="D343">
        <v>86</v>
      </c>
      <c r="F343" s="1" t="s">
        <v>275</v>
      </c>
      <c r="G343">
        <v>0</v>
      </c>
      <c r="I343">
        <f>IF(COUNTIF(Sheet2!A:A,F343)&gt;0,VLOOKUP(F343,Sheet2!A:B,2,FALSE),"Not Found")</f>
        <v>0</v>
      </c>
      <c r="J343" t="str">
        <f t="shared" si="5"/>
        <v>Matching</v>
      </c>
    </row>
    <row r="344" spans="1:10" x14ac:dyDescent="0.35">
      <c r="A344" t="s">
        <v>333</v>
      </c>
      <c r="B344">
        <v>0</v>
      </c>
      <c r="C344" t="s">
        <v>370</v>
      </c>
      <c r="D344">
        <v>86</v>
      </c>
      <c r="F344" s="1" t="s">
        <v>105</v>
      </c>
      <c r="G344">
        <v>0</v>
      </c>
      <c r="I344">
        <f>IF(COUNTIF(Sheet2!A:A,F344)&gt;0,VLOOKUP(F344,Sheet2!A:B,2,FALSE),"Not Found")</f>
        <v>0</v>
      </c>
      <c r="J344" t="str">
        <f t="shared" si="5"/>
        <v>Matching</v>
      </c>
    </row>
    <row r="345" spans="1:10" x14ac:dyDescent="0.35">
      <c r="A345" t="s">
        <v>334</v>
      </c>
      <c r="B345">
        <v>0</v>
      </c>
      <c r="C345" t="s">
        <v>370</v>
      </c>
      <c r="D345">
        <v>86</v>
      </c>
      <c r="F345" s="1" t="s">
        <v>180</v>
      </c>
      <c r="G345">
        <v>0</v>
      </c>
      <c r="I345">
        <f>IF(COUNTIF(Sheet2!A:A,F345)&gt;0,VLOOKUP(F345,Sheet2!A:B,2,FALSE),"Not Found")</f>
        <v>0</v>
      </c>
      <c r="J345" t="str">
        <f t="shared" si="5"/>
        <v>Matching</v>
      </c>
    </row>
    <row r="346" spans="1:10" x14ac:dyDescent="0.35">
      <c r="A346" t="s">
        <v>335</v>
      </c>
      <c r="B346">
        <v>0</v>
      </c>
      <c r="C346" t="s">
        <v>462</v>
      </c>
      <c r="D346">
        <v>7</v>
      </c>
      <c r="F346" s="1" t="s">
        <v>129</v>
      </c>
      <c r="G346">
        <v>0</v>
      </c>
      <c r="I346">
        <f>IF(COUNTIF(Sheet2!A:A,F346)&gt;0,VLOOKUP(F346,Sheet2!A:B,2,FALSE),"Not Found")</f>
        <v>0</v>
      </c>
      <c r="J346" t="str">
        <f t="shared" si="5"/>
        <v>Matching</v>
      </c>
    </row>
    <row r="347" spans="1:10" x14ac:dyDescent="0.35">
      <c r="A347" t="s">
        <v>336</v>
      </c>
      <c r="B347">
        <v>0</v>
      </c>
      <c r="C347" t="s">
        <v>371</v>
      </c>
      <c r="D347">
        <v>1</v>
      </c>
      <c r="F347" s="1" t="s">
        <v>256</v>
      </c>
      <c r="G347">
        <v>0</v>
      </c>
      <c r="I347">
        <f>IF(COUNTIF(Sheet2!A:A,F347)&gt;0,VLOOKUP(F347,Sheet2!A:B,2,FALSE),"Not Found")</f>
        <v>0</v>
      </c>
      <c r="J347" t="str">
        <f t="shared" si="5"/>
        <v>Matching</v>
      </c>
    </row>
    <row r="348" spans="1:10" x14ac:dyDescent="0.35">
      <c r="A348" t="s">
        <v>337</v>
      </c>
      <c r="B348">
        <v>0</v>
      </c>
      <c r="C348" t="s">
        <v>371</v>
      </c>
      <c r="D348">
        <v>1</v>
      </c>
      <c r="F348" s="1" t="s">
        <v>226</v>
      </c>
      <c r="G348">
        <v>0</v>
      </c>
      <c r="I348">
        <f>IF(COUNTIF(Sheet2!A:A,F348)&gt;0,VLOOKUP(F348,Sheet2!A:B,2,FALSE),"Not Found")</f>
        <v>0</v>
      </c>
      <c r="J348" t="str">
        <f t="shared" si="5"/>
        <v>Matching</v>
      </c>
    </row>
    <row r="349" spans="1:10" x14ac:dyDescent="0.35">
      <c r="A349" t="s">
        <v>338</v>
      </c>
      <c r="B349">
        <v>4200782</v>
      </c>
      <c r="C349" t="s">
        <v>371</v>
      </c>
      <c r="D349">
        <v>1</v>
      </c>
      <c r="F349" s="1" t="s">
        <v>227</v>
      </c>
      <c r="G349">
        <v>0</v>
      </c>
      <c r="I349">
        <f>IF(COUNTIF(Sheet2!A:A,F349)&gt;0,VLOOKUP(F349,Sheet2!A:B,2,FALSE),"Not Found")</f>
        <v>0</v>
      </c>
      <c r="J349" t="str">
        <f t="shared" si="5"/>
        <v>Matching</v>
      </c>
    </row>
    <row r="350" spans="1:10" x14ac:dyDescent="0.35">
      <c r="A350" t="s">
        <v>339</v>
      </c>
      <c r="B350">
        <v>0</v>
      </c>
      <c r="C350" t="s">
        <v>463</v>
      </c>
      <c r="D350">
        <v>74</v>
      </c>
      <c r="F350" s="1" t="s">
        <v>57</v>
      </c>
      <c r="G350">
        <v>0</v>
      </c>
      <c r="I350">
        <f>IF(COUNTIF(Sheet2!A:A,F350)&gt;0,VLOOKUP(F350,Sheet2!A:B,2,FALSE),"Not Found")</f>
        <v>0</v>
      </c>
      <c r="J350" t="str">
        <f t="shared" si="5"/>
        <v>Matching</v>
      </c>
    </row>
    <row r="351" spans="1:10" x14ac:dyDescent="0.35">
      <c r="A351" t="s">
        <v>340</v>
      </c>
      <c r="B351">
        <v>0</v>
      </c>
      <c r="C351" t="s">
        <v>464</v>
      </c>
      <c r="D351">
        <v>89</v>
      </c>
      <c r="F351" s="1" t="s">
        <v>47</v>
      </c>
      <c r="G351">
        <v>0</v>
      </c>
      <c r="I351">
        <f>IF(COUNTIF(Sheet2!A:A,F351)&gt;0,VLOOKUP(F351,Sheet2!A:B,2,FALSE),"Not Found")</f>
        <v>0</v>
      </c>
      <c r="J351" t="str">
        <f t="shared" si="5"/>
        <v>Matching</v>
      </c>
    </row>
    <row r="352" spans="1:10" x14ac:dyDescent="0.35">
      <c r="A352" t="s">
        <v>341</v>
      </c>
      <c r="B352">
        <v>0</v>
      </c>
      <c r="C352" t="s">
        <v>465</v>
      </c>
      <c r="D352">
        <v>76</v>
      </c>
      <c r="F352" s="1" t="s">
        <v>319</v>
      </c>
      <c r="G352">
        <v>0</v>
      </c>
      <c r="I352">
        <f>IF(COUNTIF(Sheet2!A:A,F352)&gt;0,VLOOKUP(F352,Sheet2!A:B,2,FALSE),"Not Found")</f>
        <v>0</v>
      </c>
      <c r="J352" t="str">
        <f t="shared" si="5"/>
        <v>Matching</v>
      </c>
    </row>
    <row r="353" spans="1:10" x14ac:dyDescent="0.35">
      <c r="A353" t="s">
        <v>342</v>
      </c>
      <c r="B353">
        <v>0</v>
      </c>
      <c r="C353" t="s">
        <v>466</v>
      </c>
      <c r="D353">
        <v>77</v>
      </c>
      <c r="F353" s="1" t="s">
        <v>356</v>
      </c>
      <c r="G353">
        <v>0</v>
      </c>
      <c r="I353">
        <f>IF(COUNTIF(Sheet2!A:A,F353)&gt;0,VLOOKUP(F353,Sheet2!A:B,2,FALSE),"Not Found")</f>
        <v>0</v>
      </c>
      <c r="J353" t="str">
        <f t="shared" si="5"/>
        <v>Matching</v>
      </c>
    </row>
    <row r="354" spans="1:10" x14ac:dyDescent="0.35">
      <c r="A354" t="s">
        <v>343</v>
      </c>
      <c r="B354">
        <v>0</v>
      </c>
      <c r="C354" t="s">
        <v>376</v>
      </c>
      <c r="D354">
        <v>79</v>
      </c>
      <c r="F354" s="1" t="s">
        <v>152</v>
      </c>
      <c r="G354">
        <v>0</v>
      </c>
      <c r="I354">
        <f>IF(COUNTIF(Sheet2!A:A,F354)&gt;0,VLOOKUP(F354,Sheet2!A:B,2,FALSE),"Not Found")</f>
        <v>0</v>
      </c>
      <c r="J354" t="str">
        <f t="shared" si="5"/>
        <v>Matching</v>
      </c>
    </row>
    <row r="355" spans="1:10" x14ac:dyDescent="0.35">
      <c r="A355" t="s">
        <v>344</v>
      </c>
      <c r="B355">
        <v>0</v>
      </c>
      <c r="C355" t="s">
        <v>376</v>
      </c>
      <c r="D355">
        <v>79</v>
      </c>
      <c r="F355" s="1" t="s">
        <v>53</v>
      </c>
      <c r="G355">
        <v>0</v>
      </c>
      <c r="I355">
        <f>IF(COUNTIF(Sheet2!A:A,F355)&gt;0,VLOOKUP(F355,Sheet2!A:B,2,FALSE),"Not Found")</f>
        <v>0</v>
      </c>
      <c r="J355" t="str">
        <f t="shared" si="5"/>
        <v>Matching</v>
      </c>
    </row>
    <row r="356" spans="1:10" x14ac:dyDescent="0.35">
      <c r="A356" t="s">
        <v>345</v>
      </c>
      <c r="B356">
        <v>0</v>
      </c>
      <c r="C356" t="s">
        <v>376</v>
      </c>
      <c r="D356">
        <v>79</v>
      </c>
      <c r="F356" s="1" t="s">
        <v>272</v>
      </c>
      <c r="G356">
        <v>0</v>
      </c>
      <c r="I356">
        <f>IF(COUNTIF(Sheet2!A:A,F356)&gt;0,VLOOKUP(F356,Sheet2!A:B,2,FALSE),"Not Found")</f>
        <v>0</v>
      </c>
      <c r="J356" t="str">
        <f t="shared" si="5"/>
        <v>Matching</v>
      </c>
    </row>
    <row r="357" spans="1:10" x14ac:dyDescent="0.35">
      <c r="A357" t="s">
        <v>346</v>
      </c>
      <c r="B357">
        <v>0</v>
      </c>
      <c r="C357" t="s">
        <v>376</v>
      </c>
      <c r="D357">
        <v>79</v>
      </c>
      <c r="F357" s="1" t="s">
        <v>315</v>
      </c>
      <c r="G357">
        <v>0</v>
      </c>
      <c r="I357">
        <f>IF(COUNTIF(Sheet2!A:A,F357)&gt;0,VLOOKUP(F357,Sheet2!A:B,2,FALSE),"Not Found")</f>
        <v>0</v>
      </c>
      <c r="J357" t="str">
        <f t="shared" si="5"/>
        <v>Matching</v>
      </c>
    </row>
    <row r="358" spans="1:10" x14ac:dyDescent="0.35">
      <c r="A358" t="s">
        <v>347</v>
      </c>
      <c r="B358">
        <v>0</v>
      </c>
      <c r="C358" t="s">
        <v>376</v>
      </c>
      <c r="D358">
        <v>79</v>
      </c>
      <c r="F358" s="1" t="s">
        <v>102</v>
      </c>
      <c r="G358">
        <v>0</v>
      </c>
      <c r="I358">
        <f>IF(COUNTIF(Sheet2!A:A,F358)&gt;0,VLOOKUP(F358,Sheet2!A:B,2,FALSE),"Not Found")</f>
        <v>0</v>
      </c>
      <c r="J358" t="str">
        <f t="shared" si="5"/>
        <v>Matching</v>
      </c>
    </row>
    <row r="359" spans="1:10" x14ac:dyDescent="0.35">
      <c r="A359" t="s">
        <v>348</v>
      </c>
      <c r="B359">
        <v>0</v>
      </c>
      <c r="C359" t="s">
        <v>376</v>
      </c>
      <c r="D359">
        <v>79</v>
      </c>
      <c r="F359" s="1" t="s">
        <v>474</v>
      </c>
      <c r="I359">
        <f>IF(COUNTIF(Sheet2!A:A,F359)&gt;0,VLOOKUP(F359,Sheet2!A:B,2,FALSE),"Not Found")</f>
        <v>0</v>
      </c>
      <c r="J359" t="str">
        <f t="shared" si="5"/>
        <v>Matching</v>
      </c>
    </row>
    <row r="360" spans="1:10" x14ac:dyDescent="0.35">
      <c r="A360" t="s">
        <v>349</v>
      </c>
      <c r="B360">
        <v>0</v>
      </c>
      <c r="C360" t="s">
        <v>376</v>
      </c>
      <c r="D360">
        <v>79</v>
      </c>
      <c r="F360" s="1" t="s">
        <v>475</v>
      </c>
      <c r="G360">
        <v>136326574</v>
      </c>
    </row>
    <row r="361" spans="1:10" x14ac:dyDescent="0.35">
      <c r="A361" t="s">
        <v>350</v>
      </c>
      <c r="B361">
        <v>0</v>
      </c>
      <c r="C361" t="s">
        <v>376</v>
      </c>
      <c r="D361">
        <v>79</v>
      </c>
    </row>
    <row r="362" spans="1:10" x14ac:dyDescent="0.35">
      <c r="A362" t="s">
        <v>351</v>
      </c>
      <c r="B362">
        <v>0</v>
      </c>
      <c r="C362" t="s">
        <v>376</v>
      </c>
      <c r="D362">
        <v>79</v>
      </c>
    </row>
    <row r="363" spans="1:10" x14ac:dyDescent="0.35">
      <c r="A363" t="s">
        <v>352</v>
      </c>
      <c r="B363">
        <v>0</v>
      </c>
      <c r="C363" t="s">
        <v>376</v>
      </c>
      <c r="D363">
        <v>79</v>
      </c>
    </row>
    <row r="364" spans="1:10" x14ac:dyDescent="0.35">
      <c r="A364" t="s">
        <v>323</v>
      </c>
      <c r="B364">
        <v>0</v>
      </c>
      <c r="C364" t="s">
        <v>418</v>
      </c>
      <c r="D364">
        <v>62</v>
      </c>
    </row>
    <row r="365" spans="1:10" x14ac:dyDescent="0.35">
      <c r="A365" t="s">
        <v>353</v>
      </c>
      <c r="B365">
        <v>0</v>
      </c>
      <c r="C365" t="s">
        <v>467</v>
      </c>
      <c r="D365">
        <v>53</v>
      </c>
    </row>
    <row r="366" spans="1:10" x14ac:dyDescent="0.35">
      <c r="A366" t="s">
        <v>354</v>
      </c>
      <c r="B366">
        <v>0</v>
      </c>
      <c r="C366" t="s">
        <v>468</v>
      </c>
      <c r="D366">
        <v>54</v>
      </c>
    </row>
    <row r="367" spans="1:10" x14ac:dyDescent="0.35">
      <c r="A367" t="s">
        <v>355</v>
      </c>
      <c r="B367">
        <v>0</v>
      </c>
      <c r="C367" t="s">
        <v>469</v>
      </c>
      <c r="D367">
        <v>56</v>
      </c>
    </row>
    <row r="368" spans="1:10" x14ac:dyDescent="0.35">
      <c r="A368" t="s">
        <v>256</v>
      </c>
      <c r="B368">
        <v>0</v>
      </c>
      <c r="C368" t="s">
        <v>419</v>
      </c>
      <c r="D368">
        <v>55</v>
      </c>
    </row>
    <row r="369" spans="1:4" x14ac:dyDescent="0.35">
      <c r="A369" t="s">
        <v>356</v>
      </c>
      <c r="B369">
        <v>0</v>
      </c>
      <c r="C369" t="s">
        <v>420</v>
      </c>
      <c r="D369">
        <v>60</v>
      </c>
    </row>
  </sheetData>
  <autoFilter ref="I1:J359" xr:uid="{F046DE07-C0A3-4B1A-A950-A525B64A6E9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96E12-9967-4298-AFDC-CF4D0D930B4D}">
  <dimension ref="A1:I369"/>
  <sheetViews>
    <sheetView tabSelected="1" workbookViewId="0">
      <selection activeCell="K11" sqref="K11"/>
    </sheetView>
  </sheetViews>
  <sheetFormatPr defaultRowHeight="14.5" x14ac:dyDescent="0.35"/>
  <cols>
    <col min="1" max="1" width="21.26953125" bestFit="1" customWidth="1"/>
    <col min="2" max="2" width="11.7265625" bestFit="1" customWidth="1"/>
    <col min="4" max="4" width="21.26953125" hidden="1" customWidth="1"/>
    <col min="5" max="5" width="8.81640625" hidden="1" customWidth="1"/>
    <col min="6" max="6" width="10.453125" hidden="1" customWidth="1"/>
    <col min="7" max="7" width="3.81640625" hidden="1" customWidth="1"/>
    <col min="8" max="8" width="17.7265625" bestFit="1" customWidth="1"/>
    <col min="9" max="9" width="14" bestFit="1" customWidth="1"/>
  </cols>
  <sheetData>
    <row r="1" spans="1:9" s="8" customFormat="1" x14ac:dyDescent="0.35">
      <c r="A1" s="8" t="s">
        <v>470</v>
      </c>
      <c r="B1" s="8" t="s">
        <v>592</v>
      </c>
      <c r="D1" s="8" t="s">
        <v>470</v>
      </c>
      <c r="E1" s="8" t="s">
        <v>471</v>
      </c>
      <c r="H1" s="8" t="s">
        <v>593</v>
      </c>
      <c r="I1" s="8" t="s">
        <v>478</v>
      </c>
    </row>
    <row r="2" spans="1:9" x14ac:dyDescent="0.35">
      <c r="A2" s="1" t="s">
        <v>183</v>
      </c>
      <c r="B2">
        <v>0</v>
      </c>
      <c r="D2" t="s">
        <v>0</v>
      </c>
      <c r="E2">
        <v>0</v>
      </c>
      <c r="F2" t="s">
        <v>479</v>
      </c>
      <c r="G2">
        <v>69</v>
      </c>
      <c r="H2">
        <f>IF(COUNTIF(Sheet2!A:A,A2)&gt;0,VLOOKUP(A2,Sheet2!A:B,2,FALSE),"Not Found")</f>
        <v>0</v>
      </c>
      <c r="I2" t="str">
        <f>IF(B2=H2,"Match","Mis Match")</f>
        <v>Match</v>
      </c>
    </row>
    <row r="3" spans="1:9" x14ac:dyDescent="0.35">
      <c r="A3" s="1" t="s">
        <v>308</v>
      </c>
      <c r="B3">
        <v>0</v>
      </c>
      <c r="D3" t="s">
        <v>1</v>
      </c>
      <c r="E3">
        <v>0</v>
      </c>
      <c r="F3" t="s">
        <v>479</v>
      </c>
      <c r="G3">
        <v>69</v>
      </c>
      <c r="H3">
        <f>IF(COUNTIF(Sheet2!A:A,A3)&gt;0,VLOOKUP(A3,Sheet2!A:B,2,FALSE),"Not Found")</f>
        <v>0</v>
      </c>
      <c r="I3" t="str">
        <f t="shared" ref="I3:I66" si="0">IF(B3=H3,"Match","Mis Match")</f>
        <v>Match</v>
      </c>
    </row>
    <row r="4" spans="1:9" x14ac:dyDescent="0.35">
      <c r="A4" s="1" t="s">
        <v>88</v>
      </c>
      <c r="B4">
        <v>0</v>
      </c>
      <c r="D4" t="s">
        <v>2</v>
      </c>
      <c r="E4">
        <v>0</v>
      </c>
      <c r="F4" t="s">
        <v>479</v>
      </c>
      <c r="G4">
        <v>69</v>
      </c>
      <c r="H4">
        <f>IF(COUNTIF(Sheet2!A:A,A4)&gt;0,VLOOKUP(A4,Sheet2!A:B,2,FALSE),"Not Found")</f>
        <v>0</v>
      </c>
      <c r="I4" t="str">
        <f t="shared" si="0"/>
        <v>Match</v>
      </c>
    </row>
    <row r="5" spans="1:9" x14ac:dyDescent="0.35">
      <c r="A5" s="1" t="s">
        <v>182</v>
      </c>
      <c r="B5">
        <v>0</v>
      </c>
      <c r="D5" t="s">
        <v>3</v>
      </c>
      <c r="E5">
        <v>0</v>
      </c>
      <c r="F5" t="s">
        <v>479</v>
      </c>
      <c r="G5">
        <v>69</v>
      </c>
      <c r="H5">
        <f>IF(COUNTIF(Sheet2!A:A,A5)&gt;0,VLOOKUP(A5,Sheet2!A:B,2,FALSE),"Not Found")</f>
        <v>0</v>
      </c>
      <c r="I5" t="str">
        <f t="shared" si="0"/>
        <v>Match</v>
      </c>
    </row>
    <row r="6" spans="1:9" x14ac:dyDescent="0.35">
      <c r="A6" s="1" t="s">
        <v>344</v>
      </c>
      <c r="B6">
        <v>0</v>
      </c>
      <c r="D6" t="s">
        <v>4</v>
      </c>
      <c r="E6">
        <v>0</v>
      </c>
      <c r="F6" t="s">
        <v>480</v>
      </c>
      <c r="G6">
        <v>70</v>
      </c>
      <c r="H6">
        <f>IF(COUNTIF(Sheet2!A:A,A6)&gt;0,VLOOKUP(A6,Sheet2!A:B,2,FALSE),"Not Found")</f>
        <v>0</v>
      </c>
      <c r="I6" t="str">
        <f t="shared" si="0"/>
        <v>Match</v>
      </c>
    </row>
    <row r="7" spans="1:9" x14ac:dyDescent="0.35">
      <c r="A7" s="1" t="s">
        <v>149</v>
      </c>
      <c r="B7">
        <v>0</v>
      </c>
      <c r="D7" t="s">
        <v>5</v>
      </c>
      <c r="E7">
        <v>0</v>
      </c>
      <c r="F7" t="s">
        <v>481</v>
      </c>
      <c r="G7">
        <v>5</v>
      </c>
      <c r="H7">
        <f>IF(COUNTIF(Sheet2!A:A,A7)&gt;0,VLOOKUP(A7,Sheet2!A:B,2,FALSE),"Not Found")</f>
        <v>0</v>
      </c>
      <c r="I7" t="str">
        <f t="shared" si="0"/>
        <v>Match</v>
      </c>
    </row>
    <row r="8" spans="1:9" x14ac:dyDescent="0.35">
      <c r="A8" s="1" t="s">
        <v>230</v>
      </c>
      <c r="B8">
        <v>54</v>
      </c>
      <c r="D8" t="s">
        <v>6</v>
      </c>
      <c r="E8">
        <v>4261</v>
      </c>
      <c r="F8" t="s">
        <v>482</v>
      </c>
      <c r="G8">
        <v>11</v>
      </c>
      <c r="H8">
        <f>IF(COUNTIF(Sheet2!A:A,A8)&gt;0,VLOOKUP(A8,Sheet2!A:B,2,FALSE),"Not Found")</f>
        <v>54</v>
      </c>
      <c r="I8" t="str">
        <f t="shared" si="0"/>
        <v>Match</v>
      </c>
    </row>
    <row r="9" spans="1:9" x14ac:dyDescent="0.35">
      <c r="A9" s="1" t="s">
        <v>58</v>
      </c>
      <c r="B9">
        <v>18</v>
      </c>
      <c r="D9" t="s">
        <v>7</v>
      </c>
      <c r="E9">
        <v>0</v>
      </c>
      <c r="F9" t="s">
        <v>483</v>
      </c>
      <c r="G9">
        <v>18</v>
      </c>
      <c r="H9">
        <f>IF(COUNTIF(Sheet2!A:A,A9)&gt;0,VLOOKUP(A9,Sheet2!A:B,2,FALSE),"Not Found")</f>
        <v>18</v>
      </c>
      <c r="I9" t="str">
        <f t="shared" si="0"/>
        <v>Match</v>
      </c>
    </row>
    <row r="10" spans="1:9" x14ac:dyDescent="0.35">
      <c r="A10" s="1" t="s">
        <v>107</v>
      </c>
      <c r="B10">
        <v>40</v>
      </c>
      <c r="D10" t="s">
        <v>8</v>
      </c>
      <c r="E10">
        <v>0</v>
      </c>
      <c r="F10" t="s">
        <v>484</v>
      </c>
      <c r="G10">
        <v>14</v>
      </c>
      <c r="H10">
        <f>IF(COUNTIF(Sheet2!A:A,A10)&gt;0,VLOOKUP(A10,Sheet2!A:B,2,FALSE),"Not Found")</f>
        <v>40</v>
      </c>
      <c r="I10" t="str">
        <f t="shared" si="0"/>
        <v>Match</v>
      </c>
    </row>
    <row r="11" spans="1:9" x14ac:dyDescent="0.35">
      <c r="A11" s="1" t="s">
        <v>326</v>
      </c>
      <c r="B11">
        <v>183</v>
      </c>
      <c r="D11" t="s">
        <v>9</v>
      </c>
      <c r="E11">
        <v>0</v>
      </c>
      <c r="F11" t="s">
        <v>485</v>
      </c>
      <c r="G11">
        <v>17</v>
      </c>
      <c r="H11">
        <f>IF(COUNTIF(Sheet2!A:A,A11)&gt;0,VLOOKUP(A11,Sheet2!A:B,2,FALSE),"Not Found")</f>
        <v>183</v>
      </c>
      <c r="I11" t="str">
        <f t="shared" si="0"/>
        <v>Match</v>
      </c>
    </row>
    <row r="12" spans="1:9" x14ac:dyDescent="0.35">
      <c r="A12" s="1" t="s">
        <v>284</v>
      </c>
      <c r="B12">
        <v>481505</v>
      </c>
      <c r="D12" t="s">
        <v>10</v>
      </c>
      <c r="E12">
        <v>0</v>
      </c>
      <c r="F12" t="s">
        <v>485</v>
      </c>
      <c r="G12">
        <v>17</v>
      </c>
      <c r="H12">
        <f>IF(COUNTIF(Sheet2!A:A,A12)&gt;0,VLOOKUP(A12,Sheet2!A:B,2,FALSE),"Not Found")</f>
        <v>481505</v>
      </c>
      <c r="I12" t="str">
        <f t="shared" si="0"/>
        <v>Match</v>
      </c>
    </row>
    <row r="13" spans="1:9" x14ac:dyDescent="0.35">
      <c r="A13" s="1" t="s">
        <v>131</v>
      </c>
      <c r="B13">
        <v>0</v>
      </c>
      <c r="D13" t="s">
        <v>11</v>
      </c>
      <c r="E13">
        <v>0</v>
      </c>
      <c r="F13" t="s">
        <v>486</v>
      </c>
      <c r="G13">
        <v>36</v>
      </c>
      <c r="H13">
        <f>IF(COUNTIF(Sheet2!A:A,A13)&gt;0,VLOOKUP(A13,Sheet2!A:B,2,FALSE),"Not Found")</f>
        <v>0</v>
      </c>
      <c r="I13" t="str">
        <f t="shared" si="0"/>
        <v>Match</v>
      </c>
    </row>
    <row r="14" spans="1:9" x14ac:dyDescent="0.35">
      <c r="A14" s="1" t="s">
        <v>160</v>
      </c>
      <c r="B14">
        <v>0</v>
      </c>
      <c r="D14" t="s">
        <v>12</v>
      </c>
      <c r="E14">
        <v>0</v>
      </c>
      <c r="F14" t="s">
        <v>487</v>
      </c>
      <c r="G14">
        <v>21</v>
      </c>
      <c r="H14">
        <f>IF(COUNTIF(Sheet2!A:A,A14)&gt;0,VLOOKUP(A14,Sheet2!A:B,2,FALSE),"Not Found")</f>
        <v>0</v>
      </c>
      <c r="I14" t="str">
        <f t="shared" si="0"/>
        <v>Match</v>
      </c>
    </row>
    <row r="15" spans="1:9" x14ac:dyDescent="0.35">
      <c r="A15" s="1" t="s">
        <v>288</v>
      </c>
      <c r="B15">
        <v>0</v>
      </c>
      <c r="D15" t="s">
        <v>13</v>
      </c>
      <c r="E15">
        <v>2</v>
      </c>
      <c r="F15" t="s">
        <v>488</v>
      </c>
      <c r="G15">
        <v>85</v>
      </c>
      <c r="H15">
        <f>IF(COUNTIF(Sheet2!A:A,A15)&gt;0,VLOOKUP(A15,Sheet2!A:B,2,FALSE),"Not Found")</f>
        <v>0</v>
      </c>
      <c r="I15" t="str">
        <f t="shared" si="0"/>
        <v>Match</v>
      </c>
    </row>
    <row r="16" spans="1:9" x14ac:dyDescent="0.35">
      <c r="A16" s="1" t="s">
        <v>260</v>
      </c>
      <c r="B16">
        <v>0</v>
      </c>
      <c r="D16" t="s">
        <v>14</v>
      </c>
      <c r="E16">
        <v>2090896</v>
      </c>
      <c r="F16" t="s">
        <v>489</v>
      </c>
      <c r="G16">
        <v>3</v>
      </c>
      <c r="H16">
        <f>IF(COUNTIF(Sheet2!A:A,A16)&gt;0,VLOOKUP(A16,Sheet2!A:B,2,FALSE),"Not Found")</f>
        <v>0</v>
      </c>
      <c r="I16" t="str">
        <f t="shared" si="0"/>
        <v>Match</v>
      </c>
    </row>
    <row r="17" spans="1:9" x14ac:dyDescent="0.35">
      <c r="A17" s="1" t="s">
        <v>234</v>
      </c>
      <c r="B17">
        <v>0</v>
      </c>
      <c r="D17" t="s">
        <v>15</v>
      </c>
      <c r="E17">
        <v>1186095</v>
      </c>
      <c r="F17" t="s">
        <v>489</v>
      </c>
      <c r="G17">
        <v>3</v>
      </c>
      <c r="H17">
        <f>IF(COUNTIF(Sheet2!A:A,A17)&gt;0,VLOOKUP(A17,Sheet2!A:B,2,FALSE),"Not Found")</f>
        <v>0</v>
      </c>
      <c r="I17" t="str">
        <f t="shared" si="0"/>
        <v>Match</v>
      </c>
    </row>
    <row r="18" spans="1:9" x14ac:dyDescent="0.35">
      <c r="A18" s="1" t="s">
        <v>108</v>
      </c>
      <c r="B18">
        <v>0</v>
      </c>
      <c r="D18" t="s">
        <v>16</v>
      </c>
      <c r="E18">
        <v>0</v>
      </c>
      <c r="F18" t="s">
        <v>490</v>
      </c>
      <c r="G18">
        <v>99</v>
      </c>
      <c r="H18">
        <f>IF(COUNTIF(Sheet2!A:A,A18)&gt;0,VLOOKUP(A18,Sheet2!A:B,2,FALSE),"Not Found")</f>
        <v>0</v>
      </c>
      <c r="I18" t="str">
        <f t="shared" si="0"/>
        <v>Match</v>
      </c>
    </row>
    <row r="19" spans="1:9" x14ac:dyDescent="0.35">
      <c r="A19" s="1" t="s">
        <v>109</v>
      </c>
      <c r="B19">
        <v>0</v>
      </c>
      <c r="D19" t="s">
        <v>17</v>
      </c>
      <c r="E19">
        <v>0</v>
      </c>
      <c r="F19" t="s">
        <v>491</v>
      </c>
      <c r="G19">
        <v>113</v>
      </c>
      <c r="H19">
        <f>IF(COUNTIF(Sheet2!A:A,A19)&gt;0,VLOOKUP(A19,Sheet2!A:B,2,FALSE),"Not Found")</f>
        <v>0</v>
      </c>
      <c r="I19" t="str">
        <f t="shared" si="0"/>
        <v>Match</v>
      </c>
    </row>
    <row r="20" spans="1:9" x14ac:dyDescent="0.35">
      <c r="A20" s="1" t="s">
        <v>194</v>
      </c>
      <c r="B20">
        <v>0</v>
      </c>
      <c r="D20" t="s">
        <v>18</v>
      </c>
      <c r="E20">
        <v>0</v>
      </c>
      <c r="F20" t="s">
        <v>492</v>
      </c>
      <c r="G20">
        <v>86</v>
      </c>
      <c r="H20">
        <f>IF(COUNTIF(Sheet2!A:A,A20)&gt;0,VLOOKUP(A20,Sheet2!A:B,2,FALSE),"Not Found")</f>
        <v>0</v>
      </c>
      <c r="I20" t="str">
        <f t="shared" si="0"/>
        <v>Match</v>
      </c>
    </row>
    <row r="21" spans="1:9" x14ac:dyDescent="0.35">
      <c r="A21" s="1" t="s">
        <v>5</v>
      </c>
      <c r="B21">
        <v>0</v>
      </c>
      <c r="D21" t="s">
        <v>19</v>
      </c>
      <c r="E21">
        <v>0</v>
      </c>
      <c r="F21" t="s">
        <v>492</v>
      </c>
      <c r="G21">
        <v>86</v>
      </c>
      <c r="H21">
        <f>IF(COUNTIF(Sheet2!A:A,A21)&gt;0,VLOOKUP(A21,Sheet2!A:B,2,FALSE),"Not Found")</f>
        <v>0</v>
      </c>
      <c r="I21" t="str">
        <f t="shared" si="0"/>
        <v>Match</v>
      </c>
    </row>
    <row r="22" spans="1:9" x14ac:dyDescent="0.35">
      <c r="A22" s="1" t="s">
        <v>325</v>
      </c>
      <c r="B22">
        <v>0</v>
      </c>
      <c r="D22" t="s">
        <v>20</v>
      </c>
      <c r="E22">
        <v>0</v>
      </c>
      <c r="F22" t="s">
        <v>492</v>
      </c>
      <c r="G22">
        <v>86</v>
      </c>
      <c r="H22">
        <f>IF(COUNTIF(Sheet2!A:A,A22)&gt;0,VLOOKUP(A22,Sheet2!A:B,2,FALSE),"Not Found")</f>
        <v>0</v>
      </c>
      <c r="I22" t="str">
        <f t="shared" si="0"/>
        <v>Match</v>
      </c>
    </row>
    <row r="23" spans="1:9" x14ac:dyDescent="0.35">
      <c r="A23" s="1" t="s">
        <v>6</v>
      </c>
      <c r="B23">
        <v>4261</v>
      </c>
      <c r="D23" t="s">
        <v>21</v>
      </c>
      <c r="E23">
        <v>0</v>
      </c>
      <c r="F23" t="s">
        <v>492</v>
      </c>
      <c r="G23">
        <v>86</v>
      </c>
      <c r="H23">
        <f>IF(COUNTIF(Sheet2!A:A,A23)&gt;0,VLOOKUP(A23,Sheet2!A:B,2,FALSE),"Not Found")</f>
        <v>4261</v>
      </c>
      <c r="I23" t="str">
        <f t="shared" si="0"/>
        <v>Match</v>
      </c>
    </row>
    <row r="24" spans="1:9" x14ac:dyDescent="0.35">
      <c r="A24" s="1" t="s">
        <v>154</v>
      </c>
      <c r="B24">
        <v>9069</v>
      </c>
      <c r="D24" t="s">
        <v>22</v>
      </c>
      <c r="E24">
        <v>0</v>
      </c>
      <c r="F24" t="s">
        <v>493</v>
      </c>
      <c r="G24">
        <v>1</v>
      </c>
      <c r="H24">
        <f>IF(COUNTIF(Sheet2!A:A,A24)&gt;0,VLOOKUP(A24,Sheet2!A:B,2,FALSE),"Not Found")</f>
        <v>9069</v>
      </c>
      <c r="I24" t="str">
        <f t="shared" si="0"/>
        <v>Match</v>
      </c>
    </row>
    <row r="25" spans="1:9" x14ac:dyDescent="0.35">
      <c r="A25" s="1" t="s">
        <v>278</v>
      </c>
      <c r="B25">
        <v>2343</v>
      </c>
      <c r="D25" t="s">
        <v>23</v>
      </c>
      <c r="E25">
        <v>187928</v>
      </c>
      <c r="F25" t="s">
        <v>493</v>
      </c>
      <c r="G25">
        <v>1</v>
      </c>
      <c r="H25">
        <f>IF(COUNTIF(Sheet2!A:A,A25)&gt;0,VLOOKUP(A25,Sheet2!A:B,2,FALSE),"Not Found")</f>
        <v>2343</v>
      </c>
      <c r="I25" t="str">
        <f t="shared" si="0"/>
        <v>Match</v>
      </c>
    </row>
    <row r="26" spans="1:9" x14ac:dyDescent="0.35">
      <c r="A26" s="1" t="s">
        <v>306</v>
      </c>
      <c r="B26">
        <v>0</v>
      </c>
      <c r="D26" t="s">
        <v>24</v>
      </c>
      <c r="E26">
        <v>647</v>
      </c>
      <c r="F26" t="s">
        <v>493</v>
      </c>
      <c r="G26">
        <v>1</v>
      </c>
      <c r="H26">
        <f>IF(COUNTIF(Sheet2!A:A,A26)&gt;0,VLOOKUP(A26,Sheet2!A:B,2,FALSE),"Not Found")</f>
        <v>0</v>
      </c>
      <c r="I26" t="str">
        <f t="shared" si="0"/>
        <v>Match</v>
      </c>
    </row>
    <row r="27" spans="1:9" x14ac:dyDescent="0.35">
      <c r="A27" s="1" t="s">
        <v>83</v>
      </c>
      <c r="B27">
        <v>0</v>
      </c>
      <c r="D27" t="s">
        <v>25</v>
      </c>
      <c r="E27">
        <v>7390532</v>
      </c>
      <c r="F27" t="s">
        <v>493</v>
      </c>
      <c r="G27">
        <v>1</v>
      </c>
      <c r="H27">
        <f>IF(COUNTIF(Sheet2!A:A,A27)&gt;0,VLOOKUP(A27,Sheet2!A:B,2,FALSE),"Not Found")</f>
        <v>0</v>
      </c>
      <c r="I27" t="str">
        <f t="shared" si="0"/>
        <v>Match</v>
      </c>
    </row>
    <row r="28" spans="1:9" x14ac:dyDescent="0.35">
      <c r="A28" s="1" t="s">
        <v>84</v>
      </c>
      <c r="B28">
        <v>0</v>
      </c>
      <c r="D28" t="s">
        <v>26</v>
      </c>
      <c r="E28">
        <v>45985292</v>
      </c>
      <c r="F28" t="s">
        <v>493</v>
      </c>
      <c r="G28">
        <v>1</v>
      </c>
      <c r="H28">
        <f>IF(COUNTIF(Sheet2!A:A,A28)&gt;0,VLOOKUP(A28,Sheet2!A:B,2,FALSE),"Not Found")</f>
        <v>0</v>
      </c>
      <c r="I28" t="str">
        <f t="shared" si="0"/>
        <v>Match</v>
      </c>
    </row>
    <row r="29" spans="1:9" x14ac:dyDescent="0.35">
      <c r="A29" s="1" t="s">
        <v>10</v>
      </c>
      <c r="B29">
        <v>0</v>
      </c>
      <c r="D29" t="s">
        <v>27</v>
      </c>
      <c r="E29">
        <v>0</v>
      </c>
      <c r="F29" t="s">
        <v>493</v>
      </c>
      <c r="G29">
        <v>1</v>
      </c>
      <c r="H29">
        <f>IF(COUNTIF(Sheet2!A:A,A29)&gt;0,VLOOKUP(A29,Sheet2!A:B,2,FALSE),"Not Found")</f>
        <v>0</v>
      </c>
      <c r="I29" t="str">
        <f t="shared" si="0"/>
        <v>Match</v>
      </c>
    </row>
    <row r="30" spans="1:9" x14ac:dyDescent="0.35">
      <c r="A30" s="1" t="s">
        <v>9</v>
      </c>
      <c r="B30">
        <v>0</v>
      </c>
      <c r="D30" t="s">
        <v>28</v>
      </c>
      <c r="E30">
        <v>0</v>
      </c>
      <c r="F30" t="s">
        <v>494</v>
      </c>
      <c r="G30">
        <v>42</v>
      </c>
      <c r="H30">
        <f>IF(COUNTIF(Sheet2!A:A,A30)&gt;0,VLOOKUP(A30,Sheet2!A:B,2,FALSE),"Not Found")</f>
        <v>0</v>
      </c>
      <c r="I30" t="str">
        <f t="shared" si="0"/>
        <v>Match</v>
      </c>
    </row>
    <row r="31" spans="1:9" x14ac:dyDescent="0.35">
      <c r="A31" s="1" t="s">
        <v>232</v>
      </c>
      <c r="B31">
        <v>0</v>
      </c>
      <c r="D31" t="s">
        <v>29</v>
      </c>
      <c r="E31">
        <v>0</v>
      </c>
      <c r="F31" t="s">
        <v>494</v>
      </c>
      <c r="G31">
        <v>42</v>
      </c>
      <c r="H31">
        <f>IF(COUNTIF(Sheet2!A:A,A31)&gt;0,VLOOKUP(A31,Sheet2!A:B,2,FALSE),"Not Found")</f>
        <v>0</v>
      </c>
      <c r="I31" t="str">
        <f t="shared" si="0"/>
        <v>Match</v>
      </c>
    </row>
    <row r="32" spans="1:9" x14ac:dyDescent="0.35">
      <c r="A32" s="1" t="s">
        <v>60</v>
      </c>
      <c r="B32">
        <v>0</v>
      </c>
      <c r="D32" t="s">
        <v>30</v>
      </c>
      <c r="E32">
        <v>8919</v>
      </c>
      <c r="F32" t="s">
        <v>495</v>
      </c>
      <c r="G32">
        <v>114</v>
      </c>
      <c r="H32">
        <f>IF(COUNTIF(Sheet2!A:A,A32)&gt;0,VLOOKUP(A32,Sheet2!A:B,2,FALSE),"Not Found")</f>
        <v>0</v>
      </c>
      <c r="I32" t="str">
        <f t="shared" si="0"/>
        <v>Match</v>
      </c>
    </row>
    <row r="33" spans="1:9" x14ac:dyDescent="0.35">
      <c r="A33" s="1" t="s">
        <v>7</v>
      </c>
      <c r="B33">
        <v>0</v>
      </c>
      <c r="D33" t="s">
        <v>31</v>
      </c>
      <c r="E33">
        <v>0</v>
      </c>
      <c r="F33" t="s">
        <v>496</v>
      </c>
      <c r="G33">
        <v>88</v>
      </c>
      <c r="H33">
        <f>IF(COUNTIF(Sheet2!A:A,A33)&gt;0,VLOOKUP(A33,Sheet2!A:B,2,FALSE),"Not Found")</f>
        <v>0</v>
      </c>
      <c r="I33" t="str">
        <f t="shared" si="0"/>
        <v>Match</v>
      </c>
    </row>
    <row r="34" spans="1:9" x14ac:dyDescent="0.35">
      <c r="A34" s="1" t="s">
        <v>115</v>
      </c>
      <c r="B34">
        <v>2</v>
      </c>
      <c r="D34" t="s">
        <v>32</v>
      </c>
      <c r="E34">
        <v>0</v>
      </c>
      <c r="F34" t="s">
        <v>497</v>
      </c>
      <c r="G34">
        <v>102</v>
      </c>
      <c r="H34">
        <f>IF(COUNTIF(Sheet2!A:A,A34)&gt;0,VLOOKUP(A34,Sheet2!A:B,2,FALSE),"Not Found")</f>
        <v>2</v>
      </c>
      <c r="I34" t="str">
        <f t="shared" si="0"/>
        <v>Match</v>
      </c>
    </row>
    <row r="35" spans="1:9" x14ac:dyDescent="0.35">
      <c r="A35" s="1" t="s">
        <v>201</v>
      </c>
      <c r="B35">
        <v>1</v>
      </c>
      <c r="D35" t="s">
        <v>33</v>
      </c>
      <c r="E35">
        <v>0</v>
      </c>
      <c r="F35" t="s">
        <v>498</v>
      </c>
      <c r="G35">
        <v>79</v>
      </c>
      <c r="H35">
        <f>IF(COUNTIF(Sheet2!A:A,A35)&gt;0,VLOOKUP(A35,Sheet2!A:B,2,FALSE),"Not Found")</f>
        <v>1</v>
      </c>
      <c r="I35" t="str">
        <f t="shared" si="0"/>
        <v>Match</v>
      </c>
    </row>
    <row r="36" spans="1:9" x14ac:dyDescent="0.35">
      <c r="A36" s="1" t="s">
        <v>13</v>
      </c>
      <c r="B36">
        <v>2</v>
      </c>
      <c r="D36" t="s">
        <v>34</v>
      </c>
      <c r="E36">
        <v>0</v>
      </c>
      <c r="F36" t="s">
        <v>498</v>
      </c>
      <c r="G36">
        <v>79</v>
      </c>
      <c r="H36">
        <f>IF(COUNTIF(Sheet2!A:A,A36)&gt;0,VLOOKUP(A36,Sheet2!A:B,2,FALSE),"Not Found")</f>
        <v>2</v>
      </c>
      <c r="I36" t="str">
        <f t="shared" si="0"/>
        <v>Match</v>
      </c>
    </row>
    <row r="37" spans="1:9" x14ac:dyDescent="0.35">
      <c r="A37" s="1" t="s">
        <v>70</v>
      </c>
      <c r="B37">
        <v>2</v>
      </c>
      <c r="D37" t="s">
        <v>35</v>
      </c>
      <c r="E37">
        <v>0</v>
      </c>
      <c r="F37" t="s">
        <v>498</v>
      </c>
      <c r="G37">
        <v>79</v>
      </c>
      <c r="H37">
        <f>IF(COUNTIF(Sheet2!A:A,A37)&gt;0,VLOOKUP(A37,Sheet2!A:B,2,FALSE),"Not Found")</f>
        <v>2</v>
      </c>
      <c r="I37" t="str">
        <f t="shared" si="0"/>
        <v>Match</v>
      </c>
    </row>
    <row r="38" spans="1:9" x14ac:dyDescent="0.35">
      <c r="A38" s="1" t="s">
        <v>161</v>
      </c>
      <c r="B38">
        <v>4</v>
      </c>
      <c r="D38" t="s">
        <v>36</v>
      </c>
      <c r="E38">
        <v>0</v>
      </c>
      <c r="F38" t="s">
        <v>498</v>
      </c>
      <c r="G38">
        <v>79</v>
      </c>
      <c r="H38">
        <f>IF(COUNTIF(Sheet2!A:A,A38)&gt;0,VLOOKUP(A38,Sheet2!A:B,2,FALSE),"Not Found")</f>
        <v>4</v>
      </c>
      <c r="I38" t="str">
        <f t="shared" si="0"/>
        <v>Match</v>
      </c>
    </row>
    <row r="39" spans="1:9" x14ac:dyDescent="0.35">
      <c r="A39" s="1" t="s">
        <v>116</v>
      </c>
      <c r="B39">
        <v>2</v>
      </c>
      <c r="D39" t="s">
        <v>37</v>
      </c>
      <c r="E39">
        <v>0</v>
      </c>
      <c r="F39" t="s">
        <v>498</v>
      </c>
      <c r="G39">
        <v>79</v>
      </c>
      <c r="H39">
        <f>IF(COUNTIF(Sheet2!A:A,A39)&gt;0,VLOOKUP(A39,Sheet2!A:B,2,FALSE),"Not Found")</f>
        <v>2</v>
      </c>
      <c r="I39" t="str">
        <f t="shared" si="0"/>
        <v>Match</v>
      </c>
    </row>
    <row r="40" spans="1:9" x14ac:dyDescent="0.35">
      <c r="A40" s="1" t="s">
        <v>243</v>
      </c>
      <c r="B40">
        <v>0</v>
      </c>
      <c r="D40" t="s">
        <v>38</v>
      </c>
      <c r="E40">
        <v>0</v>
      </c>
      <c r="F40" t="s">
        <v>498</v>
      </c>
      <c r="G40">
        <v>79</v>
      </c>
      <c r="H40">
        <f>IF(COUNTIF(Sheet2!A:A,A40)&gt;0,VLOOKUP(A40,Sheet2!A:B,2,FALSE),"Not Found")</f>
        <v>0</v>
      </c>
      <c r="I40" t="str">
        <f t="shared" si="0"/>
        <v>Match</v>
      </c>
    </row>
    <row r="41" spans="1:9" x14ac:dyDescent="0.35">
      <c r="A41" s="1" t="s">
        <v>162</v>
      </c>
      <c r="B41">
        <v>0</v>
      </c>
      <c r="D41" t="s">
        <v>39</v>
      </c>
      <c r="E41">
        <v>0</v>
      </c>
      <c r="F41" t="s">
        <v>498</v>
      </c>
      <c r="G41">
        <v>79</v>
      </c>
      <c r="H41">
        <f>IF(COUNTIF(Sheet2!A:A,A41)&gt;0,VLOOKUP(A41,Sheet2!A:B,2,FALSE),"Not Found")</f>
        <v>0</v>
      </c>
      <c r="I41" t="str">
        <f t="shared" si="0"/>
        <v>Match</v>
      </c>
    </row>
    <row r="42" spans="1:9" x14ac:dyDescent="0.35">
      <c r="A42" s="1" t="s">
        <v>72</v>
      </c>
      <c r="B42">
        <v>0</v>
      </c>
      <c r="D42" t="s">
        <v>40</v>
      </c>
      <c r="E42">
        <v>0</v>
      </c>
      <c r="F42" t="s">
        <v>498</v>
      </c>
      <c r="G42">
        <v>79</v>
      </c>
      <c r="H42">
        <f>IF(COUNTIF(Sheet2!A:A,A42)&gt;0,VLOOKUP(A42,Sheet2!A:B,2,FALSE),"Not Found")</f>
        <v>0</v>
      </c>
      <c r="I42" t="str">
        <f t="shared" si="0"/>
        <v>Match</v>
      </c>
    </row>
    <row r="43" spans="1:9" x14ac:dyDescent="0.35">
      <c r="A43" s="1" t="s">
        <v>35</v>
      </c>
      <c r="B43">
        <v>0</v>
      </c>
      <c r="D43" t="s">
        <v>41</v>
      </c>
      <c r="E43">
        <v>0</v>
      </c>
      <c r="F43" t="s">
        <v>498</v>
      </c>
      <c r="G43">
        <v>79</v>
      </c>
      <c r="H43">
        <f>IF(COUNTIF(Sheet2!A:A,A43)&gt;0,VLOOKUP(A43,Sheet2!A:B,2,FALSE),"Not Found")</f>
        <v>0</v>
      </c>
      <c r="I43" t="str">
        <f t="shared" si="0"/>
        <v>Match</v>
      </c>
    </row>
    <row r="44" spans="1:9" x14ac:dyDescent="0.35">
      <c r="A44" s="1" t="s">
        <v>34</v>
      </c>
      <c r="B44">
        <v>0</v>
      </c>
      <c r="D44" t="s">
        <v>42</v>
      </c>
      <c r="E44">
        <v>0</v>
      </c>
      <c r="F44" t="s">
        <v>498</v>
      </c>
      <c r="G44">
        <v>79</v>
      </c>
      <c r="H44">
        <f>IF(COUNTIF(Sheet2!A:A,A44)&gt;0,VLOOKUP(A44,Sheet2!A:B,2,FALSE),"Not Found")</f>
        <v>0</v>
      </c>
      <c r="I44" t="str">
        <f t="shared" si="0"/>
        <v>Match</v>
      </c>
    </row>
    <row r="45" spans="1:9" x14ac:dyDescent="0.35">
      <c r="A45" s="1" t="s">
        <v>16</v>
      </c>
      <c r="B45">
        <v>0</v>
      </c>
      <c r="D45" t="s">
        <v>43</v>
      </c>
      <c r="E45">
        <v>0</v>
      </c>
      <c r="F45" t="s">
        <v>498</v>
      </c>
      <c r="G45">
        <v>79</v>
      </c>
      <c r="H45">
        <f>IF(COUNTIF(Sheet2!A:A,A45)&gt;0,VLOOKUP(A45,Sheet2!A:B,2,FALSE),"Not Found")</f>
        <v>0</v>
      </c>
      <c r="I45" t="str">
        <f t="shared" si="0"/>
        <v>Match</v>
      </c>
    </row>
    <row r="46" spans="1:9" x14ac:dyDescent="0.35">
      <c r="A46" s="1" t="s">
        <v>290</v>
      </c>
      <c r="B46">
        <v>0</v>
      </c>
      <c r="D46" t="s">
        <v>44</v>
      </c>
      <c r="E46">
        <v>0</v>
      </c>
      <c r="F46" t="s">
        <v>498</v>
      </c>
      <c r="G46">
        <v>79</v>
      </c>
      <c r="H46">
        <f>IF(COUNTIF(Sheet2!A:A,A46)&gt;0,VLOOKUP(A46,Sheet2!A:B,2,FALSE),"Not Found")</f>
        <v>0</v>
      </c>
      <c r="I46" t="str">
        <f t="shared" si="0"/>
        <v>Match</v>
      </c>
    </row>
    <row r="47" spans="1:9" x14ac:dyDescent="0.35">
      <c r="A47" s="1" t="s">
        <v>120</v>
      </c>
      <c r="B47">
        <v>0</v>
      </c>
      <c r="D47" t="s">
        <v>45</v>
      </c>
      <c r="E47">
        <v>0</v>
      </c>
      <c r="F47" t="s">
        <v>498</v>
      </c>
      <c r="G47">
        <v>79</v>
      </c>
      <c r="H47">
        <f>IF(COUNTIF(Sheet2!A:A,A47)&gt;0,VLOOKUP(A47,Sheet2!A:B,2,FALSE),"Not Found")</f>
        <v>0</v>
      </c>
      <c r="I47" t="str">
        <f t="shared" si="0"/>
        <v>Match</v>
      </c>
    </row>
    <row r="48" spans="1:9" x14ac:dyDescent="0.35">
      <c r="A48" s="1" t="s">
        <v>132</v>
      </c>
      <c r="B48">
        <v>0</v>
      </c>
      <c r="D48" t="s">
        <v>46</v>
      </c>
      <c r="E48">
        <v>0</v>
      </c>
      <c r="F48" t="s">
        <v>498</v>
      </c>
      <c r="G48">
        <v>79</v>
      </c>
      <c r="H48">
        <f>IF(COUNTIF(Sheet2!A:A,A48)&gt;0,VLOOKUP(A48,Sheet2!A:B,2,FALSE),"Not Found")</f>
        <v>0</v>
      </c>
      <c r="I48" t="str">
        <f t="shared" si="0"/>
        <v>Match</v>
      </c>
    </row>
    <row r="49" spans="1:9" x14ac:dyDescent="0.35">
      <c r="A49" s="1" t="s">
        <v>309</v>
      </c>
      <c r="B49">
        <v>0</v>
      </c>
      <c r="D49" t="s">
        <v>47</v>
      </c>
      <c r="E49">
        <v>0</v>
      </c>
      <c r="F49" t="s">
        <v>498</v>
      </c>
      <c r="G49">
        <v>79</v>
      </c>
      <c r="H49">
        <f>IF(COUNTIF(Sheet2!A:A,A49)&gt;0,VLOOKUP(A49,Sheet2!A:B,2,FALSE),"Not Found")</f>
        <v>0</v>
      </c>
      <c r="I49" t="str">
        <f t="shared" si="0"/>
        <v>Match</v>
      </c>
    </row>
    <row r="50" spans="1:9" x14ac:dyDescent="0.35">
      <c r="A50" s="1" t="s">
        <v>36</v>
      </c>
      <c r="B50">
        <v>0</v>
      </c>
      <c r="D50" t="s">
        <v>48</v>
      </c>
      <c r="E50">
        <v>0</v>
      </c>
      <c r="F50" t="s">
        <v>499</v>
      </c>
      <c r="G50">
        <v>106</v>
      </c>
      <c r="H50">
        <f>IF(COUNTIF(Sheet2!A:A,A50)&gt;0,VLOOKUP(A50,Sheet2!A:B,2,FALSE),"Not Found")</f>
        <v>0</v>
      </c>
      <c r="I50" t="str">
        <f t="shared" si="0"/>
        <v>Match</v>
      </c>
    </row>
    <row r="51" spans="1:9" x14ac:dyDescent="0.35">
      <c r="A51" s="1" t="s">
        <v>176</v>
      </c>
      <c r="B51">
        <v>0</v>
      </c>
      <c r="D51" t="s">
        <v>49</v>
      </c>
      <c r="E51">
        <v>0</v>
      </c>
      <c r="F51" t="s">
        <v>500</v>
      </c>
      <c r="G51">
        <v>59</v>
      </c>
      <c r="H51">
        <f>IF(COUNTIF(Sheet2!A:A,A51)&gt;0,VLOOKUP(A51,Sheet2!A:B,2,FALSE),"Not Found")</f>
        <v>0</v>
      </c>
      <c r="I51" t="str">
        <f t="shared" si="0"/>
        <v>Match</v>
      </c>
    </row>
    <row r="52" spans="1:9" x14ac:dyDescent="0.35">
      <c r="A52" s="1" t="s">
        <v>127</v>
      </c>
      <c r="B52">
        <v>0</v>
      </c>
      <c r="D52" t="s">
        <v>50</v>
      </c>
      <c r="E52">
        <v>0</v>
      </c>
      <c r="F52" t="s">
        <v>501</v>
      </c>
      <c r="G52">
        <v>52</v>
      </c>
      <c r="H52">
        <f>IF(COUNTIF(Sheet2!A:A,A52)&gt;0,VLOOKUP(A52,Sheet2!A:B,2,FALSE),"Not Found")</f>
        <v>0</v>
      </c>
      <c r="I52" t="str">
        <f t="shared" si="0"/>
        <v>Match</v>
      </c>
    </row>
    <row r="53" spans="1:9" x14ac:dyDescent="0.35">
      <c r="A53" s="1" t="s">
        <v>28</v>
      </c>
      <c r="B53">
        <v>0</v>
      </c>
      <c r="D53" t="s">
        <v>51</v>
      </c>
      <c r="E53">
        <v>0</v>
      </c>
      <c r="F53" t="s">
        <v>502</v>
      </c>
      <c r="G53">
        <v>108</v>
      </c>
      <c r="H53">
        <f>IF(COUNTIF(Sheet2!A:A,A53)&gt;0,VLOOKUP(A53,Sheet2!A:B,2,FALSE),"Not Found")</f>
        <v>0</v>
      </c>
      <c r="I53" t="str">
        <f t="shared" si="0"/>
        <v>Match</v>
      </c>
    </row>
    <row r="54" spans="1:9" x14ac:dyDescent="0.35">
      <c r="A54" s="1" t="s">
        <v>14</v>
      </c>
      <c r="B54">
        <v>2090896</v>
      </c>
      <c r="D54" t="s">
        <v>52</v>
      </c>
      <c r="E54">
        <v>0</v>
      </c>
      <c r="F54" t="s">
        <v>503</v>
      </c>
      <c r="G54">
        <v>109</v>
      </c>
      <c r="H54">
        <f>IF(COUNTIF(Sheet2!A:A,A54)&gt;0,VLOOKUP(A54,Sheet2!A:B,2,FALSE),"Not Found")</f>
        <v>2090896</v>
      </c>
      <c r="I54" t="str">
        <f t="shared" si="0"/>
        <v>Match</v>
      </c>
    </row>
    <row r="55" spans="1:9" x14ac:dyDescent="0.35">
      <c r="A55" s="1" t="s">
        <v>37</v>
      </c>
      <c r="B55">
        <v>0</v>
      </c>
      <c r="D55" t="s">
        <v>53</v>
      </c>
      <c r="E55">
        <v>0</v>
      </c>
      <c r="F55" t="s">
        <v>498</v>
      </c>
      <c r="G55">
        <v>79</v>
      </c>
      <c r="H55">
        <f>IF(COUNTIF(Sheet2!A:A,A55)&gt;0,VLOOKUP(A55,Sheet2!A:B,2,FALSE),"Not Found")</f>
        <v>0</v>
      </c>
      <c r="I55" t="str">
        <f t="shared" si="0"/>
        <v>Match</v>
      </c>
    </row>
    <row r="56" spans="1:9" x14ac:dyDescent="0.35">
      <c r="A56" s="1" t="s">
        <v>261</v>
      </c>
      <c r="B56">
        <v>0</v>
      </c>
      <c r="D56" t="s">
        <v>54</v>
      </c>
      <c r="E56">
        <v>2328237</v>
      </c>
      <c r="F56" t="s">
        <v>504</v>
      </c>
      <c r="G56">
        <v>111</v>
      </c>
      <c r="H56">
        <f>IF(COUNTIF(Sheet2!A:A,A56)&gt;0,VLOOKUP(A56,Sheet2!A:B,2,FALSE),"Not Found")</f>
        <v>0</v>
      </c>
      <c r="I56" t="str">
        <f t="shared" si="0"/>
        <v>Match</v>
      </c>
    </row>
    <row r="57" spans="1:9" x14ac:dyDescent="0.35">
      <c r="A57" s="1" t="s">
        <v>217</v>
      </c>
      <c r="B57">
        <v>0</v>
      </c>
      <c r="D57" t="s">
        <v>55</v>
      </c>
      <c r="E57">
        <v>0</v>
      </c>
      <c r="F57" t="s">
        <v>505</v>
      </c>
      <c r="G57">
        <v>49</v>
      </c>
      <c r="H57">
        <f>IF(COUNTIF(Sheet2!A:A,A57)&gt;0,VLOOKUP(A57,Sheet2!A:B,2,FALSE),"Not Found")</f>
        <v>0</v>
      </c>
      <c r="I57" t="str">
        <f t="shared" si="0"/>
        <v>Match</v>
      </c>
    </row>
    <row r="58" spans="1:9" x14ac:dyDescent="0.35">
      <c r="A58" s="1" t="s">
        <v>245</v>
      </c>
      <c r="B58">
        <v>0</v>
      </c>
      <c r="D58" t="s">
        <v>56</v>
      </c>
      <c r="E58">
        <v>0</v>
      </c>
      <c r="F58" t="s">
        <v>506</v>
      </c>
      <c r="G58">
        <v>81</v>
      </c>
      <c r="H58">
        <f>IF(COUNTIF(Sheet2!A:A,A58)&gt;0,VLOOKUP(A58,Sheet2!A:B,2,FALSE),"Not Found")</f>
        <v>0</v>
      </c>
      <c r="I58" t="str">
        <f t="shared" si="0"/>
        <v>Match</v>
      </c>
    </row>
    <row r="59" spans="1:9" x14ac:dyDescent="0.35">
      <c r="A59" s="1" t="s">
        <v>257</v>
      </c>
      <c r="B59">
        <v>0</v>
      </c>
      <c r="D59" t="s">
        <v>57</v>
      </c>
      <c r="E59">
        <v>0</v>
      </c>
      <c r="F59" t="s">
        <v>507</v>
      </c>
      <c r="G59">
        <v>110</v>
      </c>
      <c r="H59">
        <f>IF(COUNTIF(Sheet2!A:A,A59)&gt;0,VLOOKUP(A59,Sheet2!A:B,2,FALSE),"Not Found")</f>
        <v>0</v>
      </c>
      <c r="I59" t="str">
        <f t="shared" si="0"/>
        <v>Match</v>
      </c>
    </row>
    <row r="60" spans="1:9" x14ac:dyDescent="0.35">
      <c r="A60" s="1" t="s">
        <v>133</v>
      </c>
      <c r="B60">
        <v>0</v>
      </c>
      <c r="D60" t="s">
        <v>58</v>
      </c>
      <c r="E60">
        <v>18</v>
      </c>
      <c r="F60" t="s">
        <v>508</v>
      </c>
      <c r="G60">
        <v>6</v>
      </c>
      <c r="H60">
        <f>IF(COUNTIF(Sheet2!A:A,A60)&gt;0,VLOOKUP(A60,Sheet2!A:B,2,FALSE),"Not Found")</f>
        <v>0</v>
      </c>
      <c r="I60" t="str">
        <f t="shared" si="0"/>
        <v>Match</v>
      </c>
    </row>
    <row r="61" spans="1:9" x14ac:dyDescent="0.35">
      <c r="A61" s="1" t="s">
        <v>134</v>
      </c>
      <c r="B61">
        <v>0</v>
      </c>
      <c r="D61" t="s">
        <v>59</v>
      </c>
      <c r="E61">
        <v>1661481</v>
      </c>
      <c r="F61" t="s">
        <v>509</v>
      </c>
      <c r="G61">
        <v>10</v>
      </c>
      <c r="H61">
        <f>IF(COUNTIF(Sheet2!A:A,A61)&gt;0,VLOOKUP(A61,Sheet2!A:B,2,FALSE),"Not Found")</f>
        <v>0</v>
      </c>
      <c r="I61" t="str">
        <f t="shared" si="0"/>
        <v>Match</v>
      </c>
    </row>
    <row r="62" spans="1:9" x14ac:dyDescent="0.35">
      <c r="A62" s="1" t="s">
        <v>85</v>
      </c>
      <c r="B62">
        <v>0</v>
      </c>
      <c r="D62" t="s">
        <v>60</v>
      </c>
      <c r="E62">
        <v>0</v>
      </c>
      <c r="F62" t="s">
        <v>483</v>
      </c>
      <c r="G62">
        <v>18</v>
      </c>
      <c r="H62">
        <f>IF(COUNTIF(Sheet2!A:A,A62)&gt;0,VLOOKUP(A62,Sheet2!A:B,2,FALSE),"Not Found")</f>
        <v>0</v>
      </c>
      <c r="I62" t="str">
        <f t="shared" si="0"/>
        <v>Match</v>
      </c>
    </row>
    <row r="63" spans="1:9" x14ac:dyDescent="0.35">
      <c r="A63" s="1" t="s">
        <v>15</v>
      </c>
      <c r="B63">
        <v>1186095</v>
      </c>
      <c r="D63" t="s">
        <v>61</v>
      </c>
      <c r="E63">
        <v>0</v>
      </c>
      <c r="F63" t="s">
        <v>510</v>
      </c>
      <c r="G63">
        <v>15</v>
      </c>
      <c r="H63">
        <f>IF(COUNTIF(Sheet2!A:A,A63)&gt;0,VLOOKUP(A63,Sheet2!A:B,2,FALSE),"Not Found")</f>
        <v>1186095</v>
      </c>
      <c r="I63" t="str">
        <f t="shared" si="0"/>
        <v>Match</v>
      </c>
    </row>
    <row r="64" spans="1:9" x14ac:dyDescent="0.35">
      <c r="A64" s="1" t="s">
        <v>345</v>
      </c>
      <c r="B64">
        <v>0</v>
      </c>
      <c r="D64" t="s">
        <v>62</v>
      </c>
      <c r="E64">
        <v>0</v>
      </c>
      <c r="F64" t="s">
        <v>511</v>
      </c>
      <c r="G64">
        <v>33</v>
      </c>
      <c r="H64">
        <f>IF(COUNTIF(Sheet2!A:A,A64)&gt;0,VLOOKUP(A64,Sheet2!A:B,2,FALSE),"Not Found")</f>
        <v>0</v>
      </c>
      <c r="I64" t="str">
        <f t="shared" si="0"/>
        <v>Match</v>
      </c>
    </row>
    <row r="65" spans="1:9" x14ac:dyDescent="0.35">
      <c r="A65" s="1" t="s">
        <v>184</v>
      </c>
      <c r="B65">
        <v>0</v>
      </c>
      <c r="D65" t="s">
        <v>63</v>
      </c>
      <c r="E65">
        <v>0</v>
      </c>
      <c r="F65" t="s">
        <v>512</v>
      </c>
      <c r="G65">
        <v>34</v>
      </c>
      <c r="H65">
        <f>IF(COUNTIF(Sheet2!A:A,A65)&gt;0,VLOOKUP(A65,Sheet2!A:B,2,FALSE),"Not Found")</f>
        <v>0</v>
      </c>
      <c r="I65" t="str">
        <f t="shared" si="0"/>
        <v>Match</v>
      </c>
    </row>
    <row r="66" spans="1:9" x14ac:dyDescent="0.35">
      <c r="A66" s="1" t="s">
        <v>89</v>
      </c>
      <c r="B66">
        <v>0</v>
      </c>
      <c r="D66" t="s">
        <v>64</v>
      </c>
      <c r="E66">
        <v>0</v>
      </c>
      <c r="F66" t="s">
        <v>513</v>
      </c>
      <c r="G66">
        <v>29</v>
      </c>
      <c r="H66">
        <f>IF(COUNTIF(Sheet2!A:A,A66)&gt;0,VLOOKUP(A66,Sheet2!A:B,2,FALSE),"Not Found")</f>
        <v>0</v>
      </c>
      <c r="I66" t="str">
        <f t="shared" si="0"/>
        <v>Match</v>
      </c>
    </row>
    <row r="67" spans="1:9" x14ac:dyDescent="0.35">
      <c r="A67" s="1" t="s">
        <v>346</v>
      </c>
      <c r="B67">
        <v>0</v>
      </c>
      <c r="D67" t="s">
        <v>65</v>
      </c>
      <c r="E67">
        <v>0</v>
      </c>
      <c r="F67" t="s">
        <v>514</v>
      </c>
      <c r="G67">
        <v>30</v>
      </c>
      <c r="H67">
        <f>IF(COUNTIF(Sheet2!A:A,A67)&gt;0,VLOOKUP(A67,Sheet2!A:B,2,FALSE),"Not Found")</f>
        <v>0</v>
      </c>
      <c r="I67" t="str">
        <f t="shared" ref="I67:I130" si="1">IF(B67=H67,"Match","Mis Match")</f>
        <v>Match</v>
      </c>
    </row>
    <row r="68" spans="1:9" x14ac:dyDescent="0.35">
      <c r="A68" s="1" t="s">
        <v>185</v>
      </c>
      <c r="B68">
        <v>0</v>
      </c>
      <c r="D68" t="s">
        <v>66</v>
      </c>
      <c r="E68">
        <v>0</v>
      </c>
      <c r="F68" t="s">
        <v>515</v>
      </c>
      <c r="G68">
        <v>41</v>
      </c>
      <c r="H68">
        <f>IF(COUNTIF(Sheet2!A:A,A68)&gt;0,VLOOKUP(A68,Sheet2!A:B,2,FALSE),"Not Found")</f>
        <v>0</v>
      </c>
      <c r="I68" t="str">
        <f t="shared" si="1"/>
        <v>Match</v>
      </c>
    </row>
    <row r="69" spans="1:9" x14ac:dyDescent="0.35">
      <c r="A69" s="1" t="s">
        <v>135</v>
      </c>
      <c r="B69">
        <v>0</v>
      </c>
      <c r="D69" t="s">
        <v>67</v>
      </c>
      <c r="E69">
        <v>0</v>
      </c>
      <c r="F69" t="s">
        <v>516</v>
      </c>
      <c r="G69">
        <v>22</v>
      </c>
      <c r="H69">
        <f>IF(COUNTIF(Sheet2!A:A,A69)&gt;0,VLOOKUP(A69,Sheet2!A:B,2,FALSE),"Not Found")</f>
        <v>0</v>
      </c>
      <c r="I69" t="str">
        <f t="shared" si="1"/>
        <v>Match</v>
      </c>
    </row>
    <row r="70" spans="1:9" x14ac:dyDescent="0.35">
      <c r="A70" s="1" t="s">
        <v>33</v>
      </c>
      <c r="B70">
        <v>0</v>
      </c>
      <c r="D70" t="s">
        <v>68</v>
      </c>
      <c r="E70">
        <v>0</v>
      </c>
      <c r="F70" t="s">
        <v>517</v>
      </c>
      <c r="G70">
        <v>24</v>
      </c>
      <c r="H70">
        <f>IF(COUNTIF(Sheet2!A:A,A70)&gt;0,VLOOKUP(A70,Sheet2!A:B,2,FALSE),"Not Found")</f>
        <v>0</v>
      </c>
      <c r="I70" t="str">
        <f t="shared" si="1"/>
        <v>Match</v>
      </c>
    </row>
    <row r="71" spans="1:9" x14ac:dyDescent="0.35">
      <c r="A71" s="1" t="s">
        <v>8</v>
      </c>
      <c r="B71">
        <v>0</v>
      </c>
      <c r="D71" t="s">
        <v>69</v>
      </c>
      <c r="E71">
        <v>0</v>
      </c>
      <c r="F71" t="s">
        <v>518</v>
      </c>
      <c r="G71">
        <v>27</v>
      </c>
      <c r="H71">
        <f>IF(COUNTIF(Sheet2!A:A,A71)&gt;0,VLOOKUP(A71,Sheet2!A:B,2,FALSE),"Not Found")</f>
        <v>0</v>
      </c>
      <c r="I71" t="str">
        <f t="shared" si="1"/>
        <v>Match</v>
      </c>
    </row>
    <row r="72" spans="1:9" x14ac:dyDescent="0.35">
      <c r="A72" s="1" t="s">
        <v>216</v>
      </c>
      <c r="B72">
        <v>0</v>
      </c>
      <c r="D72" t="s">
        <v>70</v>
      </c>
      <c r="E72">
        <v>2</v>
      </c>
      <c r="F72" t="s">
        <v>488</v>
      </c>
      <c r="G72">
        <v>85</v>
      </c>
      <c r="H72">
        <f>IF(COUNTIF(Sheet2!A:A,A72)&gt;0,VLOOKUP(A72,Sheet2!A:B,2,FALSE),"Not Found")</f>
        <v>0</v>
      </c>
      <c r="I72" t="str">
        <f t="shared" si="1"/>
        <v>Match</v>
      </c>
    </row>
    <row r="73" spans="1:9" x14ac:dyDescent="0.35">
      <c r="A73" s="1" t="s">
        <v>343</v>
      </c>
      <c r="B73">
        <v>0</v>
      </c>
      <c r="D73" t="s">
        <v>71</v>
      </c>
      <c r="E73">
        <v>13119254</v>
      </c>
      <c r="F73" t="s">
        <v>489</v>
      </c>
      <c r="G73">
        <v>3</v>
      </c>
      <c r="H73">
        <f>IF(COUNTIF(Sheet2!A:A,A73)&gt;0,VLOOKUP(A73,Sheet2!A:B,2,FALSE),"Not Found")</f>
        <v>0</v>
      </c>
      <c r="I73" t="str">
        <f t="shared" si="1"/>
        <v>Match</v>
      </c>
    </row>
    <row r="74" spans="1:9" x14ac:dyDescent="0.35">
      <c r="A74" s="1" t="s">
        <v>86</v>
      </c>
      <c r="B74">
        <v>0</v>
      </c>
      <c r="D74" t="s">
        <v>72</v>
      </c>
      <c r="E74">
        <v>0</v>
      </c>
      <c r="F74" t="s">
        <v>519</v>
      </c>
      <c r="G74">
        <v>4</v>
      </c>
      <c r="H74">
        <f>IF(COUNTIF(Sheet2!A:A,A74)&gt;0,VLOOKUP(A74,Sheet2!A:B,2,FALSE),"Not Found")</f>
        <v>0</v>
      </c>
      <c r="I74" t="str">
        <f t="shared" si="1"/>
        <v>Match</v>
      </c>
    </row>
    <row r="75" spans="1:9" x14ac:dyDescent="0.35">
      <c r="A75" s="1" t="s">
        <v>123</v>
      </c>
      <c r="B75">
        <v>0</v>
      </c>
      <c r="D75" t="s">
        <v>73</v>
      </c>
      <c r="E75">
        <v>0</v>
      </c>
      <c r="F75" t="s">
        <v>520</v>
      </c>
      <c r="G75">
        <v>65</v>
      </c>
      <c r="H75">
        <f>IF(COUNTIF(Sheet2!A:A,A75)&gt;0,VLOOKUP(A75,Sheet2!A:B,2,FALSE),"Not Found")</f>
        <v>0</v>
      </c>
      <c r="I75" t="str">
        <f t="shared" si="1"/>
        <v>Match</v>
      </c>
    </row>
    <row r="76" spans="1:9" x14ac:dyDescent="0.35">
      <c r="A76" s="1" t="s">
        <v>186</v>
      </c>
      <c r="B76">
        <v>0</v>
      </c>
      <c r="D76" t="s">
        <v>74</v>
      </c>
      <c r="E76">
        <v>0</v>
      </c>
      <c r="F76" t="s">
        <v>521</v>
      </c>
      <c r="G76">
        <v>100</v>
      </c>
      <c r="H76">
        <f>IF(COUNTIF(Sheet2!A:A,A76)&gt;0,VLOOKUP(A76,Sheet2!A:B,2,FALSE),"Not Found")</f>
        <v>0</v>
      </c>
      <c r="I76" t="str">
        <f t="shared" si="1"/>
        <v>Match</v>
      </c>
    </row>
    <row r="77" spans="1:9" x14ac:dyDescent="0.35">
      <c r="A77" s="1" t="s">
        <v>289</v>
      </c>
      <c r="B77">
        <v>8564349</v>
      </c>
      <c r="D77" t="s">
        <v>75</v>
      </c>
      <c r="E77">
        <v>0</v>
      </c>
      <c r="F77" t="s">
        <v>521</v>
      </c>
      <c r="G77">
        <v>100</v>
      </c>
      <c r="H77">
        <f>IF(COUNTIF(Sheet2!A:A,A77)&gt;0,VLOOKUP(A77,Sheet2!A:B,2,FALSE),"Not Found")</f>
        <v>8564349</v>
      </c>
      <c r="I77" t="str">
        <f t="shared" si="1"/>
        <v>Match</v>
      </c>
    </row>
    <row r="78" spans="1:9" x14ac:dyDescent="0.35">
      <c r="A78" s="1" t="s">
        <v>104</v>
      </c>
      <c r="B78">
        <v>0</v>
      </c>
      <c r="D78" t="s">
        <v>76</v>
      </c>
      <c r="E78">
        <v>0</v>
      </c>
      <c r="F78" t="s">
        <v>492</v>
      </c>
      <c r="G78">
        <v>86</v>
      </c>
      <c r="H78">
        <f>IF(COUNTIF(Sheet2!A:A,A78)&gt;0,VLOOKUP(A78,Sheet2!A:B,2,FALSE),"Not Found")</f>
        <v>0</v>
      </c>
      <c r="I78" t="str">
        <f t="shared" si="1"/>
        <v>Match</v>
      </c>
    </row>
    <row r="79" spans="1:9" x14ac:dyDescent="0.35">
      <c r="A79" s="1" t="s">
        <v>90</v>
      </c>
      <c r="B79">
        <v>0</v>
      </c>
      <c r="D79" t="s">
        <v>77</v>
      </c>
      <c r="E79">
        <v>0</v>
      </c>
      <c r="F79" t="s">
        <v>492</v>
      </c>
      <c r="G79">
        <v>86</v>
      </c>
      <c r="H79">
        <f>IF(COUNTIF(Sheet2!A:A,A79)&gt;0,VLOOKUP(A79,Sheet2!A:B,2,FALSE),"Not Found")</f>
        <v>0</v>
      </c>
      <c r="I79" t="str">
        <f t="shared" si="1"/>
        <v>Match</v>
      </c>
    </row>
    <row r="80" spans="1:9" x14ac:dyDescent="0.35">
      <c r="A80" s="1" t="s">
        <v>262</v>
      </c>
      <c r="B80">
        <v>0</v>
      </c>
      <c r="D80" t="s">
        <v>78</v>
      </c>
      <c r="E80">
        <v>3597701</v>
      </c>
      <c r="F80" t="s">
        <v>493</v>
      </c>
      <c r="G80">
        <v>1</v>
      </c>
      <c r="H80">
        <f>IF(COUNTIF(Sheet2!A:A,A80)&gt;0,VLOOKUP(A80,Sheet2!A:B,2,FALSE),"Not Found")</f>
        <v>0</v>
      </c>
      <c r="I80" t="str">
        <f t="shared" si="1"/>
        <v>Match</v>
      </c>
    </row>
    <row r="81" spans="1:9" x14ac:dyDescent="0.35">
      <c r="A81" s="1" t="s">
        <v>219</v>
      </c>
      <c r="B81">
        <v>0</v>
      </c>
      <c r="D81" t="s">
        <v>79</v>
      </c>
      <c r="E81">
        <v>0</v>
      </c>
      <c r="F81" t="s">
        <v>494</v>
      </c>
      <c r="G81">
        <v>42</v>
      </c>
      <c r="H81">
        <f>IF(COUNTIF(Sheet2!A:A,A81)&gt;0,VLOOKUP(A81,Sheet2!A:B,2,FALSE),"Not Found")</f>
        <v>0</v>
      </c>
      <c r="I81" t="str">
        <f t="shared" si="1"/>
        <v>Match</v>
      </c>
    </row>
    <row r="82" spans="1:9" x14ac:dyDescent="0.35">
      <c r="A82" s="1" t="s">
        <v>310</v>
      </c>
      <c r="B82">
        <v>0</v>
      </c>
      <c r="D82" t="s">
        <v>80</v>
      </c>
      <c r="E82">
        <v>9771</v>
      </c>
      <c r="F82" t="s">
        <v>495</v>
      </c>
      <c r="G82">
        <v>114</v>
      </c>
      <c r="H82">
        <f>IF(COUNTIF(Sheet2!A:A,A82)&gt;0,VLOOKUP(A82,Sheet2!A:B,2,FALSE),"Not Found")</f>
        <v>0</v>
      </c>
      <c r="I82" t="str">
        <f t="shared" si="1"/>
        <v>Match</v>
      </c>
    </row>
    <row r="83" spans="1:9" x14ac:dyDescent="0.35">
      <c r="A83" s="1" t="s">
        <v>263</v>
      </c>
      <c r="B83">
        <v>0</v>
      </c>
      <c r="D83" t="s">
        <v>81</v>
      </c>
      <c r="E83">
        <v>0</v>
      </c>
      <c r="F83" t="s">
        <v>522</v>
      </c>
      <c r="G83">
        <v>90</v>
      </c>
      <c r="H83">
        <f>IF(COUNTIF(Sheet2!A:A,A83)&gt;0,VLOOKUP(A83,Sheet2!A:B,2,FALSE),"Not Found")</f>
        <v>0</v>
      </c>
      <c r="I83" t="str">
        <f t="shared" si="1"/>
        <v>Match</v>
      </c>
    </row>
    <row r="84" spans="1:9" x14ac:dyDescent="0.35">
      <c r="A84" s="1" t="s">
        <v>40</v>
      </c>
      <c r="B84">
        <v>0</v>
      </c>
      <c r="D84" t="s">
        <v>82</v>
      </c>
      <c r="E84">
        <v>0</v>
      </c>
      <c r="F84" t="s">
        <v>523</v>
      </c>
      <c r="G84">
        <v>91</v>
      </c>
      <c r="H84">
        <f>IF(COUNTIF(Sheet2!A:A,A84)&gt;0,VLOOKUP(A84,Sheet2!A:B,2,FALSE),"Not Found")</f>
        <v>0</v>
      </c>
      <c r="I84" t="str">
        <f t="shared" si="1"/>
        <v>Match</v>
      </c>
    </row>
    <row r="85" spans="1:9" x14ac:dyDescent="0.35">
      <c r="A85" s="1" t="s">
        <v>92</v>
      </c>
      <c r="B85">
        <v>0</v>
      </c>
      <c r="D85" t="s">
        <v>83</v>
      </c>
      <c r="E85">
        <v>0</v>
      </c>
      <c r="F85" t="s">
        <v>524</v>
      </c>
      <c r="G85">
        <v>93</v>
      </c>
      <c r="H85">
        <f>IF(COUNTIF(Sheet2!A:A,A85)&gt;0,VLOOKUP(A85,Sheet2!A:B,2,FALSE),"Not Found")</f>
        <v>0</v>
      </c>
      <c r="I85" t="str">
        <f t="shared" si="1"/>
        <v>Match</v>
      </c>
    </row>
    <row r="86" spans="1:9" x14ac:dyDescent="0.35">
      <c r="A86" s="1" t="s">
        <v>39</v>
      </c>
      <c r="B86">
        <v>0</v>
      </c>
      <c r="D86" t="s">
        <v>84</v>
      </c>
      <c r="E86">
        <v>0</v>
      </c>
      <c r="F86" t="s">
        <v>525</v>
      </c>
      <c r="G86">
        <v>94</v>
      </c>
      <c r="H86">
        <f>IF(COUNTIF(Sheet2!A:A,A86)&gt;0,VLOOKUP(A86,Sheet2!A:B,2,FALSE),"Not Found")</f>
        <v>0</v>
      </c>
      <c r="I86" t="str">
        <f t="shared" si="1"/>
        <v>Match</v>
      </c>
    </row>
    <row r="87" spans="1:9" x14ac:dyDescent="0.35">
      <c r="A87" s="1" t="s">
        <v>32</v>
      </c>
      <c r="B87">
        <v>0</v>
      </c>
      <c r="D87" t="s">
        <v>85</v>
      </c>
      <c r="E87">
        <v>0</v>
      </c>
      <c r="F87" t="s">
        <v>526</v>
      </c>
      <c r="G87">
        <v>95</v>
      </c>
      <c r="H87">
        <f>IF(COUNTIF(Sheet2!A:A,A87)&gt;0,VLOOKUP(A87,Sheet2!A:B,2,FALSE),"Not Found")</f>
        <v>0</v>
      </c>
      <c r="I87" t="str">
        <f t="shared" si="1"/>
        <v>Match</v>
      </c>
    </row>
    <row r="88" spans="1:9" x14ac:dyDescent="0.35">
      <c r="A88" s="1" t="s">
        <v>91</v>
      </c>
      <c r="B88">
        <v>0</v>
      </c>
      <c r="D88" t="s">
        <v>86</v>
      </c>
      <c r="E88">
        <v>0</v>
      </c>
      <c r="F88" t="s">
        <v>498</v>
      </c>
      <c r="G88">
        <v>79</v>
      </c>
      <c r="H88">
        <f>IF(COUNTIF(Sheet2!A:A,A88)&gt;0,VLOOKUP(A88,Sheet2!A:B,2,FALSE),"Not Found")</f>
        <v>0</v>
      </c>
      <c r="I88" t="str">
        <f t="shared" si="1"/>
        <v>Match</v>
      </c>
    </row>
    <row r="89" spans="1:9" x14ac:dyDescent="0.35">
      <c r="A89" s="1" t="s">
        <v>218</v>
      </c>
      <c r="B89">
        <v>0</v>
      </c>
      <c r="D89" t="s">
        <v>87</v>
      </c>
      <c r="E89">
        <v>0</v>
      </c>
      <c r="F89" t="s">
        <v>498</v>
      </c>
      <c r="G89">
        <v>79</v>
      </c>
      <c r="H89">
        <f>IF(COUNTIF(Sheet2!A:A,A89)&gt;0,VLOOKUP(A89,Sheet2!A:B,2,FALSE),"Not Found")</f>
        <v>0</v>
      </c>
      <c r="I89" t="str">
        <f t="shared" si="1"/>
        <v>Match</v>
      </c>
    </row>
    <row r="90" spans="1:9" x14ac:dyDescent="0.35">
      <c r="A90" s="1" t="s">
        <v>38</v>
      </c>
      <c r="B90">
        <v>0</v>
      </c>
      <c r="D90" t="s">
        <v>88</v>
      </c>
      <c r="E90">
        <v>0</v>
      </c>
      <c r="F90" t="s">
        <v>498</v>
      </c>
      <c r="G90">
        <v>79</v>
      </c>
      <c r="H90">
        <f>IF(COUNTIF(Sheet2!A:A,A90)&gt;0,VLOOKUP(A90,Sheet2!A:B,2,FALSE),"Not Found")</f>
        <v>0</v>
      </c>
      <c r="I90" t="str">
        <f t="shared" si="1"/>
        <v>Match</v>
      </c>
    </row>
    <row r="91" spans="1:9" x14ac:dyDescent="0.35">
      <c r="A91" s="1" t="s">
        <v>151</v>
      </c>
      <c r="B91">
        <v>0</v>
      </c>
      <c r="D91" t="s">
        <v>89</v>
      </c>
      <c r="E91">
        <v>0</v>
      </c>
      <c r="F91" t="s">
        <v>498</v>
      </c>
      <c r="G91">
        <v>79</v>
      </c>
      <c r="H91">
        <f>IF(COUNTIF(Sheet2!A:A,A91)&gt;0,VLOOKUP(A91,Sheet2!A:B,2,FALSE),"Not Found")</f>
        <v>0</v>
      </c>
      <c r="I91" t="str">
        <f t="shared" si="1"/>
        <v>Match</v>
      </c>
    </row>
    <row r="92" spans="1:9" x14ac:dyDescent="0.35">
      <c r="A92" s="1" t="s">
        <v>323</v>
      </c>
      <c r="B92">
        <v>0</v>
      </c>
      <c r="D92" t="s">
        <v>90</v>
      </c>
      <c r="E92">
        <v>0</v>
      </c>
      <c r="F92" t="s">
        <v>498</v>
      </c>
      <c r="G92">
        <v>79</v>
      </c>
      <c r="H92">
        <f>IF(COUNTIF(Sheet2!A:A,A92)&gt;0,VLOOKUP(A92,Sheet2!A:B,2,FALSE),"Not Found")</f>
        <v>0</v>
      </c>
      <c r="I92" t="str">
        <f t="shared" si="1"/>
        <v>Match</v>
      </c>
    </row>
    <row r="93" spans="1:9" x14ac:dyDescent="0.35">
      <c r="A93" s="1" t="s">
        <v>320</v>
      </c>
      <c r="B93">
        <v>0</v>
      </c>
      <c r="D93" t="s">
        <v>91</v>
      </c>
      <c r="E93">
        <v>0</v>
      </c>
      <c r="F93" t="s">
        <v>498</v>
      </c>
      <c r="G93">
        <v>79</v>
      </c>
      <c r="H93">
        <f>IF(COUNTIF(Sheet2!A:A,A93)&gt;0,VLOOKUP(A93,Sheet2!A:B,2,FALSE),"Not Found")</f>
        <v>0</v>
      </c>
      <c r="I93" t="str">
        <f t="shared" si="1"/>
        <v>Match</v>
      </c>
    </row>
    <row r="94" spans="1:9" x14ac:dyDescent="0.35">
      <c r="A94" s="1" t="s">
        <v>1</v>
      </c>
      <c r="B94">
        <v>0</v>
      </c>
      <c r="D94" t="s">
        <v>92</v>
      </c>
      <c r="E94">
        <v>0</v>
      </c>
      <c r="F94" t="s">
        <v>498</v>
      </c>
      <c r="G94">
        <v>79</v>
      </c>
      <c r="H94">
        <f>IF(COUNTIF(Sheet2!A:A,A94)&gt;0,VLOOKUP(A94,Sheet2!A:B,2,FALSE),"Not Found")</f>
        <v>0</v>
      </c>
      <c r="I94" t="str">
        <f t="shared" si="1"/>
        <v>Match</v>
      </c>
    </row>
    <row r="95" spans="1:9" x14ac:dyDescent="0.35">
      <c r="A95" s="1" t="s">
        <v>117</v>
      </c>
      <c r="B95">
        <v>0</v>
      </c>
      <c r="D95" t="s">
        <v>93</v>
      </c>
      <c r="E95">
        <v>0</v>
      </c>
      <c r="F95" t="s">
        <v>498</v>
      </c>
      <c r="G95">
        <v>79</v>
      </c>
      <c r="H95">
        <f>IF(COUNTIF(Sheet2!A:A,A95)&gt;0,VLOOKUP(A95,Sheet2!A:B,2,FALSE),"Not Found")</f>
        <v>0</v>
      </c>
      <c r="I95" t="str">
        <f t="shared" si="1"/>
        <v>Match</v>
      </c>
    </row>
    <row r="96" spans="1:9" x14ac:dyDescent="0.35">
      <c r="A96" s="1" t="s">
        <v>2</v>
      </c>
      <c r="B96">
        <v>0</v>
      </c>
      <c r="D96" t="s">
        <v>94</v>
      </c>
      <c r="E96">
        <v>0</v>
      </c>
      <c r="F96" t="s">
        <v>498</v>
      </c>
      <c r="G96">
        <v>79</v>
      </c>
      <c r="H96">
        <f>IF(COUNTIF(Sheet2!A:A,A96)&gt;0,VLOOKUP(A96,Sheet2!A:B,2,FALSE),"Not Found")</f>
        <v>0</v>
      </c>
      <c r="I96" t="str">
        <f t="shared" si="1"/>
        <v>Match</v>
      </c>
    </row>
    <row r="97" spans="1:9" x14ac:dyDescent="0.35">
      <c r="A97" s="1" t="s">
        <v>0</v>
      </c>
      <c r="B97">
        <v>0</v>
      </c>
      <c r="D97" t="s">
        <v>95</v>
      </c>
      <c r="E97">
        <v>0</v>
      </c>
      <c r="F97" t="s">
        <v>498</v>
      </c>
      <c r="G97">
        <v>79</v>
      </c>
      <c r="H97">
        <f>IF(COUNTIF(Sheet2!A:A,A97)&gt;0,VLOOKUP(A97,Sheet2!A:B,2,FALSE),"Not Found")</f>
        <v>0</v>
      </c>
      <c r="I97" t="str">
        <f t="shared" si="1"/>
        <v>Match</v>
      </c>
    </row>
    <row r="98" spans="1:9" x14ac:dyDescent="0.35">
      <c r="A98" s="1" t="s">
        <v>93</v>
      </c>
      <c r="B98">
        <v>0</v>
      </c>
      <c r="D98" t="s">
        <v>96</v>
      </c>
      <c r="E98">
        <v>0</v>
      </c>
      <c r="F98" t="s">
        <v>498</v>
      </c>
      <c r="G98">
        <v>79</v>
      </c>
      <c r="H98">
        <f>IF(COUNTIF(Sheet2!A:A,A98)&gt;0,VLOOKUP(A98,Sheet2!A:B,2,FALSE),"Not Found")</f>
        <v>0</v>
      </c>
      <c r="I98" t="str">
        <f t="shared" si="1"/>
        <v>Match</v>
      </c>
    </row>
    <row r="99" spans="1:9" x14ac:dyDescent="0.35">
      <c r="A99" s="1" t="s">
        <v>187</v>
      </c>
      <c r="B99">
        <v>0</v>
      </c>
      <c r="D99" t="s">
        <v>97</v>
      </c>
      <c r="E99">
        <v>0</v>
      </c>
      <c r="F99" t="s">
        <v>498</v>
      </c>
      <c r="G99">
        <v>79</v>
      </c>
      <c r="H99">
        <f>IF(COUNTIF(Sheet2!A:A,A99)&gt;0,VLOOKUP(A99,Sheet2!A:B,2,FALSE),"Not Found")</f>
        <v>0</v>
      </c>
      <c r="I99" t="str">
        <f t="shared" si="1"/>
        <v>Match</v>
      </c>
    </row>
    <row r="100" spans="1:9" x14ac:dyDescent="0.35">
      <c r="A100" s="1" t="s">
        <v>75</v>
      </c>
      <c r="B100">
        <v>0</v>
      </c>
      <c r="D100" t="s">
        <v>98</v>
      </c>
      <c r="E100">
        <v>0</v>
      </c>
      <c r="F100" t="s">
        <v>498</v>
      </c>
      <c r="G100">
        <v>79</v>
      </c>
      <c r="H100">
        <f>IF(COUNTIF(Sheet2!A:A,A100)&gt;0,VLOOKUP(A100,Sheet2!A:B,2,FALSE),"Not Found")</f>
        <v>0</v>
      </c>
      <c r="I100" t="str">
        <f t="shared" si="1"/>
        <v>Match</v>
      </c>
    </row>
    <row r="101" spans="1:9" x14ac:dyDescent="0.35">
      <c r="A101" s="1" t="s">
        <v>203</v>
      </c>
      <c r="B101">
        <v>0</v>
      </c>
      <c r="D101" t="s">
        <v>99</v>
      </c>
      <c r="E101">
        <v>0</v>
      </c>
      <c r="F101" t="s">
        <v>498</v>
      </c>
      <c r="G101">
        <v>79</v>
      </c>
      <c r="H101">
        <f>IF(COUNTIF(Sheet2!A:A,A101)&gt;0,VLOOKUP(A101,Sheet2!A:B,2,FALSE),"Not Found")</f>
        <v>0</v>
      </c>
      <c r="I101" t="str">
        <f t="shared" si="1"/>
        <v>Match</v>
      </c>
    </row>
    <row r="102" spans="1:9" x14ac:dyDescent="0.35">
      <c r="A102" s="1" t="s">
        <v>204</v>
      </c>
      <c r="B102">
        <v>0</v>
      </c>
      <c r="D102" t="s">
        <v>100</v>
      </c>
      <c r="E102">
        <v>0</v>
      </c>
      <c r="F102" t="s">
        <v>498</v>
      </c>
      <c r="G102">
        <v>79</v>
      </c>
      <c r="H102">
        <f>IF(COUNTIF(Sheet2!A:A,A102)&gt;0,VLOOKUP(A102,Sheet2!A:B,2,FALSE),"Not Found")</f>
        <v>0</v>
      </c>
      <c r="I102" t="str">
        <f t="shared" si="1"/>
        <v>Match</v>
      </c>
    </row>
    <row r="103" spans="1:9" x14ac:dyDescent="0.35">
      <c r="A103" s="1" t="s">
        <v>74</v>
      </c>
      <c r="B103">
        <v>0</v>
      </c>
      <c r="D103" t="s">
        <v>101</v>
      </c>
      <c r="E103">
        <v>0</v>
      </c>
      <c r="F103" t="s">
        <v>498</v>
      </c>
      <c r="G103">
        <v>79</v>
      </c>
      <c r="H103">
        <f>IF(COUNTIF(Sheet2!A:A,A103)&gt;0,VLOOKUP(A103,Sheet2!A:B,2,FALSE),"Not Found")</f>
        <v>0</v>
      </c>
      <c r="I103" t="str">
        <f t="shared" si="1"/>
        <v>Match</v>
      </c>
    </row>
    <row r="104" spans="1:9" x14ac:dyDescent="0.35">
      <c r="A104" s="1" t="s">
        <v>307</v>
      </c>
      <c r="B104">
        <v>0</v>
      </c>
      <c r="D104" t="s">
        <v>102</v>
      </c>
      <c r="E104">
        <v>0</v>
      </c>
      <c r="F104" t="s">
        <v>498</v>
      </c>
      <c r="G104">
        <v>79</v>
      </c>
      <c r="H104">
        <f>IF(COUNTIF(Sheet2!A:A,A104)&gt;0,VLOOKUP(A104,Sheet2!A:B,2,FALSE),"Not Found")</f>
        <v>0</v>
      </c>
      <c r="I104" t="str">
        <f t="shared" si="1"/>
        <v>Match</v>
      </c>
    </row>
    <row r="105" spans="1:9" x14ac:dyDescent="0.35">
      <c r="A105" s="1" t="s">
        <v>264</v>
      </c>
      <c r="B105">
        <v>0</v>
      </c>
      <c r="D105" t="s">
        <v>103</v>
      </c>
      <c r="E105">
        <v>0</v>
      </c>
      <c r="F105" t="s">
        <v>498</v>
      </c>
      <c r="G105">
        <v>79</v>
      </c>
      <c r="H105">
        <f>IF(COUNTIF(Sheet2!A:A,A105)&gt;0,VLOOKUP(A105,Sheet2!A:B,2,FALSE),"Not Found")</f>
        <v>0</v>
      </c>
      <c r="I105" t="str">
        <f t="shared" si="1"/>
        <v>Match</v>
      </c>
    </row>
    <row r="106" spans="1:9" x14ac:dyDescent="0.35">
      <c r="A106" s="1" t="s">
        <v>276</v>
      </c>
      <c r="B106">
        <v>0</v>
      </c>
      <c r="D106" t="s">
        <v>104</v>
      </c>
      <c r="E106">
        <v>0</v>
      </c>
      <c r="F106" t="s">
        <v>527</v>
      </c>
      <c r="G106">
        <v>51</v>
      </c>
      <c r="H106">
        <f>IF(COUNTIF(Sheet2!A:A,A106)&gt;0,VLOOKUP(A106,Sheet2!A:B,2,FALSE),"Not Found")</f>
        <v>0</v>
      </c>
      <c r="I106" t="str">
        <f t="shared" si="1"/>
        <v>Match</v>
      </c>
    </row>
    <row r="107" spans="1:9" x14ac:dyDescent="0.35">
      <c r="A107" s="1" t="s">
        <v>136</v>
      </c>
      <c r="B107">
        <v>0</v>
      </c>
      <c r="D107" t="s">
        <v>105</v>
      </c>
      <c r="E107">
        <v>0</v>
      </c>
      <c r="F107" t="s">
        <v>528</v>
      </c>
      <c r="G107">
        <v>46</v>
      </c>
      <c r="H107">
        <f>IF(COUNTIF(Sheet2!A:A,A107)&gt;0,VLOOKUP(A107,Sheet2!A:B,2,FALSE),"Not Found")</f>
        <v>0</v>
      </c>
      <c r="I107" t="str">
        <f t="shared" si="1"/>
        <v>Match</v>
      </c>
    </row>
    <row r="108" spans="1:9" x14ac:dyDescent="0.35">
      <c r="A108" s="1" t="s">
        <v>137</v>
      </c>
      <c r="B108">
        <v>0</v>
      </c>
      <c r="D108" t="s">
        <v>106</v>
      </c>
      <c r="E108">
        <v>0</v>
      </c>
      <c r="F108" t="s">
        <v>529</v>
      </c>
      <c r="G108">
        <v>73</v>
      </c>
      <c r="H108">
        <f>IF(COUNTIF(Sheet2!A:A,A108)&gt;0,VLOOKUP(A108,Sheet2!A:B,2,FALSE),"Not Found")</f>
        <v>0</v>
      </c>
      <c r="I108" t="str">
        <f t="shared" si="1"/>
        <v>Match</v>
      </c>
    </row>
    <row r="109" spans="1:9" x14ac:dyDescent="0.35">
      <c r="A109" s="1" t="s">
        <v>94</v>
      </c>
      <c r="B109">
        <v>0</v>
      </c>
      <c r="D109" t="s">
        <v>107</v>
      </c>
      <c r="E109">
        <v>40</v>
      </c>
      <c r="F109" t="s">
        <v>508</v>
      </c>
      <c r="G109">
        <v>6</v>
      </c>
      <c r="H109">
        <f>IF(COUNTIF(Sheet2!A:A,A109)&gt;0,VLOOKUP(A109,Sheet2!A:B,2,FALSE),"Not Found")</f>
        <v>0</v>
      </c>
      <c r="I109" t="str">
        <f t="shared" si="1"/>
        <v>Match</v>
      </c>
    </row>
    <row r="110" spans="1:9" x14ac:dyDescent="0.35">
      <c r="A110" s="1" t="s">
        <v>138</v>
      </c>
      <c r="B110">
        <v>0</v>
      </c>
      <c r="D110" t="s">
        <v>108</v>
      </c>
      <c r="E110">
        <v>0</v>
      </c>
      <c r="F110" t="s">
        <v>481</v>
      </c>
      <c r="G110">
        <v>5</v>
      </c>
      <c r="H110">
        <f>IF(COUNTIF(Sheet2!A:A,A110)&gt;0,VLOOKUP(A110,Sheet2!A:B,2,FALSE),"Not Found")</f>
        <v>0</v>
      </c>
      <c r="I110" t="str">
        <f t="shared" si="1"/>
        <v>Match</v>
      </c>
    </row>
    <row r="111" spans="1:9" x14ac:dyDescent="0.35">
      <c r="A111" s="1" t="s">
        <v>220</v>
      </c>
      <c r="B111">
        <v>0</v>
      </c>
      <c r="D111" t="s">
        <v>109</v>
      </c>
      <c r="E111">
        <v>0</v>
      </c>
      <c r="F111" t="s">
        <v>481</v>
      </c>
      <c r="G111">
        <v>5</v>
      </c>
      <c r="H111">
        <f>IF(COUNTIF(Sheet2!A:A,A111)&gt;0,VLOOKUP(A111,Sheet2!A:B,2,FALSE),"Not Found")</f>
        <v>0</v>
      </c>
      <c r="I111" t="str">
        <f t="shared" si="1"/>
        <v>Match</v>
      </c>
    </row>
    <row r="112" spans="1:9" x14ac:dyDescent="0.35">
      <c r="A112" s="1" t="s">
        <v>41</v>
      </c>
      <c r="B112">
        <v>0</v>
      </c>
      <c r="D112" t="s">
        <v>110</v>
      </c>
      <c r="E112">
        <v>0</v>
      </c>
      <c r="F112" t="s">
        <v>530</v>
      </c>
      <c r="G112">
        <v>35</v>
      </c>
      <c r="H112">
        <f>IF(COUNTIF(Sheet2!A:A,A112)&gt;0,VLOOKUP(A112,Sheet2!A:B,2,FALSE),"Not Found")</f>
        <v>0</v>
      </c>
      <c r="I112" t="str">
        <f t="shared" si="1"/>
        <v>Match</v>
      </c>
    </row>
    <row r="113" spans="1:9" x14ac:dyDescent="0.35">
      <c r="A113" s="1" t="s">
        <v>139</v>
      </c>
      <c r="B113">
        <v>0</v>
      </c>
      <c r="D113" t="s">
        <v>111</v>
      </c>
      <c r="E113">
        <v>0</v>
      </c>
      <c r="F113" t="s">
        <v>531</v>
      </c>
      <c r="G113">
        <v>38</v>
      </c>
      <c r="H113">
        <f>IF(COUNTIF(Sheet2!A:A,A113)&gt;0,VLOOKUP(A113,Sheet2!A:B,2,FALSE),"Not Found")</f>
        <v>0</v>
      </c>
      <c r="I113" t="str">
        <f t="shared" si="1"/>
        <v>Match</v>
      </c>
    </row>
    <row r="114" spans="1:9" x14ac:dyDescent="0.35">
      <c r="A114" s="1" t="s">
        <v>335</v>
      </c>
      <c r="B114">
        <v>0</v>
      </c>
      <c r="D114" t="s">
        <v>112</v>
      </c>
      <c r="E114">
        <v>0</v>
      </c>
      <c r="F114" t="s">
        <v>532</v>
      </c>
      <c r="G114">
        <v>32</v>
      </c>
      <c r="H114">
        <f>IF(COUNTIF(Sheet2!A:A,A114)&gt;0,VLOOKUP(A114,Sheet2!A:B,2,FALSE),"Not Found")</f>
        <v>0</v>
      </c>
      <c r="I114" t="str">
        <f t="shared" si="1"/>
        <v>Match</v>
      </c>
    </row>
    <row r="115" spans="1:9" x14ac:dyDescent="0.35">
      <c r="A115" s="1" t="s">
        <v>4</v>
      </c>
      <c r="B115">
        <v>0</v>
      </c>
      <c r="D115" t="s">
        <v>113</v>
      </c>
      <c r="E115">
        <v>0</v>
      </c>
      <c r="F115" t="s">
        <v>533</v>
      </c>
      <c r="G115">
        <v>25</v>
      </c>
      <c r="H115">
        <f>IF(COUNTIF(Sheet2!A:A,A115)&gt;0,VLOOKUP(A115,Sheet2!A:B,2,FALSE),"Not Found")</f>
        <v>0</v>
      </c>
      <c r="I115" t="str">
        <f t="shared" si="1"/>
        <v>Match</v>
      </c>
    </row>
    <row r="116" spans="1:9" x14ac:dyDescent="0.35">
      <c r="A116" s="1" t="s">
        <v>228</v>
      </c>
      <c r="B116">
        <v>0</v>
      </c>
      <c r="D116" t="s">
        <v>114</v>
      </c>
      <c r="E116">
        <v>0</v>
      </c>
      <c r="F116" t="s">
        <v>533</v>
      </c>
      <c r="G116">
        <v>25</v>
      </c>
      <c r="H116">
        <f>IF(COUNTIF(Sheet2!A:A,A116)&gt;0,VLOOKUP(A116,Sheet2!A:B,2,FALSE),"Not Found")</f>
        <v>0</v>
      </c>
      <c r="I116" t="str">
        <f t="shared" si="1"/>
        <v>Match</v>
      </c>
    </row>
    <row r="117" spans="1:9" x14ac:dyDescent="0.35">
      <c r="A117" s="1" t="s">
        <v>324</v>
      </c>
      <c r="B117">
        <v>0</v>
      </c>
      <c r="D117" t="s">
        <v>115</v>
      </c>
      <c r="E117">
        <v>2</v>
      </c>
      <c r="F117" t="s">
        <v>488</v>
      </c>
      <c r="G117">
        <v>85</v>
      </c>
      <c r="H117">
        <f>IF(COUNTIF(Sheet2!A:A,A117)&gt;0,VLOOKUP(A117,Sheet2!A:B,2,FALSE),"Not Found")</f>
        <v>0</v>
      </c>
      <c r="I117" t="str">
        <f t="shared" si="1"/>
        <v>Match</v>
      </c>
    </row>
    <row r="118" spans="1:9" x14ac:dyDescent="0.35">
      <c r="A118" s="1" t="s">
        <v>106</v>
      </c>
      <c r="B118">
        <v>0</v>
      </c>
      <c r="D118" t="s">
        <v>116</v>
      </c>
      <c r="E118">
        <v>2</v>
      </c>
      <c r="F118" t="s">
        <v>488</v>
      </c>
      <c r="G118">
        <v>85</v>
      </c>
      <c r="H118">
        <f>IF(COUNTIF(Sheet2!A:A,A118)&gt;0,VLOOKUP(A118,Sheet2!A:B,2,FALSE),"Not Found")</f>
        <v>0</v>
      </c>
      <c r="I118" t="str">
        <f t="shared" si="1"/>
        <v>Match</v>
      </c>
    </row>
    <row r="119" spans="1:9" x14ac:dyDescent="0.35">
      <c r="A119" s="1" t="s">
        <v>229</v>
      </c>
      <c r="B119">
        <v>0</v>
      </c>
      <c r="D119" t="s">
        <v>117</v>
      </c>
      <c r="E119">
        <v>0</v>
      </c>
      <c r="F119" t="s">
        <v>534</v>
      </c>
      <c r="G119">
        <v>84</v>
      </c>
      <c r="H119">
        <f>IF(COUNTIF(Sheet2!A:A,A119)&gt;0,VLOOKUP(A119,Sheet2!A:B,2,FALSE),"Not Found")</f>
        <v>0</v>
      </c>
      <c r="I119" t="str">
        <f t="shared" si="1"/>
        <v>Match</v>
      </c>
    </row>
    <row r="120" spans="1:9" x14ac:dyDescent="0.35">
      <c r="A120" s="1" t="s">
        <v>3</v>
      </c>
      <c r="B120">
        <v>0</v>
      </c>
      <c r="D120" t="s">
        <v>118</v>
      </c>
      <c r="E120">
        <v>0</v>
      </c>
      <c r="F120" t="s">
        <v>535</v>
      </c>
      <c r="G120">
        <v>66</v>
      </c>
      <c r="H120">
        <f>IF(COUNTIF(Sheet2!A:A,A120)&gt;0,VLOOKUP(A120,Sheet2!A:B,2,FALSE),"Not Found")</f>
        <v>0</v>
      </c>
      <c r="I120" t="str">
        <f t="shared" si="1"/>
        <v>Match</v>
      </c>
    </row>
    <row r="121" spans="1:9" x14ac:dyDescent="0.35">
      <c r="A121" s="1" t="s">
        <v>330</v>
      </c>
      <c r="B121">
        <v>0</v>
      </c>
      <c r="D121" t="s">
        <v>119</v>
      </c>
      <c r="E121">
        <v>0</v>
      </c>
      <c r="F121" t="s">
        <v>535</v>
      </c>
      <c r="G121">
        <v>66</v>
      </c>
      <c r="H121">
        <f>IF(COUNTIF(Sheet2!A:A,A121)&gt;0,VLOOKUP(A121,Sheet2!A:B,2,FALSE),"Not Found")</f>
        <v>0</v>
      </c>
      <c r="I121" t="str">
        <f t="shared" si="1"/>
        <v>Match</v>
      </c>
    </row>
    <row r="122" spans="1:9" x14ac:dyDescent="0.35">
      <c r="A122" s="1" t="s">
        <v>165</v>
      </c>
      <c r="B122">
        <v>0</v>
      </c>
      <c r="D122" t="s">
        <v>120</v>
      </c>
      <c r="E122">
        <v>0</v>
      </c>
      <c r="F122" t="s">
        <v>490</v>
      </c>
      <c r="G122">
        <v>99</v>
      </c>
      <c r="H122">
        <f>IF(COUNTIF(Sheet2!A:A,A122)&gt;0,VLOOKUP(A122,Sheet2!A:B,2,FALSE),"Not Found")</f>
        <v>0</v>
      </c>
      <c r="I122" t="str">
        <f t="shared" si="1"/>
        <v>Match</v>
      </c>
    </row>
    <row r="123" spans="1:9" x14ac:dyDescent="0.35">
      <c r="A123" s="1" t="s">
        <v>164</v>
      </c>
      <c r="B123">
        <v>0</v>
      </c>
      <c r="D123" t="s">
        <v>121</v>
      </c>
      <c r="E123">
        <v>0</v>
      </c>
      <c r="F123" t="s">
        <v>492</v>
      </c>
      <c r="G123">
        <v>86</v>
      </c>
      <c r="H123">
        <f>IF(COUNTIF(Sheet2!A:A,A123)&gt;0,VLOOKUP(A123,Sheet2!A:B,2,FALSE),"Not Found")</f>
        <v>0</v>
      </c>
      <c r="I123" t="str">
        <f t="shared" si="1"/>
        <v>Match</v>
      </c>
    </row>
    <row r="124" spans="1:9" x14ac:dyDescent="0.35">
      <c r="A124" s="1" t="s">
        <v>163</v>
      </c>
      <c r="B124">
        <v>0</v>
      </c>
      <c r="D124" t="s">
        <v>122</v>
      </c>
      <c r="E124">
        <v>0</v>
      </c>
      <c r="F124" t="s">
        <v>492</v>
      </c>
      <c r="G124">
        <v>86</v>
      </c>
      <c r="H124">
        <f>IF(COUNTIF(Sheet2!A:A,A124)&gt;0,VLOOKUP(A124,Sheet2!A:B,2,FALSE),"Not Found")</f>
        <v>0</v>
      </c>
      <c r="I124" t="str">
        <f t="shared" si="1"/>
        <v>Match</v>
      </c>
    </row>
    <row r="125" spans="1:9" x14ac:dyDescent="0.35">
      <c r="A125" s="1" t="s">
        <v>73</v>
      </c>
      <c r="B125">
        <v>0</v>
      </c>
      <c r="D125" t="s">
        <v>123</v>
      </c>
      <c r="E125">
        <v>0</v>
      </c>
      <c r="F125" t="s">
        <v>536</v>
      </c>
      <c r="G125">
        <v>2</v>
      </c>
      <c r="H125">
        <f>IF(COUNTIF(Sheet2!A:A,A125)&gt;0,VLOOKUP(A125,Sheet2!A:B,2,FALSE),"Not Found")</f>
        <v>0</v>
      </c>
      <c r="I125" t="str">
        <f t="shared" si="1"/>
        <v>Match</v>
      </c>
    </row>
    <row r="126" spans="1:9" x14ac:dyDescent="0.35">
      <c r="A126" s="1" t="s">
        <v>244</v>
      </c>
      <c r="B126">
        <v>0</v>
      </c>
      <c r="D126" t="s">
        <v>124</v>
      </c>
      <c r="E126">
        <v>115856</v>
      </c>
      <c r="F126" t="s">
        <v>493</v>
      </c>
      <c r="G126">
        <v>1</v>
      </c>
      <c r="H126">
        <f>IF(COUNTIF(Sheet2!A:A,A126)&gt;0,VLOOKUP(A126,Sheet2!A:B,2,FALSE),"Not Found")</f>
        <v>0</v>
      </c>
      <c r="I126" t="str">
        <f t="shared" si="1"/>
        <v>Match</v>
      </c>
    </row>
    <row r="127" spans="1:9" x14ac:dyDescent="0.35">
      <c r="A127" s="1" t="s">
        <v>202</v>
      </c>
      <c r="B127">
        <v>0</v>
      </c>
      <c r="D127" t="s">
        <v>125</v>
      </c>
      <c r="E127">
        <v>7523118</v>
      </c>
      <c r="F127" t="s">
        <v>493</v>
      </c>
      <c r="G127">
        <v>1</v>
      </c>
      <c r="H127">
        <f>IF(COUNTIF(Sheet2!A:A,A127)&gt;0,VLOOKUP(A127,Sheet2!A:B,2,FALSE),"Not Found")</f>
        <v>0</v>
      </c>
      <c r="I127" t="str">
        <f t="shared" si="1"/>
        <v>Match</v>
      </c>
    </row>
    <row r="128" spans="1:9" x14ac:dyDescent="0.35">
      <c r="A128" s="1" t="s">
        <v>118</v>
      </c>
      <c r="B128">
        <v>0</v>
      </c>
      <c r="D128" t="s">
        <v>126</v>
      </c>
      <c r="E128">
        <v>4543</v>
      </c>
      <c r="F128" t="s">
        <v>493</v>
      </c>
      <c r="G128">
        <v>1</v>
      </c>
      <c r="H128">
        <f>IF(COUNTIF(Sheet2!A:A,A128)&gt;0,VLOOKUP(A128,Sheet2!A:B,2,FALSE),"Not Found")</f>
        <v>0</v>
      </c>
      <c r="I128" t="str">
        <f t="shared" si="1"/>
        <v>Match</v>
      </c>
    </row>
    <row r="129" spans="1:9" x14ac:dyDescent="0.35">
      <c r="A129" s="1" t="s">
        <v>119</v>
      </c>
      <c r="B129">
        <v>0</v>
      </c>
      <c r="D129" t="s">
        <v>127</v>
      </c>
      <c r="E129">
        <v>0</v>
      </c>
      <c r="F129" t="s">
        <v>494</v>
      </c>
      <c r="G129">
        <v>42</v>
      </c>
      <c r="H129">
        <f>IF(COUNTIF(Sheet2!A:A,A129)&gt;0,VLOOKUP(A129,Sheet2!A:B,2,FALSE),"Not Found")</f>
        <v>0</v>
      </c>
      <c r="I129" t="str">
        <f t="shared" si="1"/>
        <v>Match</v>
      </c>
    </row>
    <row r="130" spans="1:9" x14ac:dyDescent="0.35">
      <c r="A130" s="1" t="s">
        <v>303</v>
      </c>
      <c r="B130">
        <v>0</v>
      </c>
      <c r="D130" t="s">
        <v>128</v>
      </c>
      <c r="E130">
        <v>9034</v>
      </c>
      <c r="F130" t="s">
        <v>495</v>
      </c>
      <c r="G130">
        <v>114</v>
      </c>
      <c r="H130">
        <f>IF(COUNTIF(Sheet2!A:A,A130)&gt;0,VLOOKUP(A130,Sheet2!A:B,2,FALSE),"Not Found")</f>
        <v>0</v>
      </c>
      <c r="I130" t="str">
        <f t="shared" si="1"/>
        <v>Match</v>
      </c>
    </row>
    <row r="131" spans="1:9" x14ac:dyDescent="0.35">
      <c r="A131" s="1" t="s">
        <v>277</v>
      </c>
      <c r="B131">
        <v>0</v>
      </c>
      <c r="D131" t="s">
        <v>129</v>
      </c>
      <c r="E131">
        <v>0</v>
      </c>
      <c r="F131" t="s">
        <v>495</v>
      </c>
      <c r="G131">
        <v>114</v>
      </c>
      <c r="H131">
        <f>IF(COUNTIF(Sheet2!A:A,A131)&gt;0,VLOOKUP(A131,Sheet2!A:B,2,FALSE),"Not Found")</f>
        <v>0</v>
      </c>
      <c r="I131" t="str">
        <f t="shared" ref="I131:I194" si="2">IF(B131=H131,"Match","Mis Match")</f>
        <v>Match</v>
      </c>
    </row>
    <row r="132" spans="1:9" x14ac:dyDescent="0.35">
      <c r="A132" s="1" t="s">
        <v>231</v>
      </c>
      <c r="B132">
        <v>0</v>
      </c>
      <c r="D132" t="s">
        <v>130</v>
      </c>
      <c r="E132">
        <v>0</v>
      </c>
      <c r="F132" t="s">
        <v>537</v>
      </c>
      <c r="G132">
        <v>98</v>
      </c>
      <c r="H132">
        <f>IF(COUNTIF(Sheet2!A:A,A132)&gt;0,VLOOKUP(A132,Sheet2!A:B,2,FALSE),"Not Found")</f>
        <v>0</v>
      </c>
      <c r="I132" t="str">
        <f t="shared" si="2"/>
        <v>Match</v>
      </c>
    </row>
    <row r="133" spans="1:9" x14ac:dyDescent="0.35">
      <c r="A133" s="1" t="s">
        <v>42</v>
      </c>
      <c r="B133">
        <v>0</v>
      </c>
      <c r="D133" t="s">
        <v>131</v>
      </c>
      <c r="E133">
        <v>0</v>
      </c>
      <c r="F133" t="s">
        <v>498</v>
      </c>
      <c r="G133">
        <v>79</v>
      </c>
      <c r="H133">
        <f>IF(COUNTIF(Sheet2!A:A,A133)&gt;0,VLOOKUP(A133,Sheet2!A:B,2,FALSE),"Not Found")</f>
        <v>0</v>
      </c>
      <c r="I133" t="str">
        <f t="shared" si="2"/>
        <v>Match</v>
      </c>
    </row>
    <row r="134" spans="1:9" x14ac:dyDescent="0.35">
      <c r="A134" s="1" t="s">
        <v>265</v>
      </c>
      <c r="B134">
        <v>0</v>
      </c>
      <c r="D134" t="s">
        <v>132</v>
      </c>
      <c r="E134">
        <v>0</v>
      </c>
      <c r="F134" t="s">
        <v>498</v>
      </c>
      <c r="G134">
        <v>79</v>
      </c>
      <c r="H134">
        <f>IF(COUNTIF(Sheet2!A:A,A134)&gt;0,VLOOKUP(A134,Sheet2!A:B,2,FALSE),"Not Found")</f>
        <v>0</v>
      </c>
      <c r="I134" t="str">
        <f t="shared" si="2"/>
        <v>Match</v>
      </c>
    </row>
    <row r="135" spans="1:9" x14ac:dyDescent="0.35">
      <c r="A135" s="1" t="s">
        <v>258</v>
      </c>
      <c r="B135">
        <v>0</v>
      </c>
      <c r="D135" t="s">
        <v>133</v>
      </c>
      <c r="E135">
        <v>0</v>
      </c>
      <c r="F135" t="s">
        <v>498</v>
      </c>
      <c r="G135">
        <v>79</v>
      </c>
      <c r="H135">
        <f>IF(COUNTIF(Sheet2!A:A,A135)&gt;0,VLOOKUP(A135,Sheet2!A:B,2,FALSE),"Not Found")</f>
        <v>0</v>
      </c>
      <c r="I135" t="str">
        <f t="shared" si="2"/>
        <v>Match</v>
      </c>
    </row>
    <row r="136" spans="1:9" x14ac:dyDescent="0.35">
      <c r="A136" s="1" t="s">
        <v>140</v>
      </c>
      <c r="B136">
        <v>0</v>
      </c>
      <c r="D136" t="s">
        <v>134</v>
      </c>
      <c r="E136">
        <v>0</v>
      </c>
      <c r="F136" t="s">
        <v>498</v>
      </c>
      <c r="G136">
        <v>79</v>
      </c>
      <c r="H136">
        <f>IF(COUNTIF(Sheet2!A:A,A136)&gt;0,VLOOKUP(A136,Sheet2!A:B,2,FALSE),"Not Found")</f>
        <v>0</v>
      </c>
      <c r="I136" t="str">
        <f t="shared" si="2"/>
        <v>Match</v>
      </c>
    </row>
    <row r="137" spans="1:9" x14ac:dyDescent="0.35">
      <c r="A137" s="1" t="s">
        <v>266</v>
      </c>
      <c r="B137">
        <v>0</v>
      </c>
      <c r="D137" t="s">
        <v>135</v>
      </c>
      <c r="E137">
        <v>0</v>
      </c>
      <c r="F137" t="s">
        <v>498</v>
      </c>
      <c r="G137">
        <v>79</v>
      </c>
      <c r="H137">
        <f>IF(COUNTIF(Sheet2!A:A,A137)&gt;0,VLOOKUP(A137,Sheet2!A:B,2,FALSE),"Not Found")</f>
        <v>0</v>
      </c>
      <c r="I137" t="str">
        <f t="shared" si="2"/>
        <v>Match</v>
      </c>
    </row>
    <row r="138" spans="1:9" x14ac:dyDescent="0.35">
      <c r="A138" s="1" t="s">
        <v>221</v>
      </c>
      <c r="B138">
        <v>0</v>
      </c>
      <c r="D138" t="s">
        <v>136</v>
      </c>
      <c r="E138">
        <v>0</v>
      </c>
      <c r="F138" t="s">
        <v>498</v>
      </c>
      <c r="G138">
        <v>79</v>
      </c>
      <c r="H138">
        <f>IF(COUNTIF(Sheet2!A:A,A138)&gt;0,VLOOKUP(A138,Sheet2!A:B,2,FALSE),"Not Found")</f>
        <v>0</v>
      </c>
      <c r="I138" t="str">
        <f t="shared" si="2"/>
        <v>Match</v>
      </c>
    </row>
    <row r="139" spans="1:9" x14ac:dyDescent="0.35">
      <c r="A139" s="1" t="s">
        <v>141</v>
      </c>
      <c r="B139">
        <v>0</v>
      </c>
      <c r="D139" t="s">
        <v>137</v>
      </c>
      <c r="E139">
        <v>0</v>
      </c>
      <c r="F139" t="s">
        <v>498</v>
      </c>
      <c r="G139">
        <v>79</v>
      </c>
      <c r="H139">
        <f>IF(COUNTIF(Sheet2!A:A,A139)&gt;0,VLOOKUP(A139,Sheet2!A:B,2,FALSE),"Not Found")</f>
        <v>0</v>
      </c>
      <c r="I139" t="str">
        <f t="shared" si="2"/>
        <v>Match</v>
      </c>
    </row>
    <row r="140" spans="1:9" x14ac:dyDescent="0.35">
      <c r="A140" s="1" t="s">
        <v>142</v>
      </c>
      <c r="B140">
        <v>0</v>
      </c>
      <c r="D140" t="s">
        <v>138</v>
      </c>
      <c r="E140">
        <v>0</v>
      </c>
      <c r="F140" t="s">
        <v>498</v>
      </c>
      <c r="G140">
        <v>79</v>
      </c>
      <c r="H140">
        <f>IF(COUNTIF(Sheet2!A:A,A140)&gt;0,VLOOKUP(A140,Sheet2!A:B,2,FALSE),"Not Found")</f>
        <v>0</v>
      </c>
      <c r="I140" t="str">
        <f t="shared" si="2"/>
        <v>Match</v>
      </c>
    </row>
    <row r="141" spans="1:9" x14ac:dyDescent="0.35">
      <c r="A141" s="1" t="s">
        <v>311</v>
      </c>
      <c r="B141">
        <v>0</v>
      </c>
      <c r="D141" t="s">
        <v>139</v>
      </c>
      <c r="E141">
        <v>0</v>
      </c>
      <c r="F141" t="s">
        <v>498</v>
      </c>
      <c r="G141">
        <v>79</v>
      </c>
      <c r="H141">
        <f>IF(COUNTIF(Sheet2!A:A,A141)&gt;0,VLOOKUP(A141,Sheet2!A:B,2,FALSE),"Not Found")</f>
        <v>0</v>
      </c>
      <c r="I141" t="str">
        <f t="shared" si="2"/>
        <v>Match</v>
      </c>
    </row>
    <row r="142" spans="1:9" x14ac:dyDescent="0.35">
      <c r="A142" s="1" t="s">
        <v>95</v>
      </c>
      <c r="B142">
        <v>0</v>
      </c>
      <c r="D142" t="s">
        <v>140</v>
      </c>
      <c r="E142">
        <v>0</v>
      </c>
      <c r="F142" t="s">
        <v>498</v>
      </c>
      <c r="G142">
        <v>79</v>
      </c>
      <c r="H142">
        <f>IF(COUNTIF(Sheet2!A:A,A142)&gt;0,VLOOKUP(A142,Sheet2!A:B,2,FALSE),"Not Found")</f>
        <v>0</v>
      </c>
      <c r="I142" t="str">
        <f t="shared" si="2"/>
        <v>Match</v>
      </c>
    </row>
    <row r="143" spans="1:9" x14ac:dyDescent="0.35">
      <c r="A143" s="1" t="s">
        <v>215</v>
      </c>
      <c r="B143">
        <v>0</v>
      </c>
      <c r="D143" t="s">
        <v>141</v>
      </c>
      <c r="E143">
        <v>0</v>
      </c>
      <c r="F143" t="s">
        <v>498</v>
      </c>
      <c r="G143">
        <v>79</v>
      </c>
      <c r="H143">
        <f>IF(COUNTIF(Sheet2!A:A,A143)&gt;0,VLOOKUP(A143,Sheet2!A:B,2,FALSE),"Not Found")</f>
        <v>0</v>
      </c>
      <c r="I143" t="str">
        <f t="shared" si="2"/>
        <v>Match</v>
      </c>
    </row>
    <row r="144" spans="1:9" x14ac:dyDescent="0.35">
      <c r="A144" s="1" t="s">
        <v>59</v>
      </c>
      <c r="B144">
        <v>1661481</v>
      </c>
      <c r="D144" t="s">
        <v>142</v>
      </c>
      <c r="E144">
        <v>0</v>
      </c>
      <c r="F144" t="s">
        <v>498</v>
      </c>
      <c r="G144">
        <v>79</v>
      </c>
      <c r="H144">
        <f>IF(COUNTIF(Sheet2!A:A,A144)&gt;0,VLOOKUP(A144,Sheet2!A:B,2,FALSE),"Not Found")</f>
        <v>1661481</v>
      </c>
      <c r="I144" t="str">
        <f t="shared" si="2"/>
        <v>Match</v>
      </c>
    </row>
    <row r="145" spans="1:9" x14ac:dyDescent="0.35">
      <c r="A145" s="1" t="s">
        <v>279</v>
      </c>
      <c r="B145">
        <v>0</v>
      </c>
      <c r="D145" t="s">
        <v>143</v>
      </c>
      <c r="E145">
        <v>0</v>
      </c>
      <c r="F145" t="s">
        <v>498</v>
      </c>
      <c r="G145">
        <v>79</v>
      </c>
      <c r="H145">
        <f>IF(COUNTIF(Sheet2!A:A,A145)&gt;0,VLOOKUP(A145,Sheet2!A:B,2,FALSE),"Not Found")</f>
        <v>0</v>
      </c>
      <c r="I145" t="str">
        <f t="shared" si="2"/>
        <v>Match</v>
      </c>
    </row>
    <row r="146" spans="1:9" x14ac:dyDescent="0.35">
      <c r="A146" s="1" t="s">
        <v>233</v>
      </c>
      <c r="B146">
        <v>0</v>
      </c>
      <c r="D146" t="s">
        <v>144</v>
      </c>
      <c r="E146">
        <v>0</v>
      </c>
      <c r="F146" t="s">
        <v>498</v>
      </c>
      <c r="G146">
        <v>79</v>
      </c>
      <c r="H146">
        <f>IF(COUNTIF(Sheet2!A:A,A146)&gt;0,VLOOKUP(A146,Sheet2!A:B,2,FALSE),"Not Found")</f>
        <v>0</v>
      </c>
      <c r="I146" t="str">
        <f t="shared" si="2"/>
        <v>Match</v>
      </c>
    </row>
    <row r="147" spans="1:9" x14ac:dyDescent="0.35">
      <c r="A147" s="1" t="s">
        <v>61</v>
      </c>
      <c r="B147">
        <v>0</v>
      </c>
      <c r="D147" t="s">
        <v>145</v>
      </c>
      <c r="E147">
        <v>0</v>
      </c>
      <c r="F147" t="s">
        <v>498</v>
      </c>
      <c r="G147">
        <v>79</v>
      </c>
      <c r="H147">
        <f>IF(COUNTIF(Sheet2!A:A,A147)&gt;0,VLOOKUP(A147,Sheet2!A:B,2,FALSE),"Not Found")</f>
        <v>0</v>
      </c>
      <c r="I147" t="str">
        <f t="shared" si="2"/>
        <v>Match</v>
      </c>
    </row>
    <row r="148" spans="1:9" x14ac:dyDescent="0.35">
      <c r="A148" s="1" t="s">
        <v>222</v>
      </c>
      <c r="B148">
        <v>0</v>
      </c>
      <c r="D148" t="s">
        <v>146</v>
      </c>
      <c r="E148">
        <v>0</v>
      </c>
      <c r="F148" t="s">
        <v>498</v>
      </c>
      <c r="G148">
        <v>79</v>
      </c>
      <c r="H148">
        <f>IF(COUNTIF(Sheet2!A:A,A148)&gt;0,VLOOKUP(A148,Sheet2!A:B,2,FALSE),"Not Found")</f>
        <v>0</v>
      </c>
      <c r="I148" t="str">
        <f t="shared" si="2"/>
        <v>Match</v>
      </c>
    </row>
    <row r="149" spans="1:9" x14ac:dyDescent="0.35">
      <c r="A149" s="1" t="s">
        <v>96</v>
      </c>
      <c r="B149">
        <v>0</v>
      </c>
      <c r="D149" t="s">
        <v>147</v>
      </c>
      <c r="E149">
        <v>0</v>
      </c>
      <c r="F149" t="s">
        <v>498</v>
      </c>
      <c r="G149">
        <v>79</v>
      </c>
      <c r="H149">
        <f>IF(COUNTIF(Sheet2!A:A,A149)&gt;0,VLOOKUP(A149,Sheet2!A:B,2,FALSE),"Not Found")</f>
        <v>0</v>
      </c>
      <c r="I149" t="str">
        <f t="shared" si="2"/>
        <v>Match</v>
      </c>
    </row>
    <row r="150" spans="1:9" x14ac:dyDescent="0.35">
      <c r="A150" s="1" t="s">
        <v>354</v>
      </c>
      <c r="B150">
        <v>0</v>
      </c>
      <c r="D150" t="s">
        <v>148</v>
      </c>
      <c r="E150">
        <v>0</v>
      </c>
      <c r="F150" t="s">
        <v>498</v>
      </c>
      <c r="G150">
        <v>79</v>
      </c>
      <c r="H150">
        <f>IF(COUNTIF(Sheet2!A:A,A150)&gt;0,VLOOKUP(A150,Sheet2!A:B,2,FALSE),"Not Found")</f>
        <v>0</v>
      </c>
      <c r="I150" t="str">
        <f t="shared" si="2"/>
        <v>Match</v>
      </c>
    </row>
    <row r="151" spans="1:9" x14ac:dyDescent="0.35">
      <c r="A151" s="1" t="s">
        <v>125</v>
      </c>
      <c r="B151">
        <v>7523118</v>
      </c>
      <c r="D151" t="s">
        <v>149</v>
      </c>
      <c r="E151">
        <v>0</v>
      </c>
      <c r="F151" t="s">
        <v>538</v>
      </c>
      <c r="G151">
        <v>48</v>
      </c>
      <c r="H151">
        <f>IF(COUNTIF(Sheet2!A:A,A151)&gt;0,VLOOKUP(A151,Sheet2!A:B,2,FALSE),"Not Found")</f>
        <v>7523118</v>
      </c>
      <c r="I151" t="str">
        <f t="shared" si="2"/>
        <v>Match</v>
      </c>
    </row>
    <row r="152" spans="1:9" x14ac:dyDescent="0.35">
      <c r="A152" s="1" t="s">
        <v>22</v>
      </c>
      <c r="B152">
        <v>0</v>
      </c>
      <c r="D152" t="s">
        <v>150</v>
      </c>
      <c r="E152">
        <v>0</v>
      </c>
      <c r="F152" t="s">
        <v>539</v>
      </c>
      <c r="G152">
        <v>44</v>
      </c>
      <c r="H152">
        <f>IF(COUNTIF(Sheet2!A:A,A152)&gt;0,VLOOKUP(A152,Sheet2!A:B,2,FALSE),"Not Found")</f>
        <v>0</v>
      </c>
      <c r="I152" t="str">
        <f t="shared" si="2"/>
        <v>Match</v>
      </c>
    </row>
    <row r="153" spans="1:9" x14ac:dyDescent="0.35">
      <c r="A153" s="1" t="s">
        <v>251</v>
      </c>
      <c r="B153">
        <v>0</v>
      </c>
      <c r="D153" t="s">
        <v>151</v>
      </c>
      <c r="E153">
        <v>0</v>
      </c>
      <c r="F153" t="s">
        <v>540</v>
      </c>
      <c r="G153">
        <v>62</v>
      </c>
      <c r="H153">
        <f>IF(COUNTIF(Sheet2!A:A,A153)&gt;0,VLOOKUP(A153,Sheet2!A:B,2,FALSE),"Not Found")</f>
        <v>0</v>
      </c>
      <c r="I153" t="str">
        <f t="shared" si="2"/>
        <v>Match</v>
      </c>
    </row>
    <row r="154" spans="1:9" x14ac:dyDescent="0.35">
      <c r="A154" s="1" t="s">
        <v>338</v>
      </c>
      <c r="B154">
        <v>4200782</v>
      </c>
      <c r="D154" t="s">
        <v>129</v>
      </c>
      <c r="E154">
        <v>0</v>
      </c>
      <c r="F154" t="s">
        <v>541</v>
      </c>
      <c r="G154">
        <v>55</v>
      </c>
      <c r="H154">
        <f>IF(COUNTIF(Sheet2!A:A,A154)&gt;0,VLOOKUP(A154,Sheet2!A:B,2,FALSE),"Not Found")</f>
        <v>4200782</v>
      </c>
      <c r="I154" t="str">
        <f t="shared" si="2"/>
        <v>Match</v>
      </c>
    </row>
    <row r="155" spans="1:9" x14ac:dyDescent="0.35">
      <c r="A155" s="1" t="s">
        <v>78</v>
      </c>
      <c r="B155">
        <v>3597701</v>
      </c>
      <c r="D155" t="s">
        <v>152</v>
      </c>
      <c r="E155">
        <v>0</v>
      </c>
      <c r="F155" t="s">
        <v>542</v>
      </c>
      <c r="G155">
        <v>60</v>
      </c>
      <c r="H155">
        <f>IF(COUNTIF(Sheet2!A:A,A155)&gt;0,VLOOKUP(A155,Sheet2!A:B,2,FALSE),"Not Found")</f>
        <v>3597701</v>
      </c>
      <c r="I155" t="str">
        <f t="shared" si="2"/>
        <v>Match</v>
      </c>
    </row>
    <row r="156" spans="1:9" x14ac:dyDescent="0.35">
      <c r="A156" s="1" t="s">
        <v>208</v>
      </c>
      <c r="B156">
        <v>10833774</v>
      </c>
      <c r="D156" t="s">
        <v>153</v>
      </c>
      <c r="E156">
        <v>0</v>
      </c>
      <c r="F156" t="s">
        <v>543</v>
      </c>
      <c r="G156">
        <v>16</v>
      </c>
      <c r="H156">
        <f>IF(COUNTIF(Sheet2!A:A,A156)&gt;0,VLOOKUP(A156,Sheet2!A:B,2,FALSE),"Not Found")</f>
        <v>10833774</v>
      </c>
      <c r="I156" t="str">
        <f t="shared" si="2"/>
        <v>Match</v>
      </c>
    </row>
    <row r="157" spans="1:9" x14ac:dyDescent="0.35">
      <c r="A157" s="1" t="s">
        <v>172</v>
      </c>
      <c r="B157">
        <v>277490</v>
      </c>
      <c r="D157" t="s">
        <v>154</v>
      </c>
      <c r="E157">
        <v>9069</v>
      </c>
      <c r="F157" t="s">
        <v>482</v>
      </c>
      <c r="G157">
        <v>11</v>
      </c>
      <c r="H157">
        <f>IF(COUNTIF(Sheet2!A:A,A157)&gt;0,VLOOKUP(A157,Sheet2!A:B,2,FALSE),"Not Found")</f>
        <v>277490</v>
      </c>
      <c r="I157" t="str">
        <f t="shared" si="2"/>
        <v>Match</v>
      </c>
    </row>
    <row r="158" spans="1:9" x14ac:dyDescent="0.35">
      <c r="A158" s="1" t="s">
        <v>209</v>
      </c>
      <c r="B158">
        <v>999</v>
      </c>
      <c r="D158" t="s">
        <v>155</v>
      </c>
      <c r="E158">
        <v>0</v>
      </c>
      <c r="F158" t="s">
        <v>544</v>
      </c>
      <c r="G158">
        <v>13</v>
      </c>
      <c r="H158">
        <f>IF(COUNTIF(Sheet2!A:A,A158)&gt;0,VLOOKUP(A158,Sheet2!A:B,2,FALSE),"Not Found")</f>
        <v>999</v>
      </c>
      <c r="I158" t="str">
        <f t="shared" si="2"/>
        <v>Match</v>
      </c>
    </row>
    <row r="159" spans="1:9" x14ac:dyDescent="0.35">
      <c r="A159" s="1" t="s">
        <v>23</v>
      </c>
      <c r="B159">
        <v>187928</v>
      </c>
      <c r="D159" t="s">
        <v>156</v>
      </c>
      <c r="E159">
        <v>0</v>
      </c>
      <c r="F159" t="s">
        <v>511</v>
      </c>
      <c r="G159">
        <v>33</v>
      </c>
      <c r="H159">
        <f>IF(COUNTIF(Sheet2!A:A,A159)&gt;0,VLOOKUP(A159,Sheet2!A:B,2,FALSE),"Not Found")</f>
        <v>187928</v>
      </c>
      <c r="I159" t="str">
        <f t="shared" si="2"/>
        <v>Match</v>
      </c>
    </row>
    <row r="160" spans="1:9" x14ac:dyDescent="0.35">
      <c r="A160" s="1" t="s">
        <v>24</v>
      </c>
      <c r="B160">
        <v>647</v>
      </c>
      <c r="D160" t="s">
        <v>157</v>
      </c>
      <c r="E160">
        <v>0</v>
      </c>
      <c r="F160" t="s">
        <v>545</v>
      </c>
      <c r="G160">
        <v>37</v>
      </c>
      <c r="H160">
        <f>IF(COUNTIF(Sheet2!A:A,A160)&gt;0,VLOOKUP(A160,Sheet2!A:B,2,FALSE),"Not Found")</f>
        <v>647</v>
      </c>
      <c r="I160" t="str">
        <f t="shared" si="2"/>
        <v>Match</v>
      </c>
    </row>
    <row r="161" spans="1:9" x14ac:dyDescent="0.35">
      <c r="A161" s="1" t="s">
        <v>25</v>
      </c>
      <c r="B161">
        <v>7390532</v>
      </c>
      <c r="D161" t="s">
        <v>158</v>
      </c>
      <c r="E161">
        <v>0</v>
      </c>
      <c r="F161" t="s">
        <v>516</v>
      </c>
      <c r="G161">
        <v>22</v>
      </c>
      <c r="H161">
        <f>IF(COUNTIF(Sheet2!A:A,A161)&gt;0,VLOOKUP(A161,Sheet2!A:B,2,FALSE),"Not Found")</f>
        <v>7390532</v>
      </c>
      <c r="I161" t="str">
        <f t="shared" si="2"/>
        <v>Match</v>
      </c>
    </row>
    <row r="162" spans="1:9" x14ac:dyDescent="0.35">
      <c r="A162" s="1" t="s">
        <v>252</v>
      </c>
      <c r="B162">
        <v>92492</v>
      </c>
      <c r="D162" t="s">
        <v>159</v>
      </c>
      <c r="E162">
        <v>0</v>
      </c>
      <c r="F162" t="s">
        <v>546</v>
      </c>
      <c r="G162">
        <v>23</v>
      </c>
      <c r="H162">
        <f>IF(COUNTIF(Sheet2!A:A,A162)&gt;0,VLOOKUP(A162,Sheet2!A:B,2,FALSE),"Not Found")</f>
        <v>92492</v>
      </c>
      <c r="I162" t="str">
        <f t="shared" si="2"/>
        <v>Match</v>
      </c>
    </row>
    <row r="163" spans="1:9" x14ac:dyDescent="0.35">
      <c r="A163" s="1" t="s">
        <v>173</v>
      </c>
      <c r="B163">
        <v>10836094</v>
      </c>
      <c r="D163" t="s">
        <v>160</v>
      </c>
      <c r="E163">
        <v>0</v>
      </c>
      <c r="F163" t="s">
        <v>547</v>
      </c>
      <c r="G163">
        <v>19</v>
      </c>
      <c r="H163">
        <f>IF(COUNTIF(Sheet2!A:A,A163)&gt;0,VLOOKUP(A163,Sheet2!A:B,2,FALSE),"Not Found")</f>
        <v>10836094</v>
      </c>
      <c r="I163" t="str">
        <f t="shared" si="2"/>
        <v>Match</v>
      </c>
    </row>
    <row r="164" spans="1:9" x14ac:dyDescent="0.35">
      <c r="A164" s="1" t="s">
        <v>174</v>
      </c>
      <c r="B164">
        <v>1156556</v>
      </c>
      <c r="D164" t="s">
        <v>161</v>
      </c>
      <c r="E164">
        <v>4</v>
      </c>
      <c r="F164" t="s">
        <v>488</v>
      </c>
      <c r="G164">
        <v>85</v>
      </c>
      <c r="H164">
        <f>IF(COUNTIF(Sheet2!A:A,A164)&gt;0,VLOOKUP(A164,Sheet2!A:B,2,FALSE),"Not Found")</f>
        <v>1156556</v>
      </c>
      <c r="I164" t="str">
        <f t="shared" si="2"/>
        <v>Match</v>
      </c>
    </row>
    <row r="165" spans="1:9" x14ac:dyDescent="0.35">
      <c r="A165" s="1" t="s">
        <v>253</v>
      </c>
      <c r="B165">
        <v>14517983</v>
      </c>
      <c r="D165" t="s">
        <v>162</v>
      </c>
      <c r="E165">
        <v>0</v>
      </c>
      <c r="F165" t="s">
        <v>519</v>
      </c>
      <c r="G165">
        <v>4</v>
      </c>
      <c r="H165">
        <f>IF(COUNTIF(Sheet2!A:A,A165)&gt;0,VLOOKUP(A165,Sheet2!A:B,2,FALSE),"Not Found")</f>
        <v>14517983</v>
      </c>
      <c r="I165" t="str">
        <f t="shared" si="2"/>
        <v>Match</v>
      </c>
    </row>
    <row r="166" spans="1:9" x14ac:dyDescent="0.35">
      <c r="A166" s="1" t="s">
        <v>126</v>
      </c>
      <c r="B166">
        <v>4543</v>
      </c>
      <c r="D166" t="s">
        <v>163</v>
      </c>
      <c r="E166">
        <v>0</v>
      </c>
      <c r="F166" t="s">
        <v>548</v>
      </c>
      <c r="G166">
        <v>64</v>
      </c>
      <c r="H166">
        <f>IF(COUNTIF(Sheet2!A:A,A166)&gt;0,VLOOKUP(A166,Sheet2!A:B,2,FALSE),"Not Found")</f>
        <v>4543</v>
      </c>
      <c r="I166" t="str">
        <f t="shared" si="2"/>
        <v>Match</v>
      </c>
    </row>
    <row r="167" spans="1:9" x14ac:dyDescent="0.35">
      <c r="A167" s="1" t="s">
        <v>27</v>
      </c>
      <c r="B167">
        <v>0</v>
      </c>
      <c r="D167" t="s">
        <v>164</v>
      </c>
      <c r="E167">
        <v>0</v>
      </c>
      <c r="F167" t="s">
        <v>548</v>
      </c>
      <c r="G167">
        <v>64</v>
      </c>
      <c r="H167">
        <f>IF(COUNTIF(Sheet2!A:A,A167)&gt;0,VLOOKUP(A167,Sheet2!A:B,2,FALSE),"Not Found")</f>
        <v>0</v>
      </c>
      <c r="I167" t="str">
        <f t="shared" si="2"/>
        <v>Match</v>
      </c>
    </row>
    <row r="168" spans="1:9" x14ac:dyDescent="0.35">
      <c r="A168" s="1" t="s">
        <v>26</v>
      </c>
      <c r="B168">
        <v>45985292</v>
      </c>
      <c r="D168" t="s">
        <v>165</v>
      </c>
      <c r="E168">
        <v>0</v>
      </c>
      <c r="F168" t="s">
        <v>549</v>
      </c>
      <c r="G168">
        <v>67</v>
      </c>
      <c r="H168">
        <f>IF(COUNTIF(Sheet2!A:A,A168)&gt;0,VLOOKUP(A168,Sheet2!A:B,2,FALSE),"Not Found")</f>
        <v>45985292</v>
      </c>
      <c r="I168" t="str">
        <f t="shared" si="2"/>
        <v>Match</v>
      </c>
    </row>
    <row r="169" spans="1:9" x14ac:dyDescent="0.35">
      <c r="A169" s="1" t="s">
        <v>175</v>
      </c>
      <c r="B169">
        <v>83154</v>
      </c>
      <c r="D169" t="s">
        <v>166</v>
      </c>
      <c r="E169">
        <v>0</v>
      </c>
      <c r="F169" t="s">
        <v>550</v>
      </c>
      <c r="G169">
        <v>112</v>
      </c>
      <c r="H169">
        <f>IF(COUNTIF(Sheet2!A:A,A169)&gt;0,VLOOKUP(A169,Sheet2!A:B,2,FALSE),"Not Found")</f>
        <v>83154</v>
      </c>
      <c r="I169" t="str">
        <f t="shared" si="2"/>
        <v>Match</v>
      </c>
    </row>
    <row r="170" spans="1:9" x14ac:dyDescent="0.35">
      <c r="A170" s="1" t="s">
        <v>124</v>
      </c>
      <c r="B170">
        <v>115856</v>
      </c>
      <c r="D170" t="s">
        <v>167</v>
      </c>
      <c r="E170">
        <v>0</v>
      </c>
      <c r="F170" t="s">
        <v>492</v>
      </c>
      <c r="G170">
        <v>86</v>
      </c>
      <c r="H170">
        <f>IF(COUNTIF(Sheet2!A:A,A170)&gt;0,VLOOKUP(A170,Sheet2!A:B,2,FALSE),"Not Found")</f>
        <v>115856</v>
      </c>
      <c r="I170" t="str">
        <f t="shared" si="2"/>
        <v>Match</v>
      </c>
    </row>
    <row r="171" spans="1:9" x14ac:dyDescent="0.35">
      <c r="A171" s="1" t="s">
        <v>143</v>
      </c>
      <c r="B171">
        <v>0</v>
      </c>
      <c r="D171" t="s">
        <v>168</v>
      </c>
      <c r="E171">
        <v>0</v>
      </c>
      <c r="F171" t="s">
        <v>492</v>
      </c>
      <c r="G171">
        <v>86</v>
      </c>
      <c r="H171">
        <f>IF(COUNTIF(Sheet2!A:A,A171)&gt;0,VLOOKUP(A171,Sheet2!A:B,2,FALSE),"Not Found")</f>
        <v>0</v>
      </c>
      <c r="I171" t="str">
        <f t="shared" si="2"/>
        <v>Match</v>
      </c>
    </row>
    <row r="172" spans="1:9" x14ac:dyDescent="0.35">
      <c r="A172" s="1" t="s">
        <v>190</v>
      </c>
      <c r="B172">
        <v>0</v>
      </c>
      <c r="D172" t="s">
        <v>169</v>
      </c>
      <c r="E172">
        <v>0</v>
      </c>
      <c r="F172" t="s">
        <v>492</v>
      </c>
      <c r="G172">
        <v>86</v>
      </c>
      <c r="H172">
        <f>IF(COUNTIF(Sheet2!A:A,A172)&gt;0,VLOOKUP(A172,Sheet2!A:B,2,FALSE),"Not Found")</f>
        <v>0</v>
      </c>
      <c r="I172" t="str">
        <f t="shared" si="2"/>
        <v>Match</v>
      </c>
    </row>
    <row r="173" spans="1:9" x14ac:dyDescent="0.35">
      <c r="A173" s="1" t="s">
        <v>313</v>
      </c>
      <c r="B173">
        <v>0</v>
      </c>
      <c r="D173" t="s">
        <v>170</v>
      </c>
      <c r="E173">
        <v>0</v>
      </c>
      <c r="F173" t="s">
        <v>492</v>
      </c>
      <c r="G173">
        <v>86</v>
      </c>
      <c r="H173">
        <f>IF(COUNTIF(Sheet2!A:A,A173)&gt;0,VLOOKUP(A173,Sheet2!A:B,2,FALSE),"Not Found")</f>
        <v>0</v>
      </c>
      <c r="I173" t="str">
        <f t="shared" si="2"/>
        <v>Match</v>
      </c>
    </row>
    <row r="174" spans="1:9" x14ac:dyDescent="0.35">
      <c r="A174" s="1" t="s">
        <v>43</v>
      </c>
      <c r="B174">
        <v>0</v>
      </c>
      <c r="D174" t="s">
        <v>171</v>
      </c>
      <c r="E174">
        <v>0</v>
      </c>
      <c r="F174" t="s">
        <v>492</v>
      </c>
      <c r="G174">
        <v>86</v>
      </c>
      <c r="H174">
        <f>IF(COUNTIF(Sheet2!A:A,A174)&gt;0,VLOOKUP(A174,Sheet2!A:B,2,FALSE),"Not Found")</f>
        <v>0</v>
      </c>
      <c r="I174" t="str">
        <f t="shared" si="2"/>
        <v>Match</v>
      </c>
    </row>
    <row r="175" spans="1:9" x14ac:dyDescent="0.35">
      <c r="A175" s="1" t="s">
        <v>44</v>
      </c>
      <c r="B175">
        <v>0</v>
      </c>
      <c r="D175" t="s">
        <v>172</v>
      </c>
      <c r="E175">
        <v>277490</v>
      </c>
      <c r="F175" t="s">
        <v>493</v>
      </c>
      <c r="G175">
        <v>1</v>
      </c>
      <c r="H175">
        <f>IF(COUNTIF(Sheet2!A:A,A175)&gt;0,VLOOKUP(A175,Sheet2!A:B,2,FALSE),"Not Found")</f>
        <v>0</v>
      </c>
      <c r="I175" t="str">
        <f t="shared" si="2"/>
        <v>Match</v>
      </c>
    </row>
    <row r="176" spans="1:9" x14ac:dyDescent="0.35">
      <c r="A176" s="1" t="s">
        <v>45</v>
      </c>
      <c r="B176">
        <v>0</v>
      </c>
      <c r="D176" t="s">
        <v>173</v>
      </c>
      <c r="E176">
        <v>10836094</v>
      </c>
      <c r="F176" t="s">
        <v>493</v>
      </c>
      <c r="G176">
        <v>1</v>
      </c>
      <c r="H176">
        <f>IF(COUNTIF(Sheet2!A:A,A176)&gt;0,VLOOKUP(A176,Sheet2!A:B,2,FALSE),"Not Found")</f>
        <v>0</v>
      </c>
      <c r="I176" t="str">
        <f t="shared" si="2"/>
        <v>Match</v>
      </c>
    </row>
    <row r="177" spans="1:9" x14ac:dyDescent="0.35">
      <c r="A177" s="1" t="s">
        <v>269</v>
      </c>
      <c r="B177">
        <v>0</v>
      </c>
      <c r="D177" t="s">
        <v>174</v>
      </c>
      <c r="E177">
        <v>1156556</v>
      </c>
      <c r="F177" t="s">
        <v>493</v>
      </c>
      <c r="G177">
        <v>1</v>
      </c>
      <c r="H177">
        <f>IF(COUNTIF(Sheet2!A:A,A177)&gt;0,VLOOKUP(A177,Sheet2!A:B,2,FALSE),"Not Found")</f>
        <v>0</v>
      </c>
      <c r="I177" t="str">
        <f t="shared" si="2"/>
        <v>Match</v>
      </c>
    </row>
    <row r="178" spans="1:9" x14ac:dyDescent="0.35">
      <c r="A178" s="1" t="s">
        <v>314</v>
      </c>
      <c r="B178">
        <v>0</v>
      </c>
      <c r="D178" t="s">
        <v>175</v>
      </c>
      <c r="E178">
        <v>83154</v>
      </c>
      <c r="F178" t="s">
        <v>493</v>
      </c>
      <c r="G178">
        <v>1</v>
      </c>
      <c r="H178">
        <f>IF(COUNTIF(Sheet2!A:A,A178)&gt;0,VLOOKUP(A178,Sheet2!A:B,2,FALSE),"Not Found")</f>
        <v>0</v>
      </c>
      <c r="I178" t="str">
        <f t="shared" si="2"/>
        <v>Match</v>
      </c>
    </row>
    <row r="179" spans="1:9" x14ac:dyDescent="0.35">
      <c r="A179" s="1" t="s">
        <v>270</v>
      </c>
      <c r="B179">
        <v>0</v>
      </c>
      <c r="D179" t="s">
        <v>176</v>
      </c>
      <c r="E179">
        <v>0</v>
      </c>
      <c r="F179" t="s">
        <v>494</v>
      </c>
      <c r="G179">
        <v>42</v>
      </c>
      <c r="H179">
        <f>IF(COUNTIF(Sheet2!A:A,A179)&gt;0,VLOOKUP(A179,Sheet2!A:B,2,FALSE),"Not Found")</f>
        <v>0</v>
      </c>
      <c r="I179" t="str">
        <f t="shared" si="2"/>
        <v>Match</v>
      </c>
    </row>
    <row r="180" spans="1:9" x14ac:dyDescent="0.35">
      <c r="A180" s="1" t="s">
        <v>99</v>
      </c>
      <c r="B180">
        <v>0</v>
      </c>
      <c r="D180" t="s">
        <v>177</v>
      </c>
      <c r="E180">
        <v>0</v>
      </c>
      <c r="F180" t="s">
        <v>494</v>
      </c>
      <c r="G180">
        <v>42</v>
      </c>
      <c r="H180">
        <f>IF(COUNTIF(Sheet2!A:A,A180)&gt;0,VLOOKUP(A180,Sheet2!A:B,2,FALSE),"Not Found")</f>
        <v>0</v>
      </c>
      <c r="I180" t="str">
        <f t="shared" si="2"/>
        <v>Match</v>
      </c>
    </row>
    <row r="181" spans="1:9" x14ac:dyDescent="0.35">
      <c r="A181" s="1" t="s">
        <v>97</v>
      </c>
      <c r="B181">
        <v>0</v>
      </c>
      <c r="D181" t="s">
        <v>178</v>
      </c>
      <c r="E181">
        <v>0</v>
      </c>
      <c r="F181" t="s">
        <v>494</v>
      </c>
      <c r="G181">
        <v>42</v>
      </c>
      <c r="H181">
        <f>IF(COUNTIF(Sheet2!A:A,A181)&gt;0,VLOOKUP(A181,Sheet2!A:B,2,FALSE),"Not Found")</f>
        <v>0</v>
      </c>
      <c r="I181" t="str">
        <f t="shared" si="2"/>
        <v>Match</v>
      </c>
    </row>
    <row r="182" spans="1:9" x14ac:dyDescent="0.35">
      <c r="A182" s="1" t="s">
        <v>98</v>
      </c>
      <c r="B182">
        <v>0</v>
      </c>
      <c r="D182" t="s">
        <v>179</v>
      </c>
      <c r="E182">
        <v>0</v>
      </c>
      <c r="F182" t="s">
        <v>495</v>
      </c>
      <c r="G182">
        <v>114</v>
      </c>
      <c r="H182">
        <f>IF(COUNTIF(Sheet2!A:A,A182)&gt;0,VLOOKUP(A182,Sheet2!A:B,2,FALSE),"Not Found")</f>
        <v>0</v>
      </c>
      <c r="I182" t="str">
        <f t="shared" si="2"/>
        <v>Match</v>
      </c>
    </row>
    <row r="183" spans="1:9" x14ac:dyDescent="0.35">
      <c r="A183" s="1" t="s">
        <v>267</v>
      </c>
      <c r="B183">
        <v>0</v>
      </c>
      <c r="D183" t="s">
        <v>180</v>
      </c>
      <c r="E183">
        <v>0</v>
      </c>
      <c r="F183" t="s">
        <v>495</v>
      </c>
      <c r="G183">
        <v>114</v>
      </c>
      <c r="H183">
        <f>IF(COUNTIF(Sheet2!A:A,A183)&gt;0,VLOOKUP(A183,Sheet2!A:B,2,FALSE),"Not Found")</f>
        <v>0</v>
      </c>
      <c r="I183" t="str">
        <f t="shared" si="2"/>
        <v>Match</v>
      </c>
    </row>
    <row r="184" spans="1:9" x14ac:dyDescent="0.35">
      <c r="A184" s="1" t="s">
        <v>144</v>
      </c>
      <c r="B184">
        <v>0</v>
      </c>
      <c r="D184" t="s">
        <v>181</v>
      </c>
      <c r="E184">
        <v>0</v>
      </c>
      <c r="F184" t="s">
        <v>551</v>
      </c>
      <c r="G184">
        <v>75</v>
      </c>
      <c r="H184">
        <f>IF(COUNTIF(Sheet2!A:A,A184)&gt;0,VLOOKUP(A184,Sheet2!A:B,2,FALSE),"Not Found")</f>
        <v>0</v>
      </c>
      <c r="I184" t="str">
        <f t="shared" si="2"/>
        <v>Match</v>
      </c>
    </row>
    <row r="185" spans="1:9" x14ac:dyDescent="0.35">
      <c r="A185" s="1" t="s">
        <v>268</v>
      </c>
      <c r="B185">
        <v>0</v>
      </c>
      <c r="D185" t="s">
        <v>182</v>
      </c>
      <c r="E185">
        <v>0</v>
      </c>
      <c r="F185" t="s">
        <v>498</v>
      </c>
      <c r="G185">
        <v>79</v>
      </c>
      <c r="H185">
        <f>IF(COUNTIF(Sheet2!A:A,A185)&gt;0,VLOOKUP(A185,Sheet2!A:B,2,FALSE),"Not Found")</f>
        <v>0</v>
      </c>
      <c r="I185" t="str">
        <f t="shared" si="2"/>
        <v>Match</v>
      </c>
    </row>
    <row r="186" spans="1:9" x14ac:dyDescent="0.35">
      <c r="A186" s="1" t="s">
        <v>351</v>
      </c>
      <c r="B186">
        <v>0</v>
      </c>
      <c r="D186" t="s">
        <v>183</v>
      </c>
      <c r="E186">
        <v>0</v>
      </c>
      <c r="F186" t="s">
        <v>498</v>
      </c>
      <c r="G186">
        <v>79</v>
      </c>
      <c r="H186">
        <f>IF(COUNTIF(Sheet2!A:A,A186)&gt;0,VLOOKUP(A186,Sheet2!A:B,2,FALSE),"Not Found")</f>
        <v>0</v>
      </c>
      <c r="I186" t="str">
        <f t="shared" si="2"/>
        <v>Match</v>
      </c>
    </row>
    <row r="187" spans="1:9" x14ac:dyDescent="0.35">
      <c r="A187" s="1" t="s">
        <v>347</v>
      </c>
      <c r="B187">
        <v>0</v>
      </c>
      <c r="D187" t="s">
        <v>184</v>
      </c>
      <c r="E187">
        <v>0</v>
      </c>
      <c r="F187" t="s">
        <v>498</v>
      </c>
      <c r="G187">
        <v>79</v>
      </c>
      <c r="H187">
        <f>IF(COUNTIF(Sheet2!A:A,A187)&gt;0,VLOOKUP(A187,Sheet2!A:B,2,FALSE),"Not Found")</f>
        <v>0</v>
      </c>
      <c r="I187" t="str">
        <f t="shared" si="2"/>
        <v>Match</v>
      </c>
    </row>
    <row r="188" spans="1:9" x14ac:dyDescent="0.35">
      <c r="A188" s="1" t="s">
        <v>312</v>
      </c>
      <c r="B188">
        <v>0</v>
      </c>
      <c r="D188" t="s">
        <v>185</v>
      </c>
      <c r="E188">
        <v>0</v>
      </c>
      <c r="F188" t="s">
        <v>498</v>
      </c>
      <c r="G188">
        <v>79</v>
      </c>
      <c r="H188">
        <f>IF(COUNTIF(Sheet2!A:A,A188)&gt;0,VLOOKUP(A188,Sheet2!A:B,2,FALSE),"Not Found")</f>
        <v>0</v>
      </c>
      <c r="I188" t="str">
        <f t="shared" si="2"/>
        <v>Match</v>
      </c>
    </row>
    <row r="189" spans="1:9" x14ac:dyDescent="0.35">
      <c r="A189" s="1" t="s">
        <v>87</v>
      </c>
      <c r="B189">
        <v>0</v>
      </c>
      <c r="D189" t="s">
        <v>186</v>
      </c>
      <c r="E189">
        <v>0</v>
      </c>
      <c r="F189" t="s">
        <v>498</v>
      </c>
      <c r="G189">
        <v>79</v>
      </c>
      <c r="H189">
        <f>IF(COUNTIF(Sheet2!A:A,A189)&gt;0,VLOOKUP(A189,Sheet2!A:B,2,FALSE),"Not Found")</f>
        <v>0</v>
      </c>
      <c r="I189" t="str">
        <f t="shared" si="2"/>
        <v>Match</v>
      </c>
    </row>
    <row r="190" spans="1:9" x14ac:dyDescent="0.35">
      <c r="A190" s="1" t="s">
        <v>188</v>
      </c>
      <c r="B190">
        <v>0</v>
      </c>
      <c r="D190" t="s">
        <v>187</v>
      </c>
      <c r="E190">
        <v>0</v>
      </c>
      <c r="F190" t="s">
        <v>498</v>
      </c>
      <c r="G190">
        <v>79</v>
      </c>
      <c r="H190">
        <f>IF(COUNTIF(Sheet2!A:A,A190)&gt;0,VLOOKUP(A190,Sheet2!A:B,2,FALSE),"Not Found")</f>
        <v>0</v>
      </c>
      <c r="I190" t="str">
        <f t="shared" si="2"/>
        <v>Match</v>
      </c>
    </row>
    <row r="191" spans="1:9" x14ac:dyDescent="0.35">
      <c r="A191" s="1" t="s">
        <v>189</v>
      </c>
      <c r="B191">
        <v>0</v>
      </c>
      <c r="D191" t="s">
        <v>188</v>
      </c>
      <c r="E191">
        <v>0</v>
      </c>
      <c r="F191" t="s">
        <v>498</v>
      </c>
      <c r="G191">
        <v>79</v>
      </c>
      <c r="H191">
        <f>IF(COUNTIF(Sheet2!A:A,A191)&gt;0,VLOOKUP(A191,Sheet2!A:B,2,FALSE),"Not Found")</f>
        <v>0</v>
      </c>
      <c r="I191" t="str">
        <f t="shared" si="2"/>
        <v>Match</v>
      </c>
    </row>
    <row r="192" spans="1:9" x14ac:dyDescent="0.35">
      <c r="A192" s="1" t="s">
        <v>100</v>
      </c>
      <c r="B192">
        <v>0</v>
      </c>
      <c r="D192" t="s">
        <v>189</v>
      </c>
      <c r="E192">
        <v>0</v>
      </c>
      <c r="F192" t="s">
        <v>498</v>
      </c>
      <c r="G192">
        <v>79</v>
      </c>
      <c r="H192">
        <f>IF(COUNTIF(Sheet2!A:A,A192)&gt;0,VLOOKUP(A192,Sheet2!A:B,2,FALSE),"Not Found")</f>
        <v>0</v>
      </c>
      <c r="I192" t="str">
        <f t="shared" si="2"/>
        <v>Match</v>
      </c>
    </row>
    <row r="193" spans="1:9" x14ac:dyDescent="0.35">
      <c r="A193" s="1" t="s">
        <v>48</v>
      </c>
      <c r="B193">
        <v>0</v>
      </c>
      <c r="D193" t="s">
        <v>190</v>
      </c>
      <c r="E193">
        <v>0</v>
      </c>
      <c r="F193" t="s">
        <v>498</v>
      </c>
      <c r="G193">
        <v>79</v>
      </c>
      <c r="H193">
        <f>IF(COUNTIF(Sheet2!A:A,A193)&gt;0,VLOOKUP(A193,Sheet2!A:B,2,FALSE),"Not Found")</f>
        <v>0</v>
      </c>
      <c r="I193" t="str">
        <f t="shared" si="2"/>
        <v>Match</v>
      </c>
    </row>
    <row r="194" spans="1:9" x14ac:dyDescent="0.35">
      <c r="A194" s="1" t="s">
        <v>304</v>
      </c>
      <c r="B194">
        <v>0</v>
      </c>
      <c r="D194" t="s">
        <v>191</v>
      </c>
      <c r="E194">
        <v>0</v>
      </c>
      <c r="F194" t="s">
        <v>498</v>
      </c>
      <c r="G194">
        <v>79</v>
      </c>
      <c r="H194">
        <f>IF(COUNTIF(Sheet2!A:A,A194)&gt;0,VLOOKUP(A194,Sheet2!A:B,2,FALSE),"Not Found")</f>
        <v>0</v>
      </c>
      <c r="I194" t="str">
        <f t="shared" si="2"/>
        <v>Match</v>
      </c>
    </row>
    <row r="195" spans="1:9" x14ac:dyDescent="0.35">
      <c r="A195" s="1" t="s">
        <v>145</v>
      </c>
      <c r="B195">
        <v>0</v>
      </c>
      <c r="D195" t="s">
        <v>2</v>
      </c>
      <c r="E195">
        <v>0</v>
      </c>
      <c r="F195" t="s">
        <v>540</v>
      </c>
      <c r="G195">
        <v>62</v>
      </c>
      <c r="H195">
        <f>IF(COUNTIF(Sheet2!A:A,A195)&gt;0,VLOOKUP(A195,Sheet2!A:B,2,FALSE),"Not Found")</f>
        <v>0</v>
      </c>
      <c r="I195" t="str">
        <f t="shared" ref="I195:I258" si="3">IF(B195=H195,"Match","Mis Match")</f>
        <v>Match</v>
      </c>
    </row>
    <row r="196" spans="1:9" x14ac:dyDescent="0.35">
      <c r="A196" s="1" t="s">
        <v>101</v>
      </c>
      <c r="B196">
        <v>0</v>
      </c>
      <c r="D196" t="s">
        <v>192</v>
      </c>
      <c r="E196">
        <v>0</v>
      </c>
      <c r="F196" t="s">
        <v>552</v>
      </c>
      <c r="G196">
        <v>61</v>
      </c>
      <c r="H196">
        <f>IF(COUNTIF(Sheet2!A:A,A196)&gt;0,VLOOKUP(A196,Sheet2!A:B,2,FALSE),"Not Found")</f>
        <v>0</v>
      </c>
      <c r="I196" t="str">
        <f t="shared" si="3"/>
        <v>Match</v>
      </c>
    </row>
    <row r="197" spans="1:9" x14ac:dyDescent="0.35">
      <c r="A197" s="1" t="s">
        <v>316</v>
      </c>
      <c r="B197">
        <v>0</v>
      </c>
      <c r="D197" t="s">
        <v>193</v>
      </c>
      <c r="E197">
        <v>0</v>
      </c>
      <c r="F197" t="s">
        <v>553</v>
      </c>
      <c r="G197">
        <v>57</v>
      </c>
      <c r="H197">
        <f>IF(COUNTIF(Sheet2!A:A,A197)&gt;0,VLOOKUP(A197,Sheet2!A:B,2,FALSE),"Not Found")</f>
        <v>0</v>
      </c>
      <c r="I197" t="str">
        <f t="shared" si="3"/>
        <v>Match</v>
      </c>
    </row>
    <row r="198" spans="1:9" x14ac:dyDescent="0.35">
      <c r="A198" s="1" t="s">
        <v>148</v>
      </c>
      <c r="B198">
        <v>0</v>
      </c>
      <c r="D198" t="s">
        <v>194</v>
      </c>
      <c r="E198">
        <v>0</v>
      </c>
      <c r="F198" t="s">
        <v>481</v>
      </c>
      <c r="G198">
        <v>5</v>
      </c>
      <c r="H198">
        <f>IF(COUNTIF(Sheet2!A:A,A198)&gt;0,VLOOKUP(A198,Sheet2!A:B,2,FALSE),"Not Found")</f>
        <v>0</v>
      </c>
      <c r="I198" t="str">
        <f t="shared" si="3"/>
        <v>Match</v>
      </c>
    </row>
    <row r="199" spans="1:9" x14ac:dyDescent="0.35">
      <c r="A199" s="1" t="s">
        <v>191</v>
      </c>
      <c r="B199">
        <v>0</v>
      </c>
      <c r="D199" t="s">
        <v>195</v>
      </c>
      <c r="E199">
        <v>0</v>
      </c>
      <c r="F199" t="s">
        <v>545</v>
      </c>
      <c r="G199">
        <v>37</v>
      </c>
      <c r="H199">
        <f>IF(COUNTIF(Sheet2!A:A,A199)&gt;0,VLOOKUP(A199,Sheet2!A:B,2,FALSE),"Not Found")</f>
        <v>0</v>
      </c>
      <c r="I199" t="str">
        <f t="shared" si="3"/>
        <v>Match</v>
      </c>
    </row>
    <row r="200" spans="1:9" x14ac:dyDescent="0.35">
      <c r="A200" s="1" t="s">
        <v>271</v>
      </c>
      <c r="B200">
        <v>0</v>
      </c>
      <c r="D200" t="s">
        <v>196</v>
      </c>
      <c r="E200">
        <v>0</v>
      </c>
      <c r="F200" t="s">
        <v>531</v>
      </c>
      <c r="G200">
        <v>38</v>
      </c>
      <c r="H200">
        <f>IF(COUNTIF(Sheet2!A:A,A200)&gt;0,VLOOKUP(A200,Sheet2!A:B,2,FALSE),"Not Found")</f>
        <v>0</v>
      </c>
      <c r="I200" t="str">
        <f t="shared" si="3"/>
        <v>Match</v>
      </c>
    </row>
    <row r="201" spans="1:9" x14ac:dyDescent="0.35">
      <c r="A201" s="1" t="s">
        <v>342</v>
      </c>
      <c r="B201">
        <v>0</v>
      </c>
      <c r="D201" t="s">
        <v>197</v>
      </c>
      <c r="E201">
        <v>0</v>
      </c>
      <c r="F201" t="s">
        <v>554</v>
      </c>
      <c r="G201">
        <v>31</v>
      </c>
      <c r="H201">
        <f>IF(COUNTIF(Sheet2!A:A,A201)&gt;0,VLOOKUP(A201,Sheet2!A:B,2,FALSE),"Not Found")</f>
        <v>0</v>
      </c>
      <c r="I201" t="str">
        <f t="shared" si="3"/>
        <v>Match</v>
      </c>
    </row>
    <row r="202" spans="1:9" x14ac:dyDescent="0.35">
      <c r="A202" s="1" t="s">
        <v>259</v>
      </c>
      <c r="B202">
        <v>0</v>
      </c>
      <c r="D202" t="s">
        <v>198</v>
      </c>
      <c r="E202">
        <v>0</v>
      </c>
      <c r="F202" t="s">
        <v>532</v>
      </c>
      <c r="G202">
        <v>32</v>
      </c>
      <c r="H202">
        <f>IF(COUNTIF(Sheet2!A:A,A202)&gt;0,VLOOKUP(A202,Sheet2!A:B,2,FALSE),"Not Found")</f>
        <v>0</v>
      </c>
      <c r="I202" t="str">
        <f t="shared" si="3"/>
        <v>Match</v>
      </c>
    </row>
    <row r="203" spans="1:9" x14ac:dyDescent="0.35">
      <c r="A203" s="1" t="s">
        <v>130</v>
      </c>
      <c r="B203">
        <v>0</v>
      </c>
      <c r="D203" t="s">
        <v>199</v>
      </c>
      <c r="E203">
        <v>0</v>
      </c>
      <c r="F203" t="s">
        <v>518</v>
      </c>
      <c r="G203">
        <v>27</v>
      </c>
      <c r="H203">
        <f>IF(COUNTIF(Sheet2!A:A,A203)&gt;0,VLOOKUP(A203,Sheet2!A:B,2,FALSE),"Not Found")</f>
        <v>0</v>
      </c>
      <c r="I203" t="str">
        <f t="shared" si="3"/>
        <v>Match</v>
      </c>
    </row>
    <row r="204" spans="1:9" x14ac:dyDescent="0.35">
      <c r="A204" s="1" t="s">
        <v>339</v>
      </c>
      <c r="B204">
        <v>0</v>
      </c>
      <c r="D204" t="s">
        <v>200</v>
      </c>
      <c r="E204">
        <v>0</v>
      </c>
      <c r="F204" t="s">
        <v>555</v>
      </c>
      <c r="G204">
        <v>28</v>
      </c>
      <c r="H204">
        <f>IF(COUNTIF(Sheet2!A:A,A204)&gt;0,VLOOKUP(A204,Sheet2!A:B,2,FALSE),"Not Found")</f>
        <v>0</v>
      </c>
      <c r="I204" t="str">
        <f t="shared" si="3"/>
        <v>Match</v>
      </c>
    </row>
    <row r="205" spans="1:9" x14ac:dyDescent="0.35">
      <c r="A205" s="1" t="s">
        <v>301</v>
      </c>
      <c r="B205">
        <v>0</v>
      </c>
      <c r="D205" t="s">
        <v>201</v>
      </c>
      <c r="E205">
        <v>1</v>
      </c>
      <c r="F205" t="s">
        <v>488</v>
      </c>
      <c r="G205">
        <v>85</v>
      </c>
      <c r="H205">
        <f>IF(COUNTIF(Sheet2!A:A,A205)&gt;0,VLOOKUP(A205,Sheet2!A:B,2,FALSE),"Not Found")</f>
        <v>0</v>
      </c>
      <c r="I205" t="str">
        <f t="shared" si="3"/>
        <v>Match</v>
      </c>
    </row>
    <row r="206" spans="1:9" x14ac:dyDescent="0.35">
      <c r="A206" s="1" t="s">
        <v>31</v>
      </c>
      <c r="B206">
        <v>0</v>
      </c>
      <c r="D206" t="s">
        <v>117</v>
      </c>
      <c r="E206">
        <v>0</v>
      </c>
      <c r="F206" t="s">
        <v>556</v>
      </c>
      <c r="G206">
        <v>83</v>
      </c>
      <c r="H206">
        <f>IF(COUNTIF(Sheet2!A:A,A206)&gt;0,VLOOKUP(A206,Sheet2!A:B,2,FALSE),"Not Found")</f>
        <v>0</v>
      </c>
      <c r="I206" t="str">
        <f t="shared" si="3"/>
        <v>Match</v>
      </c>
    </row>
    <row r="207" spans="1:9" x14ac:dyDescent="0.35">
      <c r="A207" s="1" t="s">
        <v>81</v>
      </c>
      <c r="B207">
        <v>0</v>
      </c>
      <c r="D207" t="s">
        <v>202</v>
      </c>
      <c r="E207">
        <v>0</v>
      </c>
      <c r="F207" t="s">
        <v>557</v>
      </c>
      <c r="G207">
        <v>68</v>
      </c>
      <c r="H207">
        <f>IF(COUNTIF(Sheet2!A:A,A207)&gt;0,VLOOKUP(A207,Sheet2!A:B,2,FALSE),"Not Found")</f>
        <v>0</v>
      </c>
      <c r="I207" t="str">
        <f t="shared" si="3"/>
        <v>Match</v>
      </c>
    </row>
    <row r="208" spans="1:9" x14ac:dyDescent="0.35">
      <c r="A208" s="1" t="s">
        <v>82</v>
      </c>
      <c r="B208">
        <v>0</v>
      </c>
      <c r="D208" t="s">
        <v>203</v>
      </c>
      <c r="E208">
        <v>0</v>
      </c>
      <c r="F208" t="s">
        <v>521</v>
      </c>
      <c r="G208">
        <v>100</v>
      </c>
      <c r="H208">
        <f>IF(COUNTIF(Sheet2!A:A,A208)&gt;0,VLOOKUP(A208,Sheet2!A:B,2,FALSE),"Not Found")</f>
        <v>0</v>
      </c>
      <c r="I208" t="str">
        <f t="shared" si="3"/>
        <v>Match</v>
      </c>
    </row>
    <row r="209" spans="1:9" x14ac:dyDescent="0.35">
      <c r="A209" s="1" t="s">
        <v>181</v>
      </c>
      <c r="B209">
        <v>0</v>
      </c>
      <c r="D209" t="s">
        <v>204</v>
      </c>
      <c r="E209">
        <v>0</v>
      </c>
      <c r="F209" t="s">
        <v>521</v>
      </c>
      <c r="G209">
        <v>100</v>
      </c>
      <c r="H209">
        <f>IF(COUNTIF(Sheet2!A:A,A209)&gt;0,VLOOKUP(A209,Sheet2!A:B,2,FALSE),"Not Found")</f>
        <v>0</v>
      </c>
      <c r="I209" t="str">
        <f t="shared" si="3"/>
        <v>Match</v>
      </c>
    </row>
    <row r="210" spans="1:9" x14ac:dyDescent="0.35">
      <c r="A210" s="1" t="s">
        <v>340</v>
      </c>
      <c r="B210">
        <v>0</v>
      </c>
      <c r="D210" t="s">
        <v>205</v>
      </c>
      <c r="E210">
        <v>0</v>
      </c>
      <c r="F210" t="s">
        <v>492</v>
      </c>
      <c r="G210">
        <v>86</v>
      </c>
      <c r="H210">
        <f>IF(COUNTIF(Sheet2!A:A,A210)&gt;0,VLOOKUP(A210,Sheet2!A:B,2,FALSE),"Not Found")</f>
        <v>0</v>
      </c>
      <c r="I210" t="str">
        <f t="shared" si="3"/>
        <v>Match</v>
      </c>
    </row>
    <row r="211" spans="1:9" x14ac:dyDescent="0.35">
      <c r="A211" s="1" t="s">
        <v>341</v>
      </c>
      <c r="B211">
        <v>0</v>
      </c>
      <c r="D211" t="s">
        <v>206</v>
      </c>
      <c r="E211">
        <v>0</v>
      </c>
      <c r="F211" t="s">
        <v>492</v>
      </c>
      <c r="G211">
        <v>86</v>
      </c>
      <c r="H211">
        <f>IF(COUNTIF(Sheet2!A:A,A211)&gt;0,VLOOKUP(A211,Sheet2!A:B,2,FALSE),"Not Found")</f>
        <v>0</v>
      </c>
      <c r="I211" t="str">
        <f t="shared" si="3"/>
        <v>Match</v>
      </c>
    </row>
    <row r="212" spans="1:9" x14ac:dyDescent="0.35">
      <c r="A212" s="1" t="s">
        <v>305</v>
      </c>
      <c r="B212">
        <v>0</v>
      </c>
      <c r="D212" t="s">
        <v>207</v>
      </c>
      <c r="E212">
        <v>5764</v>
      </c>
      <c r="F212" t="s">
        <v>493</v>
      </c>
      <c r="G212">
        <v>1</v>
      </c>
      <c r="H212">
        <f>IF(COUNTIF(Sheet2!A:A,A212)&gt;0,VLOOKUP(A212,Sheet2!A:B,2,FALSE),"Not Found")</f>
        <v>0</v>
      </c>
      <c r="I212" t="str">
        <f t="shared" si="3"/>
        <v>Match</v>
      </c>
    </row>
    <row r="213" spans="1:9" x14ac:dyDescent="0.35">
      <c r="A213" s="1" t="s">
        <v>302</v>
      </c>
      <c r="B213">
        <v>0</v>
      </c>
      <c r="D213" t="s">
        <v>208</v>
      </c>
      <c r="E213">
        <v>10833774</v>
      </c>
      <c r="F213" t="s">
        <v>493</v>
      </c>
      <c r="G213">
        <v>1</v>
      </c>
      <c r="H213">
        <f>IF(COUNTIF(Sheet2!A:A,A213)&gt;0,VLOOKUP(A213,Sheet2!A:B,2,FALSE),"Not Found")</f>
        <v>0</v>
      </c>
      <c r="I213" t="str">
        <f t="shared" si="3"/>
        <v>Match</v>
      </c>
    </row>
    <row r="214" spans="1:9" x14ac:dyDescent="0.35">
      <c r="A214" s="1" t="s">
        <v>317</v>
      </c>
      <c r="B214">
        <v>0</v>
      </c>
      <c r="D214" t="s">
        <v>209</v>
      </c>
      <c r="E214">
        <v>999</v>
      </c>
      <c r="F214" t="s">
        <v>493</v>
      </c>
      <c r="G214">
        <v>1</v>
      </c>
      <c r="H214">
        <f>IF(COUNTIF(Sheet2!A:A,A214)&gt;0,VLOOKUP(A214,Sheet2!A:B,2,FALSE),"Not Found")</f>
        <v>0</v>
      </c>
      <c r="I214" t="str">
        <f t="shared" si="3"/>
        <v>Match</v>
      </c>
    </row>
    <row r="215" spans="1:9" x14ac:dyDescent="0.35">
      <c r="A215" s="1" t="s">
        <v>103</v>
      </c>
      <c r="B215">
        <v>0</v>
      </c>
      <c r="D215" t="s">
        <v>210</v>
      </c>
      <c r="E215">
        <v>0</v>
      </c>
      <c r="F215" t="s">
        <v>494</v>
      </c>
      <c r="G215">
        <v>42</v>
      </c>
      <c r="H215">
        <f>IF(COUNTIF(Sheet2!A:A,A215)&gt;0,VLOOKUP(A215,Sheet2!A:B,2,FALSE),"Not Found")</f>
        <v>0</v>
      </c>
      <c r="I215" t="str">
        <f t="shared" si="3"/>
        <v>Match</v>
      </c>
    </row>
    <row r="216" spans="1:9" x14ac:dyDescent="0.35">
      <c r="A216" s="1" t="s">
        <v>348</v>
      </c>
      <c r="B216">
        <v>0</v>
      </c>
      <c r="D216" t="s">
        <v>211</v>
      </c>
      <c r="E216">
        <v>0</v>
      </c>
      <c r="F216" t="s">
        <v>494</v>
      </c>
      <c r="G216">
        <v>42</v>
      </c>
      <c r="H216">
        <f>IF(COUNTIF(Sheet2!A:A,A216)&gt;0,VLOOKUP(A216,Sheet2!A:B,2,FALSE),"Not Found")</f>
        <v>0</v>
      </c>
      <c r="I216" t="str">
        <f t="shared" si="3"/>
        <v>Match</v>
      </c>
    </row>
    <row r="217" spans="1:9" x14ac:dyDescent="0.35">
      <c r="A217" s="1" t="s">
        <v>146</v>
      </c>
      <c r="B217">
        <v>0</v>
      </c>
      <c r="D217" t="s">
        <v>212</v>
      </c>
      <c r="E217">
        <v>0</v>
      </c>
      <c r="F217" t="s">
        <v>494</v>
      </c>
      <c r="G217">
        <v>42</v>
      </c>
      <c r="H217">
        <f>IF(COUNTIF(Sheet2!A:A,A217)&gt;0,VLOOKUP(A217,Sheet2!A:B,2,FALSE),"Not Found")</f>
        <v>0</v>
      </c>
      <c r="I217" t="str">
        <f t="shared" si="3"/>
        <v>Match</v>
      </c>
    </row>
    <row r="218" spans="1:9" x14ac:dyDescent="0.35">
      <c r="A218" s="1" t="s">
        <v>177</v>
      </c>
      <c r="B218">
        <v>0</v>
      </c>
      <c r="D218" t="s">
        <v>213</v>
      </c>
      <c r="E218">
        <v>0</v>
      </c>
      <c r="F218" t="s">
        <v>494</v>
      </c>
      <c r="G218">
        <v>42</v>
      </c>
      <c r="H218">
        <f>IF(COUNTIF(Sheet2!A:A,A218)&gt;0,VLOOKUP(A218,Sheet2!A:B,2,FALSE),"Not Found")</f>
        <v>0</v>
      </c>
      <c r="I218" t="str">
        <f t="shared" si="3"/>
        <v>Match</v>
      </c>
    </row>
    <row r="219" spans="1:9" x14ac:dyDescent="0.35">
      <c r="A219" s="1" t="s">
        <v>254</v>
      </c>
      <c r="B219">
        <v>0</v>
      </c>
      <c r="D219" t="s">
        <v>214</v>
      </c>
      <c r="E219">
        <v>9035</v>
      </c>
      <c r="F219" t="s">
        <v>495</v>
      </c>
      <c r="G219">
        <v>114</v>
      </c>
      <c r="H219">
        <f>IF(COUNTIF(Sheet2!A:A,A219)&gt;0,VLOOKUP(A219,Sheet2!A:B,2,FALSE),"Not Found")</f>
        <v>0</v>
      </c>
      <c r="I219" t="str">
        <f t="shared" si="3"/>
        <v>Match</v>
      </c>
    </row>
    <row r="220" spans="1:9" x14ac:dyDescent="0.35">
      <c r="A220" s="1" t="s">
        <v>210</v>
      </c>
      <c r="B220">
        <v>0</v>
      </c>
      <c r="D220" t="s">
        <v>181</v>
      </c>
      <c r="E220">
        <v>0</v>
      </c>
      <c r="F220" t="s">
        <v>551</v>
      </c>
      <c r="G220">
        <v>80</v>
      </c>
      <c r="H220">
        <f>IF(COUNTIF(Sheet2!A:A,A220)&gt;0,VLOOKUP(A220,Sheet2!A:B,2,FALSE),"Not Found")</f>
        <v>0</v>
      </c>
      <c r="I220" t="str">
        <f t="shared" si="3"/>
        <v>Match</v>
      </c>
    </row>
    <row r="221" spans="1:9" x14ac:dyDescent="0.35">
      <c r="A221" s="1" t="s">
        <v>211</v>
      </c>
      <c r="B221">
        <v>0</v>
      </c>
      <c r="D221" t="s">
        <v>215</v>
      </c>
      <c r="E221">
        <v>0</v>
      </c>
      <c r="F221" t="s">
        <v>558</v>
      </c>
      <c r="G221">
        <v>104</v>
      </c>
      <c r="H221">
        <f>IF(COUNTIF(Sheet2!A:A,A221)&gt;0,VLOOKUP(A221,Sheet2!A:B,2,FALSE),"Not Found")</f>
        <v>0</v>
      </c>
      <c r="I221" t="str">
        <f t="shared" si="3"/>
        <v>Match</v>
      </c>
    </row>
    <row r="222" spans="1:9" x14ac:dyDescent="0.35">
      <c r="A222" s="1" t="s">
        <v>29</v>
      </c>
      <c r="B222">
        <v>0</v>
      </c>
      <c r="D222" t="s">
        <v>216</v>
      </c>
      <c r="E222">
        <v>0</v>
      </c>
      <c r="F222" t="s">
        <v>498</v>
      </c>
      <c r="G222">
        <v>79</v>
      </c>
      <c r="H222">
        <f>IF(COUNTIF(Sheet2!A:A,A222)&gt;0,VLOOKUP(A222,Sheet2!A:B,2,FALSE),"Not Found")</f>
        <v>0</v>
      </c>
      <c r="I222" t="str">
        <f t="shared" si="3"/>
        <v>Match</v>
      </c>
    </row>
    <row r="223" spans="1:9" x14ac:dyDescent="0.35">
      <c r="A223" s="1" t="s">
        <v>79</v>
      </c>
      <c r="B223">
        <v>0</v>
      </c>
      <c r="D223" t="s">
        <v>217</v>
      </c>
      <c r="E223">
        <v>0</v>
      </c>
      <c r="F223" t="s">
        <v>498</v>
      </c>
      <c r="G223">
        <v>79</v>
      </c>
      <c r="H223">
        <f>IF(COUNTIF(Sheet2!A:A,A223)&gt;0,VLOOKUP(A223,Sheet2!A:B,2,FALSE),"Not Found")</f>
        <v>0</v>
      </c>
      <c r="I223" t="str">
        <f t="shared" si="3"/>
        <v>Match</v>
      </c>
    </row>
    <row r="224" spans="1:9" x14ac:dyDescent="0.35">
      <c r="A224" s="1" t="s">
        <v>212</v>
      </c>
      <c r="B224">
        <v>0</v>
      </c>
      <c r="D224" t="s">
        <v>218</v>
      </c>
      <c r="E224">
        <v>0</v>
      </c>
      <c r="F224" t="s">
        <v>498</v>
      </c>
      <c r="G224">
        <v>79</v>
      </c>
      <c r="H224">
        <f>IF(COUNTIF(Sheet2!A:A,A224)&gt;0,VLOOKUP(A224,Sheet2!A:B,2,FALSE),"Not Found")</f>
        <v>0</v>
      </c>
      <c r="I224" t="str">
        <f t="shared" si="3"/>
        <v>Match</v>
      </c>
    </row>
    <row r="225" spans="1:9" x14ac:dyDescent="0.35">
      <c r="A225" s="1" t="s">
        <v>178</v>
      </c>
      <c r="B225">
        <v>0</v>
      </c>
      <c r="D225" t="s">
        <v>219</v>
      </c>
      <c r="E225">
        <v>0</v>
      </c>
      <c r="F225" t="s">
        <v>498</v>
      </c>
      <c r="G225">
        <v>79</v>
      </c>
      <c r="H225">
        <f>IF(COUNTIF(Sheet2!A:A,A225)&gt;0,VLOOKUP(A225,Sheet2!A:B,2,FALSE),"Not Found")</f>
        <v>0</v>
      </c>
      <c r="I225" t="str">
        <f t="shared" si="3"/>
        <v>Match</v>
      </c>
    </row>
    <row r="226" spans="1:9" x14ac:dyDescent="0.35">
      <c r="A226" s="1" t="s">
        <v>213</v>
      </c>
      <c r="B226">
        <v>0</v>
      </c>
      <c r="D226" t="s">
        <v>220</v>
      </c>
      <c r="E226">
        <v>0</v>
      </c>
      <c r="F226" t="s">
        <v>498</v>
      </c>
      <c r="G226">
        <v>79</v>
      </c>
      <c r="H226">
        <f>IF(COUNTIF(Sheet2!A:A,A226)&gt;0,VLOOKUP(A226,Sheet2!A:B,2,FALSE),"Not Found")</f>
        <v>0</v>
      </c>
      <c r="I226" t="str">
        <f t="shared" si="3"/>
        <v>Match</v>
      </c>
    </row>
    <row r="227" spans="1:9" x14ac:dyDescent="0.35">
      <c r="A227" s="1" t="s">
        <v>349</v>
      </c>
      <c r="B227">
        <v>0</v>
      </c>
      <c r="D227" t="s">
        <v>221</v>
      </c>
      <c r="E227">
        <v>0</v>
      </c>
      <c r="F227" t="s">
        <v>498</v>
      </c>
      <c r="G227">
        <v>79</v>
      </c>
      <c r="H227">
        <f>IF(COUNTIF(Sheet2!A:A,A227)&gt;0,VLOOKUP(A227,Sheet2!A:B,2,FALSE),"Not Found")</f>
        <v>0</v>
      </c>
      <c r="I227" t="str">
        <f t="shared" si="3"/>
        <v>Match</v>
      </c>
    </row>
    <row r="228" spans="1:9" x14ac:dyDescent="0.35">
      <c r="A228" s="1" t="s">
        <v>352</v>
      </c>
      <c r="B228">
        <v>0</v>
      </c>
      <c r="D228" t="s">
        <v>222</v>
      </c>
      <c r="E228">
        <v>0</v>
      </c>
      <c r="F228" t="s">
        <v>498</v>
      </c>
      <c r="G228">
        <v>79</v>
      </c>
      <c r="H228">
        <f>IF(COUNTIF(Sheet2!A:A,A228)&gt;0,VLOOKUP(A228,Sheet2!A:B,2,FALSE),"Not Found")</f>
        <v>0</v>
      </c>
      <c r="I228" t="str">
        <f t="shared" si="3"/>
        <v>Match</v>
      </c>
    </row>
    <row r="229" spans="1:9" x14ac:dyDescent="0.35">
      <c r="A229" s="1" t="s">
        <v>300</v>
      </c>
      <c r="B229">
        <v>0</v>
      </c>
      <c r="D229" t="s">
        <v>223</v>
      </c>
      <c r="E229">
        <v>0</v>
      </c>
      <c r="F229" t="s">
        <v>498</v>
      </c>
      <c r="G229">
        <v>79</v>
      </c>
      <c r="H229">
        <f>IF(COUNTIF(Sheet2!A:A,A229)&gt;0,VLOOKUP(A229,Sheet2!A:B,2,FALSE),"Not Found")</f>
        <v>0</v>
      </c>
      <c r="I229" t="str">
        <f t="shared" si="3"/>
        <v>Match</v>
      </c>
    </row>
    <row r="230" spans="1:9" x14ac:dyDescent="0.35">
      <c r="A230" s="1" t="s">
        <v>179</v>
      </c>
      <c r="B230">
        <v>0</v>
      </c>
      <c r="D230" t="s">
        <v>224</v>
      </c>
      <c r="E230">
        <v>0</v>
      </c>
      <c r="F230" t="s">
        <v>559</v>
      </c>
      <c r="G230">
        <v>43</v>
      </c>
      <c r="H230">
        <f>IF(COUNTIF(Sheet2!A:A,A230)&gt;0,VLOOKUP(A230,Sheet2!A:B,2,FALSE),"Not Found")</f>
        <v>0</v>
      </c>
      <c r="I230" t="str">
        <f t="shared" si="3"/>
        <v>Match</v>
      </c>
    </row>
    <row r="231" spans="1:9" x14ac:dyDescent="0.35">
      <c r="A231" s="1" t="s">
        <v>214</v>
      </c>
      <c r="B231">
        <v>9035</v>
      </c>
      <c r="D231" t="s">
        <v>225</v>
      </c>
      <c r="E231">
        <v>0</v>
      </c>
      <c r="F231" t="s">
        <v>552</v>
      </c>
      <c r="G231">
        <v>61</v>
      </c>
      <c r="H231">
        <f>IF(COUNTIF(Sheet2!A:A,A231)&gt;0,VLOOKUP(A231,Sheet2!A:B,2,FALSE),"Not Found")</f>
        <v>9035</v>
      </c>
      <c r="I231" t="str">
        <f t="shared" si="3"/>
        <v>Match</v>
      </c>
    </row>
    <row r="232" spans="1:9" x14ac:dyDescent="0.35">
      <c r="A232" s="1" t="s">
        <v>80</v>
      </c>
      <c r="B232">
        <v>9771</v>
      </c>
      <c r="D232" t="s">
        <v>226</v>
      </c>
      <c r="E232">
        <v>0</v>
      </c>
      <c r="F232" t="s">
        <v>541</v>
      </c>
      <c r="G232">
        <v>55</v>
      </c>
      <c r="H232">
        <f>IF(COUNTIF(Sheet2!A:A,A232)&gt;0,VLOOKUP(A232,Sheet2!A:B,2,FALSE),"Not Found")</f>
        <v>9771</v>
      </c>
      <c r="I232" t="str">
        <f t="shared" si="3"/>
        <v>Match</v>
      </c>
    </row>
    <row r="233" spans="1:9" x14ac:dyDescent="0.35">
      <c r="A233" s="1" t="s">
        <v>255</v>
      </c>
      <c r="B233">
        <v>0</v>
      </c>
      <c r="D233" t="s">
        <v>227</v>
      </c>
      <c r="E233">
        <v>0</v>
      </c>
      <c r="F233" t="s">
        <v>560</v>
      </c>
      <c r="G233">
        <v>82</v>
      </c>
      <c r="H233">
        <f>IF(COUNTIF(Sheet2!A:A,A233)&gt;0,VLOOKUP(A233,Sheet2!A:B,2,FALSE),"Not Found")</f>
        <v>0</v>
      </c>
      <c r="I233" t="str">
        <f t="shared" si="3"/>
        <v>Match</v>
      </c>
    </row>
    <row r="234" spans="1:9" x14ac:dyDescent="0.35">
      <c r="A234" s="1" t="s">
        <v>299</v>
      </c>
      <c r="B234">
        <v>18178</v>
      </c>
      <c r="D234" t="s">
        <v>228</v>
      </c>
      <c r="E234">
        <v>0</v>
      </c>
      <c r="F234" t="s">
        <v>561</v>
      </c>
      <c r="G234">
        <v>72</v>
      </c>
      <c r="H234">
        <f>IF(COUNTIF(Sheet2!A:A,A234)&gt;0,VLOOKUP(A234,Sheet2!A:B,2,FALSE),"Not Found")</f>
        <v>18178</v>
      </c>
      <c r="I234" t="str">
        <f t="shared" si="3"/>
        <v>Match</v>
      </c>
    </row>
    <row r="235" spans="1:9" x14ac:dyDescent="0.35">
      <c r="A235" s="1" t="s">
        <v>128</v>
      </c>
      <c r="B235">
        <v>9034</v>
      </c>
      <c r="D235" t="s">
        <v>229</v>
      </c>
      <c r="E235">
        <v>0</v>
      </c>
      <c r="F235" t="s">
        <v>529</v>
      </c>
      <c r="G235">
        <v>73</v>
      </c>
      <c r="H235">
        <f>IF(COUNTIF(Sheet2!A:A,A235)&gt;0,VLOOKUP(A235,Sheet2!A:B,2,FALSE),"Not Found")</f>
        <v>9034</v>
      </c>
      <c r="I235" t="str">
        <f t="shared" si="3"/>
        <v>Match</v>
      </c>
    </row>
    <row r="236" spans="1:9" x14ac:dyDescent="0.35">
      <c r="A236" s="1" t="s">
        <v>30</v>
      </c>
      <c r="B236">
        <v>8919</v>
      </c>
      <c r="D236" t="s">
        <v>230</v>
      </c>
      <c r="E236">
        <v>54</v>
      </c>
      <c r="F236" t="s">
        <v>508</v>
      </c>
      <c r="G236">
        <v>6</v>
      </c>
      <c r="H236">
        <f>IF(COUNTIF(Sheet2!A:A,A236)&gt;0,VLOOKUP(A236,Sheet2!A:B,2,FALSE),"Not Found")</f>
        <v>8919</v>
      </c>
      <c r="I236" t="str">
        <f t="shared" si="3"/>
        <v>Match</v>
      </c>
    </row>
    <row r="237" spans="1:9" x14ac:dyDescent="0.35">
      <c r="A237" s="1" t="s">
        <v>153</v>
      </c>
      <c r="B237">
        <v>0</v>
      </c>
      <c r="D237" t="s">
        <v>231</v>
      </c>
      <c r="E237">
        <v>0</v>
      </c>
      <c r="F237" t="s">
        <v>562</v>
      </c>
      <c r="G237">
        <v>8</v>
      </c>
      <c r="H237">
        <f>IF(COUNTIF(Sheet2!A:A,A237)&gt;0,VLOOKUP(A237,Sheet2!A:B,2,FALSE),"Not Found")</f>
        <v>0</v>
      </c>
      <c r="I237" t="str">
        <f t="shared" si="3"/>
        <v>Match</v>
      </c>
    </row>
    <row r="238" spans="1:9" x14ac:dyDescent="0.35">
      <c r="A238" s="1" t="s">
        <v>66</v>
      </c>
      <c r="B238">
        <v>0</v>
      </c>
      <c r="D238" t="s">
        <v>232</v>
      </c>
      <c r="E238">
        <v>0</v>
      </c>
      <c r="F238" t="s">
        <v>483</v>
      </c>
      <c r="G238">
        <v>18</v>
      </c>
      <c r="H238">
        <f>IF(COUNTIF(Sheet2!A:A,A238)&gt;0,VLOOKUP(A238,Sheet2!A:B,2,FALSE),"Not Found")</f>
        <v>0</v>
      </c>
      <c r="I238" t="str">
        <f t="shared" si="3"/>
        <v>Match</v>
      </c>
    </row>
    <row r="239" spans="1:9" x14ac:dyDescent="0.35">
      <c r="A239" s="1" t="s">
        <v>273</v>
      </c>
      <c r="B239">
        <v>0</v>
      </c>
      <c r="D239" t="s">
        <v>233</v>
      </c>
      <c r="E239">
        <v>0</v>
      </c>
      <c r="F239" t="s">
        <v>510</v>
      </c>
      <c r="G239">
        <v>15</v>
      </c>
      <c r="H239">
        <f>IF(COUNTIF(Sheet2!A:A,A239)&gt;0,VLOOKUP(A239,Sheet2!A:B,2,FALSE),"Not Found")</f>
        <v>0</v>
      </c>
      <c r="I239" t="str">
        <f t="shared" si="3"/>
        <v>Match</v>
      </c>
    </row>
    <row r="240" spans="1:9" x14ac:dyDescent="0.35">
      <c r="A240" s="1" t="s">
        <v>298</v>
      </c>
      <c r="B240">
        <v>5216</v>
      </c>
      <c r="D240" t="s">
        <v>234</v>
      </c>
      <c r="E240">
        <v>0</v>
      </c>
      <c r="F240" t="s">
        <v>485</v>
      </c>
      <c r="G240">
        <v>17</v>
      </c>
      <c r="H240">
        <f>IF(COUNTIF(Sheet2!A:A,A240)&gt;0,VLOOKUP(A240,Sheet2!A:B,2,FALSE),"Not Found")</f>
        <v>5216</v>
      </c>
      <c r="I240" t="str">
        <f t="shared" si="3"/>
        <v>Match</v>
      </c>
    </row>
    <row r="241" spans="1:9" x14ac:dyDescent="0.35">
      <c r="A241" s="1" t="s">
        <v>46</v>
      </c>
      <c r="B241">
        <v>0</v>
      </c>
      <c r="D241" t="s">
        <v>235</v>
      </c>
      <c r="E241">
        <v>0</v>
      </c>
      <c r="F241" t="s">
        <v>486</v>
      </c>
      <c r="G241">
        <v>36</v>
      </c>
      <c r="H241">
        <f>IF(COUNTIF(Sheet2!A:A,A241)&gt;0,VLOOKUP(A241,Sheet2!A:B,2,FALSE),"Not Found")</f>
        <v>0</v>
      </c>
      <c r="I241" t="str">
        <f t="shared" si="3"/>
        <v>Match</v>
      </c>
    </row>
    <row r="242" spans="1:9" x14ac:dyDescent="0.35">
      <c r="A242" s="1" t="s">
        <v>296</v>
      </c>
      <c r="B242">
        <v>7918</v>
      </c>
      <c r="D242" t="s">
        <v>236</v>
      </c>
      <c r="E242">
        <v>0</v>
      </c>
      <c r="F242" t="s">
        <v>563</v>
      </c>
      <c r="G242">
        <v>39</v>
      </c>
      <c r="H242">
        <f>IF(COUNTIF(Sheet2!A:A,A242)&gt;0,VLOOKUP(A242,Sheet2!A:B,2,FALSE),"Not Found")</f>
        <v>7918</v>
      </c>
      <c r="I242" t="str">
        <f t="shared" si="3"/>
        <v>Match</v>
      </c>
    </row>
    <row r="243" spans="1:9" x14ac:dyDescent="0.35">
      <c r="A243" s="1" t="s">
        <v>207</v>
      </c>
      <c r="B243">
        <v>5764</v>
      </c>
      <c r="D243" t="s">
        <v>237</v>
      </c>
      <c r="E243">
        <v>0</v>
      </c>
      <c r="F243" t="s">
        <v>563</v>
      </c>
      <c r="G243">
        <v>39</v>
      </c>
      <c r="H243">
        <f>IF(COUNTIF(Sheet2!A:A,A243)&gt;0,VLOOKUP(A243,Sheet2!A:B,2,FALSE),"Not Found")</f>
        <v>5764</v>
      </c>
      <c r="I243" t="str">
        <f t="shared" si="3"/>
        <v>Match</v>
      </c>
    </row>
    <row r="244" spans="1:9" x14ac:dyDescent="0.35">
      <c r="A244" s="1" t="s">
        <v>297</v>
      </c>
      <c r="B244">
        <v>0</v>
      </c>
      <c r="D244" t="s">
        <v>238</v>
      </c>
      <c r="E244">
        <v>0</v>
      </c>
      <c r="F244" t="s">
        <v>513</v>
      </c>
      <c r="G244">
        <v>29</v>
      </c>
      <c r="H244">
        <f>IF(COUNTIF(Sheet2!A:A,A244)&gt;0,VLOOKUP(A244,Sheet2!A:B,2,FALSE),"Not Found")</f>
        <v>0</v>
      </c>
      <c r="I244" t="str">
        <f t="shared" si="3"/>
        <v>Match</v>
      </c>
    </row>
    <row r="245" spans="1:9" x14ac:dyDescent="0.35">
      <c r="A245" s="1" t="s">
        <v>336</v>
      </c>
      <c r="B245">
        <v>0</v>
      </c>
      <c r="D245" t="s">
        <v>239</v>
      </c>
      <c r="E245">
        <v>0</v>
      </c>
      <c r="F245" t="s">
        <v>564</v>
      </c>
      <c r="G245">
        <v>20</v>
      </c>
      <c r="H245">
        <f>IF(COUNTIF(Sheet2!A:A,A245)&gt;0,VLOOKUP(A245,Sheet2!A:B,2,FALSE),"Not Found")</f>
        <v>0</v>
      </c>
      <c r="I245" t="str">
        <f t="shared" si="3"/>
        <v>Match</v>
      </c>
    </row>
    <row r="246" spans="1:9" x14ac:dyDescent="0.35">
      <c r="A246" s="1" t="s">
        <v>147</v>
      </c>
      <c r="B246">
        <v>0</v>
      </c>
      <c r="D246" t="s">
        <v>240</v>
      </c>
      <c r="E246">
        <v>0</v>
      </c>
      <c r="F246" t="s">
        <v>517</v>
      </c>
      <c r="G246">
        <v>24</v>
      </c>
      <c r="H246">
        <f>IF(COUNTIF(Sheet2!A:A,A246)&gt;0,VLOOKUP(A246,Sheet2!A:B,2,FALSE),"Not Found")</f>
        <v>0</v>
      </c>
      <c r="I246" t="str">
        <f t="shared" si="3"/>
        <v>Match</v>
      </c>
    </row>
    <row r="247" spans="1:9" x14ac:dyDescent="0.35">
      <c r="A247" s="1" t="s">
        <v>337</v>
      </c>
      <c r="B247">
        <v>0</v>
      </c>
      <c r="D247" t="s">
        <v>241</v>
      </c>
      <c r="E247">
        <v>0</v>
      </c>
      <c r="F247" t="s">
        <v>565</v>
      </c>
      <c r="G247">
        <v>26</v>
      </c>
      <c r="H247">
        <f>IF(COUNTIF(Sheet2!A:A,A247)&gt;0,VLOOKUP(A247,Sheet2!A:B,2,FALSE),"Not Found")</f>
        <v>0</v>
      </c>
      <c r="I247" t="str">
        <f t="shared" si="3"/>
        <v>Match</v>
      </c>
    </row>
    <row r="248" spans="1:9" x14ac:dyDescent="0.35">
      <c r="A248" s="1" t="s">
        <v>327</v>
      </c>
      <c r="B248">
        <v>0</v>
      </c>
      <c r="D248" t="s">
        <v>242</v>
      </c>
      <c r="E248">
        <v>0</v>
      </c>
      <c r="F248" t="s">
        <v>565</v>
      </c>
      <c r="G248">
        <v>26</v>
      </c>
      <c r="H248">
        <f>IF(COUNTIF(Sheet2!A:A,A248)&gt;0,VLOOKUP(A248,Sheet2!A:B,2,FALSE),"Not Found")</f>
        <v>0</v>
      </c>
      <c r="I248" t="str">
        <f t="shared" si="3"/>
        <v>Match</v>
      </c>
    </row>
    <row r="249" spans="1:9" x14ac:dyDescent="0.35">
      <c r="A249" s="1" t="s">
        <v>155</v>
      </c>
      <c r="B249">
        <v>0</v>
      </c>
      <c r="D249" t="s">
        <v>243</v>
      </c>
      <c r="E249">
        <v>0</v>
      </c>
      <c r="F249" t="s">
        <v>519</v>
      </c>
      <c r="G249">
        <v>4</v>
      </c>
      <c r="H249">
        <f>IF(COUNTIF(Sheet2!A:A,A249)&gt;0,VLOOKUP(A249,Sheet2!A:B,2,FALSE),"Not Found")</f>
        <v>0</v>
      </c>
      <c r="I249" t="str">
        <f t="shared" si="3"/>
        <v>Match</v>
      </c>
    </row>
    <row r="250" spans="1:9" x14ac:dyDescent="0.35">
      <c r="A250" s="1" t="s">
        <v>280</v>
      </c>
      <c r="B250">
        <v>0</v>
      </c>
      <c r="D250" t="s">
        <v>244</v>
      </c>
      <c r="E250">
        <v>0</v>
      </c>
      <c r="F250" t="s">
        <v>566</v>
      </c>
      <c r="G250">
        <v>63</v>
      </c>
      <c r="H250">
        <f>IF(COUNTIF(Sheet2!A:A,A250)&gt;0,VLOOKUP(A250,Sheet2!A:B,2,FALSE),"Not Found")</f>
        <v>0</v>
      </c>
      <c r="I250" t="str">
        <f t="shared" si="3"/>
        <v>Match</v>
      </c>
    </row>
    <row r="251" spans="1:9" x14ac:dyDescent="0.35">
      <c r="A251" s="1" t="s">
        <v>239</v>
      </c>
      <c r="B251">
        <v>0</v>
      </c>
      <c r="D251" t="s">
        <v>245</v>
      </c>
      <c r="E251">
        <v>0</v>
      </c>
      <c r="F251" t="s">
        <v>490</v>
      </c>
      <c r="G251">
        <v>99</v>
      </c>
      <c r="H251">
        <f>IF(COUNTIF(Sheet2!A:A,A251)&gt;0,VLOOKUP(A251,Sheet2!A:B,2,FALSE),"Not Found")</f>
        <v>0</v>
      </c>
      <c r="I251" t="str">
        <f t="shared" si="3"/>
        <v>Match</v>
      </c>
    </row>
    <row r="252" spans="1:9" x14ac:dyDescent="0.35">
      <c r="A252" s="1" t="s">
        <v>283</v>
      </c>
      <c r="B252">
        <v>0</v>
      </c>
      <c r="D252" t="s">
        <v>246</v>
      </c>
      <c r="E252">
        <v>0</v>
      </c>
      <c r="F252" t="s">
        <v>492</v>
      </c>
      <c r="G252">
        <v>86</v>
      </c>
      <c r="H252">
        <f>IF(COUNTIF(Sheet2!A:A,A252)&gt;0,VLOOKUP(A252,Sheet2!A:B,2,FALSE),"Not Found")</f>
        <v>0</v>
      </c>
      <c r="I252" t="str">
        <f t="shared" si="3"/>
        <v>Match</v>
      </c>
    </row>
    <row r="253" spans="1:9" x14ac:dyDescent="0.35">
      <c r="A253" s="1" t="s">
        <v>12</v>
      </c>
      <c r="B253">
        <v>0</v>
      </c>
      <c r="D253" t="s">
        <v>247</v>
      </c>
      <c r="E253">
        <v>0</v>
      </c>
      <c r="F253" t="s">
        <v>492</v>
      </c>
      <c r="G253">
        <v>86</v>
      </c>
      <c r="H253">
        <f>IF(COUNTIF(Sheet2!A:A,A253)&gt;0,VLOOKUP(A253,Sheet2!A:B,2,FALSE),"Not Found")</f>
        <v>0</v>
      </c>
      <c r="I253" t="str">
        <f t="shared" si="3"/>
        <v>Match</v>
      </c>
    </row>
    <row r="254" spans="1:9" x14ac:dyDescent="0.35">
      <c r="A254" s="1" t="s">
        <v>285</v>
      </c>
      <c r="B254">
        <v>0</v>
      </c>
      <c r="D254" t="s">
        <v>248</v>
      </c>
      <c r="E254">
        <v>0</v>
      </c>
      <c r="F254" t="s">
        <v>492</v>
      </c>
      <c r="G254">
        <v>86</v>
      </c>
      <c r="H254">
        <f>IF(COUNTIF(Sheet2!A:A,A254)&gt;0,VLOOKUP(A254,Sheet2!A:B,2,FALSE),"Not Found")</f>
        <v>0</v>
      </c>
      <c r="I254" t="str">
        <f t="shared" si="3"/>
        <v>Match</v>
      </c>
    </row>
    <row r="255" spans="1:9" x14ac:dyDescent="0.35">
      <c r="A255" s="1" t="s">
        <v>67</v>
      </c>
      <c r="B255">
        <v>0</v>
      </c>
      <c r="D255" t="s">
        <v>249</v>
      </c>
      <c r="E255">
        <v>0</v>
      </c>
      <c r="F255" t="s">
        <v>492</v>
      </c>
      <c r="G255">
        <v>86</v>
      </c>
      <c r="H255">
        <f>IF(COUNTIF(Sheet2!A:A,A255)&gt;0,VLOOKUP(A255,Sheet2!A:B,2,FALSE),"Not Found")</f>
        <v>0</v>
      </c>
      <c r="I255" t="str">
        <f t="shared" si="3"/>
        <v>Match</v>
      </c>
    </row>
    <row r="256" spans="1:9" x14ac:dyDescent="0.35">
      <c r="A256" s="1" t="s">
        <v>158</v>
      </c>
      <c r="B256">
        <v>0</v>
      </c>
      <c r="D256" t="s">
        <v>250</v>
      </c>
      <c r="E256">
        <v>0</v>
      </c>
      <c r="F256" t="s">
        <v>492</v>
      </c>
      <c r="G256">
        <v>86</v>
      </c>
      <c r="H256">
        <f>IF(COUNTIF(Sheet2!A:A,A256)&gt;0,VLOOKUP(A256,Sheet2!A:B,2,FALSE),"Not Found")</f>
        <v>0</v>
      </c>
      <c r="I256" t="str">
        <f t="shared" si="3"/>
        <v>Match</v>
      </c>
    </row>
    <row r="257" spans="1:9" x14ac:dyDescent="0.35">
      <c r="A257" s="1" t="s">
        <v>159</v>
      </c>
      <c r="B257">
        <v>0</v>
      </c>
      <c r="D257" t="s">
        <v>251</v>
      </c>
      <c r="E257">
        <v>0</v>
      </c>
      <c r="F257" t="s">
        <v>493</v>
      </c>
      <c r="G257">
        <v>1</v>
      </c>
      <c r="H257">
        <f>IF(COUNTIF(Sheet2!A:A,A257)&gt;0,VLOOKUP(A257,Sheet2!A:B,2,FALSE),"Not Found")</f>
        <v>0</v>
      </c>
      <c r="I257" t="str">
        <f t="shared" si="3"/>
        <v>Match</v>
      </c>
    </row>
    <row r="258" spans="1:9" x14ac:dyDescent="0.35">
      <c r="A258" s="1" t="s">
        <v>286</v>
      </c>
      <c r="B258">
        <v>0</v>
      </c>
      <c r="D258" t="s">
        <v>252</v>
      </c>
      <c r="E258">
        <v>92492</v>
      </c>
      <c r="F258" t="s">
        <v>493</v>
      </c>
      <c r="G258">
        <v>1</v>
      </c>
      <c r="H258">
        <f>IF(COUNTIF(Sheet2!A:A,A258)&gt;0,VLOOKUP(A258,Sheet2!A:B,2,FALSE),"Not Found")</f>
        <v>0</v>
      </c>
      <c r="I258" t="str">
        <f t="shared" si="3"/>
        <v>Match</v>
      </c>
    </row>
    <row r="259" spans="1:9" x14ac:dyDescent="0.35">
      <c r="A259" s="1" t="s">
        <v>68</v>
      </c>
      <c r="B259">
        <v>0</v>
      </c>
      <c r="D259" t="s">
        <v>253</v>
      </c>
      <c r="E259">
        <v>14517983</v>
      </c>
      <c r="F259" t="s">
        <v>493</v>
      </c>
      <c r="G259">
        <v>1</v>
      </c>
      <c r="H259">
        <f>IF(COUNTIF(Sheet2!A:A,A259)&gt;0,VLOOKUP(A259,Sheet2!A:B,2,FALSE),"Not Found")</f>
        <v>0</v>
      </c>
      <c r="I259" t="str">
        <f t="shared" ref="I259:I322" si="4">IF(B259=H259,"Match","Mis Match")</f>
        <v>Match</v>
      </c>
    </row>
    <row r="260" spans="1:9" x14ac:dyDescent="0.35">
      <c r="A260" s="1" t="s">
        <v>240</v>
      </c>
      <c r="B260">
        <v>0</v>
      </c>
      <c r="D260" t="s">
        <v>254</v>
      </c>
      <c r="E260">
        <v>0</v>
      </c>
      <c r="F260" t="s">
        <v>494</v>
      </c>
      <c r="G260">
        <v>42</v>
      </c>
      <c r="H260">
        <f>IF(COUNTIF(Sheet2!A:A,A260)&gt;0,VLOOKUP(A260,Sheet2!A:B,2,FALSE),"Not Found")</f>
        <v>0</v>
      </c>
      <c r="I260" t="str">
        <f t="shared" si="4"/>
        <v>Match</v>
      </c>
    </row>
    <row r="261" spans="1:9" x14ac:dyDescent="0.35">
      <c r="A261" s="1" t="s">
        <v>113</v>
      </c>
      <c r="B261">
        <v>0</v>
      </c>
      <c r="D261" t="s">
        <v>255</v>
      </c>
      <c r="E261">
        <v>0</v>
      </c>
      <c r="F261" t="s">
        <v>495</v>
      </c>
      <c r="G261">
        <v>114</v>
      </c>
      <c r="H261">
        <f>IF(COUNTIF(Sheet2!A:A,A261)&gt;0,VLOOKUP(A261,Sheet2!A:B,2,FALSE),"Not Found")</f>
        <v>0</v>
      </c>
      <c r="I261" t="str">
        <f t="shared" si="4"/>
        <v>Match</v>
      </c>
    </row>
    <row r="262" spans="1:9" x14ac:dyDescent="0.35">
      <c r="A262" s="1" t="s">
        <v>114</v>
      </c>
      <c r="B262">
        <v>0</v>
      </c>
      <c r="D262" t="s">
        <v>256</v>
      </c>
      <c r="E262">
        <v>0</v>
      </c>
      <c r="F262" t="s">
        <v>495</v>
      </c>
      <c r="G262">
        <v>114</v>
      </c>
      <c r="H262">
        <f>IF(COUNTIF(Sheet2!A:A,A262)&gt;0,VLOOKUP(A262,Sheet2!A:B,2,FALSE),"Not Found")</f>
        <v>0</v>
      </c>
      <c r="I262" t="str">
        <f t="shared" si="4"/>
        <v>Match</v>
      </c>
    </row>
    <row r="263" spans="1:9" x14ac:dyDescent="0.35">
      <c r="A263" s="1" t="s">
        <v>241</v>
      </c>
      <c r="B263">
        <v>0</v>
      </c>
      <c r="D263" t="s">
        <v>257</v>
      </c>
      <c r="E263">
        <v>0</v>
      </c>
      <c r="F263" t="s">
        <v>567</v>
      </c>
      <c r="G263">
        <v>101</v>
      </c>
      <c r="H263">
        <f>IF(COUNTIF(Sheet2!A:A,A263)&gt;0,VLOOKUP(A263,Sheet2!A:B,2,FALSE),"Not Found")</f>
        <v>0</v>
      </c>
      <c r="I263" t="str">
        <f t="shared" si="4"/>
        <v>Match</v>
      </c>
    </row>
    <row r="264" spans="1:9" x14ac:dyDescent="0.35">
      <c r="A264" s="1" t="s">
        <v>242</v>
      </c>
      <c r="B264">
        <v>0</v>
      </c>
      <c r="D264" t="s">
        <v>258</v>
      </c>
      <c r="E264">
        <v>0</v>
      </c>
      <c r="F264" t="s">
        <v>568</v>
      </c>
      <c r="G264">
        <v>96</v>
      </c>
      <c r="H264">
        <f>IF(COUNTIF(Sheet2!A:A,A264)&gt;0,VLOOKUP(A264,Sheet2!A:B,2,FALSE),"Not Found")</f>
        <v>0</v>
      </c>
      <c r="I264" t="str">
        <f t="shared" si="4"/>
        <v>Match</v>
      </c>
    </row>
    <row r="265" spans="1:9" x14ac:dyDescent="0.35">
      <c r="A265" s="1" t="s">
        <v>199</v>
      </c>
      <c r="B265">
        <v>0</v>
      </c>
      <c r="D265" t="s">
        <v>259</v>
      </c>
      <c r="E265">
        <v>0</v>
      </c>
      <c r="F265" t="s">
        <v>569</v>
      </c>
      <c r="G265">
        <v>97</v>
      </c>
      <c r="H265">
        <f>IF(COUNTIF(Sheet2!A:A,A265)&gt;0,VLOOKUP(A265,Sheet2!A:B,2,FALSE),"Not Found")</f>
        <v>0</v>
      </c>
      <c r="I265" t="str">
        <f t="shared" si="4"/>
        <v>Match</v>
      </c>
    </row>
    <row r="266" spans="1:9" x14ac:dyDescent="0.35">
      <c r="A266" s="1" t="s">
        <v>69</v>
      </c>
      <c r="B266">
        <v>0</v>
      </c>
      <c r="D266" t="s">
        <v>260</v>
      </c>
      <c r="E266">
        <v>0</v>
      </c>
      <c r="F266" t="s">
        <v>498</v>
      </c>
      <c r="G266">
        <v>79</v>
      </c>
      <c r="H266">
        <f>IF(COUNTIF(Sheet2!A:A,A266)&gt;0,VLOOKUP(A266,Sheet2!A:B,2,FALSE),"Not Found")</f>
        <v>0</v>
      </c>
      <c r="I266" t="str">
        <f t="shared" si="4"/>
        <v>Match</v>
      </c>
    </row>
    <row r="267" spans="1:9" x14ac:dyDescent="0.35">
      <c r="A267" s="1" t="s">
        <v>287</v>
      </c>
      <c r="B267">
        <v>0</v>
      </c>
      <c r="D267" t="s">
        <v>261</v>
      </c>
      <c r="E267">
        <v>0</v>
      </c>
      <c r="F267" t="s">
        <v>498</v>
      </c>
      <c r="G267">
        <v>79</v>
      </c>
      <c r="H267">
        <f>IF(COUNTIF(Sheet2!A:A,A267)&gt;0,VLOOKUP(A267,Sheet2!A:B,2,FALSE),"Not Found")</f>
        <v>0</v>
      </c>
      <c r="I267" t="str">
        <f t="shared" si="4"/>
        <v>Match</v>
      </c>
    </row>
    <row r="268" spans="1:9" x14ac:dyDescent="0.35">
      <c r="A268" s="1" t="s">
        <v>200</v>
      </c>
      <c r="B268">
        <v>0</v>
      </c>
      <c r="D268" t="s">
        <v>262</v>
      </c>
      <c r="E268">
        <v>0</v>
      </c>
      <c r="F268" t="s">
        <v>498</v>
      </c>
      <c r="G268">
        <v>79</v>
      </c>
      <c r="H268">
        <f>IF(COUNTIF(Sheet2!A:A,A268)&gt;0,VLOOKUP(A268,Sheet2!A:B,2,FALSE),"Not Found")</f>
        <v>0</v>
      </c>
      <c r="I268" t="str">
        <f t="shared" si="4"/>
        <v>Match</v>
      </c>
    </row>
    <row r="269" spans="1:9" x14ac:dyDescent="0.35">
      <c r="A269" s="1" t="s">
        <v>65</v>
      </c>
      <c r="B269">
        <v>0</v>
      </c>
      <c r="D269" t="s">
        <v>263</v>
      </c>
      <c r="E269">
        <v>0</v>
      </c>
      <c r="F269" t="s">
        <v>498</v>
      </c>
      <c r="G269">
        <v>79</v>
      </c>
      <c r="H269">
        <f>IF(COUNTIF(Sheet2!A:A,A269)&gt;0,VLOOKUP(A269,Sheet2!A:B,2,FALSE),"Not Found")</f>
        <v>0</v>
      </c>
      <c r="I269" t="str">
        <f t="shared" si="4"/>
        <v>Match</v>
      </c>
    </row>
    <row r="270" spans="1:9" x14ac:dyDescent="0.35">
      <c r="A270" s="1" t="s">
        <v>64</v>
      </c>
      <c r="B270">
        <v>0</v>
      </c>
      <c r="D270" t="s">
        <v>264</v>
      </c>
      <c r="E270">
        <v>0</v>
      </c>
      <c r="F270" t="s">
        <v>498</v>
      </c>
      <c r="G270">
        <v>79</v>
      </c>
      <c r="H270">
        <f>IF(COUNTIF(Sheet2!A:A,A270)&gt;0,VLOOKUP(A270,Sheet2!A:B,2,FALSE),"Not Found")</f>
        <v>0</v>
      </c>
      <c r="I270" t="str">
        <f t="shared" si="4"/>
        <v>Match</v>
      </c>
    </row>
    <row r="271" spans="1:9" x14ac:dyDescent="0.35">
      <c r="A271" s="1" t="s">
        <v>238</v>
      </c>
      <c r="B271">
        <v>0</v>
      </c>
      <c r="D271" t="s">
        <v>265</v>
      </c>
      <c r="E271">
        <v>0</v>
      </c>
      <c r="F271" t="s">
        <v>498</v>
      </c>
      <c r="G271">
        <v>79</v>
      </c>
      <c r="H271">
        <f>IF(COUNTIF(Sheet2!A:A,A271)&gt;0,VLOOKUP(A271,Sheet2!A:B,2,FALSE),"Not Found")</f>
        <v>0</v>
      </c>
      <c r="I271" t="str">
        <f t="shared" si="4"/>
        <v>Match</v>
      </c>
    </row>
    <row r="272" spans="1:9" x14ac:dyDescent="0.35">
      <c r="A272" s="1" t="s">
        <v>282</v>
      </c>
      <c r="B272">
        <v>0</v>
      </c>
      <c r="D272" t="s">
        <v>266</v>
      </c>
      <c r="E272">
        <v>0</v>
      </c>
      <c r="F272" t="s">
        <v>498</v>
      </c>
      <c r="G272">
        <v>79</v>
      </c>
      <c r="H272">
        <f>IF(COUNTIF(Sheet2!A:A,A272)&gt;0,VLOOKUP(A272,Sheet2!A:B,2,FALSE),"Not Found")</f>
        <v>0</v>
      </c>
      <c r="I272" t="str">
        <f t="shared" si="4"/>
        <v>Match</v>
      </c>
    </row>
    <row r="273" spans="1:9" x14ac:dyDescent="0.35">
      <c r="A273" s="1" t="s">
        <v>329</v>
      </c>
      <c r="B273">
        <v>0</v>
      </c>
      <c r="D273" t="s">
        <v>267</v>
      </c>
      <c r="E273">
        <v>0</v>
      </c>
      <c r="F273" t="s">
        <v>498</v>
      </c>
      <c r="G273">
        <v>79</v>
      </c>
      <c r="H273">
        <f>IF(COUNTIF(Sheet2!A:A,A273)&gt;0,VLOOKUP(A273,Sheet2!A:B,2,FALSE),"Not Found")</f>
        <v>0</v>
      </c>
      <c r="I273" t="str">
        <f t="shared" si="4"/>
        <v>Match</v>
      </c>
    </row>
    <row r="274" spans="1:9" x14ac:dyDescent="0.35">
      <c r="A274" s="1" t="s">
        <v>197</v>
      </c>
      <c r="B274">
        <v>0</v>
      </c>
      <c r="D274" t="s">
        <v>268</v>
      </c>
      <c r="E274">
        <v>0</v>
      </c>
      <c r="F274" t="s">
        <v>498</v>
      </c>
      <c r="G274">
        <v>79</v>
      </c>
      <c r="H274">
        <f>IF(COUNTIF(Sheet2!A:A,A274)&gt;0,VLOOKUP(A274,Sheet2!A:B,2,FALSE),"Not Found")</f>
        <v>0</v>
      </c>
      <c r="I274" t="str">
        <f t="shared" si="4"/>
        <v>Match</v>
      </c>
    </row>
    <row r="275" spans="1:9" x14ac:dyDescent="0.35">
      <c r="A275" s="1" t="s">
        <v>198</v>
      </c>
      <c r="B275">
        <v>0</v>
      </c>
      <c r="D275" t="s">
        <v>269</v>
      </c>
      <c r="E275">
        <v>0</v>
      </c>
      <c r="F275" t="s">
        <v>498</v>
      </c>
      <c r="G275">
        <v>79</v>
      </c>
      <c r="H275">
        <f>IF(COUNTIF(Sheet2!A:A,A275)&gt;0,VLOOKUP(A275,Sheet2!A:B,2,FALSE),"Not Found")</f>
        <v>0</v>
      </c>
      <c r="I275" t="str">
        <f t="shared" si="4"/>
        <v>Match</v>
      </c>
    </row>
    <row r="276" spans="1:9" x14ac:dyDescent="0.35">
      <c r="A276" s="1" t="s">
        <v>112</v>
      </c>
      <c r="B276">
        <v>0</v>
      </c>
      <c r="D276" t="s">
        <v>270</v>
      </c>
      <c r="E276">
        <v>0</v>
      </c>
      <c r="F276" t="s">
        <v>498</v>
      </c>
      <c r="G276">
        <v>79</v>
      </c>
      <c r="H276">
        <f>IF(COUNTIF(Sheet2!A:A,A276)&gt;0,VLOOKUP(A276,Sheet2!A:B,2,FALSE),"Not Found")</f>
        <v>0</v>
      </c>
      <c r="I276" t="str">
        <f t="shared" si="4"/>
        <v>Match</v>
      </c>
    </row>
    <row r="277" spans="1:9" x14ac:dyDescent="0.35">
      <c r="A277" s="1" t="s">
        <v>156</v>
      </c>
      <c r="B277">
        <v>0</v>
      </c>
      <c r="D277" t="s">
        <v>271</v>
      </c>
      <c r="E277">
        <v>0</v>
      </c>
      <c r="F277" t="s">
        <v>498</v>
      </c>
      <c r="G277">
        <v>79</v>
      </c>
      <c r="H277">
        <f>IF(COUNTIF(Sheet2!A:A,A277)&gt;0,VLOOKUP(A277,Sheet2!A:B,2,FALSE),"Not Found")</f>
        <v>0</v>
      </c>
      <c r="I277" t="str">
        <f t="shared" si="4"/>
        <v>Match</v>
      </c>
    </row>
    <row r="278" spans="1:9" x14ac:dyDescent="0.35">
      <c r="A278" s="1" t="s">
        <v>62</v>
      </c>
      <c r="B278">
        <v>0</v>
      </c>
      <c r="D278" t="s">
        <v>1</v>
      </c>
      <c r="E278">
        <v>0</v>
      </c>
      <c r="F278" t="s">
        <v>540</v>
      </c>
      <c r="G278">
        <v>62</v>
      </c>
      <c r="H278">
        <f>IF(COUNTIF(Sheet2!A:A,A278)&gt;0,VLOOKUP(A278,Sheet2!A:B,2,FALSE),"Not Found")</f>
        <v>0</v>
      </c>
      <c r="I278" t="str">
        <f t="shared" si="4"/>
        <v>Match</v>
      </c>
    </row>
    <row r="279" spans="1:9" x14ac:dyDescent="0.35">
      <c r="A279" s="1" t="s">
        <v>110</v>
      </c>
      <c r="B279">
        <v>0</v>
      </c>
      <c r="D279" t="s">
        <v>272</v>
      </c>
      <c r="E279">
        <v>0</v>
      </c>
      <c r="F279" t="s">
        <v>498</v>
      </c>
      <c r="G279">
        <v>79</v>
      </c>
      <c r="H279">
        <f>IF(COUNTIF(Sheet2!A:A,A279)&gt;0,VLOOKUP(A279,Sheet2!A:B,2,FALSE),"Not Found")</f>
        <v>0</v>
      </c>
      <c r="I279" t="str">
        <f t="shared" si="4"/>
        <v>Match</v>
      </c>
    </row>
    <row r="280" spans="1:9" x14ac:dyDescent="0.35">
      <c r="A280" s="1" t="s">
        <v>328</v>
      </c>
      <c r="B280">
        <v>0</v>
      </c>
      <c r="D280" t="s">
        <v>273</v>
      </c>
      <c r="E280">
        <v>0</v>
      </c>
      <c r="F280" t="s">
        <v>570</v>
      </c>
      <c r="G280">
        <v>107</v>
      </c>
      <c r="H280">
        <f>IF(COUNTIF(Sheet2!A:A,A280)&gt;0,VLOOKUP(A280,Sheet2!A:B,2,FALSE),"Not Found")</f>
        <v>0</v>
      </c>
      <c r="I280" t="str">
        <f t="shared" si="4"/>
        <v>Match</v>
      </c>
    </row>
    <row r="281" spans="1:9" x14ac:dyDescent="0.35">
      <c r="A281" s="1" t="s">
        <v>63</v>
      </c>
      <c r="B281">
        <v>0</v>
      </c>
      <c r="D281" t="s">
        <v>274</v>
      </c>
      <c r="E281">
        <v>0</v>
      </c>
      <c r="F281" t="s">
        <v>552</v>
      </c>
      <c r="G281">
        <v>61</v>
      </c>
      <c r="H281">
        <f>IF(COUNTIF(Sheet2!A:A,A281)&gt;0,VLOOKUP(A281,Sheet2!A:B,2,FALSE),"Not Found")</f>
        <v>0</v>
      </c>
      <c r="I281" t="str">
        <f t="shared" si="4"/>
        <v>Match</v>
      </c>
    </row>
    <row r="282" spans="1:9" x14ac:dyDescent="0.35">
      <c r="A282" s="1" t="s">
        <v>281</v>
      </c>
      <c r="B282">
        <v>0</v>
      </c>
      <c r="D282" t="s">
        <v>275</v>
      </c>
      <c r="E282">
        <v>0</v>
      </c>
      <c r="F282" t="s">
        <v>528</v>
      </c>
      <c r="G282">
        <v>46</v>
      </c>
      <c r="H282">
        <f>IF(COUNTIF(Sheet2!A:A,A282)&gt;0,VLOOKUP(A282,Sheet2!A:B,2,FALSE),"Not Found")</f>
        <v>0</v>
      </c>
      <c r="I282" t="str">
        <f t="shared" si="4"/>
        <v>Match</v>
      </c>
    </row>
    <row r="283" spans="1:9" x14ac:dyDescent="0.35">
      <c r="A283" s="1" t="s">
        <v>11</v>
      </c>
      <c r="B283">
        <v>0</v>
      </c>
      <c r="D283" t="s">
        <v>151</v>
      </c>
      <c r="E283">
        <v>0</v>
      </c>
      <c r="F283" t="s">
        <v>479</v>
      </c>
      <c r="G283">
        <v>69</v>
      </c>
      <c r="H283">
        <f>IF(COUNTIF(Sheet2!A:A,A283)&gt;0,VLOOKUP(A283,Sheet2!A:B,2,FALSE),"Not Found")</f>
        <v>0</v>
      </c>
      <c r="I283" t="str">
        <f t="shared" si="4"/>
        <v>Match</v>
      </c>
    </row>
    <row r="284" spans="1:9" x14ac:dyDescent="0.35">
      <c r="A284" s="1" t="s">
        <v>235</v>
      </c>
      <c r="B284">
        <v>0</v>
      </c>
      <c r="D284" t="s">
        <v>276</v>
      </c>
      <c r="E284">
        <v>0</v>
      </c>
      <c r="F284" t="s">
        <v>571</v>
      </c>
      <c r="G284">
        <v>9</v>
      </c>
      <c r="H284">
        <f>IF(COUNTIF(Sheet2!A:A,A284)&gt;0,VLOOKUP(A284,Sheet2!A:B,2,FALSE),"Not Found")</f>
        <v>0</v>
      </c>
      <c r="I284" t="str">
        <f t="shared" si="4"/>
        <v>Match</v>
      </c>
    </row>
    <row r="285" spans="1:9" x14ac:dyDescent="0.35">
      <c r="A285" s="1" t="s">
        <v>195</v>
      </c>
      <c r="B285">
        <v>0</v>
      </c>
      <c r="D285" t="s">
        <v>277</v>
      </c>
      <c r="E285">
        <v>0</v>
      </c>
      <c r="F285" t="s">
        <v>562</v>
      </c>
      <c r="G285">
        <v>8</v>
      </c>
      <c r="H285">
        <f>IF(COUNTIF(Sheet2!A:A,A285)&gt;0,VLOOKUP(A285,Sheet2!A:B,2,FALSE),"Not Found")</f>
        <v>0</v>
      </c>
      <c r="I285" t="str">
        <f t="shared" si="4"/>
        <v>Match</v>
      </c>
    </row>
    <row r="286" spans="1:9" x14ac:dyDescent="0.35">
      <c r="A286" s="1" t="s">
        <v>157</v>
      </c>
      <c r="B286">
        <v>0</v>
      </c>
      <c r="D286" t="s">
        <v>278</v>
      </c>
      <c r="E286">
        <v>2343</v>
      </c>
      <c r="F286" t="s">
        <v>482</v>
      </c>
      <c r="G286">
        <v>11</v>
      </c>
      <c r="H286">
        <f>IF(COUNTIF(Sheet2!A:A,A286)&gt;0,VLOOKUP(A286,Sheet2!A:B,2,FALSE),"Not Found")</f>
        <v>0</v>
      </c>
      <c r="I286" t="str">
        <f t="shared" si="4"/>
        <v>Match</v>
      </c>
    </row>
    <row r="287" spans="1:9" x14ac:dyDescent="0.35">
      <c r="A287" s="1" t="s">
        <v>111</v>
      </c>
      <c r="B287">
        <v>0</v>
      </c>
      <c r="D287" t="s">
        <v>279</v>
      </c>
      <c r="E287">
        <v>0</v>
      </c>
      <c r="F287" t="s">
        <v>572</v>
      </c>
      <c r="G287">
        <v>12</v>
      </c>
      <c r="H287">
        <f>IF(COUNTIF(Sheet2!A:A,A287)&gt;0,VLOOKUP(A287,Sheet2!A:B,2,FALSE),"Not Found")</f>
        <v>0</v>
      </c>
      <c r="I287" t="str">
        <f t="shared" si="4"/>
        <v>Match</v>
      </c>
    </row>
    <row r="288" spans="1:9" x14ac:dyDescent="0.35">
      <c r="A288" s="1" t="s">
        <v>196</v>
      </c>
      <c r="B288">
        <v>0</v>
      </c>
      <c r="D288" t="s">
        <v>280</v>
      </c>
      <c r="E288">
        <v>0</v>
      </c>
      <c r="F288" t="s">
        <v>544</v>
      </c>
      <c r="G288">
        <v>13</v>
      </c>
      <c r="H288">
        <f>IF(COUNTIF(Sheet2!A:A,A288)&gt;0,VLOOKUP(A288,Sheet2!A:B,2,FALSE),"Not Found")</f>
        <v>0</v>
      </c>
      <c r="I288" t="str">
        <f t="shared" si="4"/>
        <v>Match</v>
      </c>
    </row>
    <row r="289" spans="1:9" x14ac:dyDescent="0.35">
      <c r="A289" s="1" t="s">
        <v>236</v>
      </c>
      <c r="B289">
        <v>0</v>
      </c>
      <c r="D289" t="s">
        <v>281</v>
      </c>
      <c r="E289">
        <v>0</v>
      </c>
      <c r="F289" t="s">
        <v>530</v>
      </c>
      <c r="G289">
        <v>35</v>
      </c>
      <c r="H289">
        <f>IF(COUNTIF(Sheet2!A:A,A289)&gt;0,VLOOKUP(A289,Sheet2!A:B,2,FALSE),"Not Found")</f>
        <v>0</v>
      </c>
      <c r="I289" t="str">
        <f t="shared" si="4"/>
        <v>Match</v>
      </c>
    </row>
    <row r="290" spans="1:9" x14ac:dyDescent="0.35">
      <c r="A290" s="1" t="s">
        <v>237</v>
      </c>
      <c r="B290">
        <v>0</v>
      </c>
      <c r="D290" t="s">
        <v>282</v>
      </c>
      <c r="E290">
        <v>0</v>
      </c>
      <c r="F290" t="s">
        <v>514</v>
      </c>
      <c r="G290">
        <v>30</v>
      </c>
      <c r="H290">
        <f>IF(COUNTIF(Sheet2!A:A,A290)&gt;0,VLOOKUP(A290,Sheet2!A:B,2,FALSE),"Not Found")</f>
        <v>0</v>
      </c>
      <c r="I290" t="str">
        <f t="shared" si="4"/>
        <v>Match</v>
      </c>
    </row>
    <row r="291" spans="1:9" x14ac:dyDescent="0.35">
      <c r="A291" s="1" t="s">
        <v>17</v>
      </c>
      <c r="B291">
        <v>0</v>
      </c>
      <c r="D291" t="s">
        <v>283</v>
      </c>
      <c r="E291">
        <v>0</v>
      </c>
      <c r="F291" t="s">
        <v>564</v>
      </c>
      <c r="G291">
        <v>20</v>
      </c>
      <c r="H291">
        <f>IF(COUNTIF(Sheet2!A:A,A291)&gt;0,VLOOKUP(A291,Sheet2!A:B,2,FALSE),"Not Found")</f>
        <v>0</v>
      </c>
      <c r="I291" t="str">
        <f t="shared" si="4"/>
        <v>Match</v>
      </c>
    </row>
    <row r="292" spans="1:9" x14ac:dyDescent="0.35">
      <c r="A292" s="1" t="s">
        <v>292</v>
      </c>
      <c r="B292">
        <v>0</v>
      </c>
      <c r="D292" t="s">
        <v>284</v>
      </c>
      <c r="E292">
        <v>481505</v>
      </c>
      <c r="F292" t="s">
        <v>573</v>
      </c>
      <c r="G292">
        <v>40</v>
      </c>
      <c r="H292">
        <f>IF(COUNTIF(Sheet2!A:A,A292)&gt;0,VLOOKUP(A292,Sheet2!A:B,2,FALSE),"Not Found")</f>
        <v>0</v>
      </c>
      <c r="I292" t="str">
        <f t="shared" si="4"/>
        <v>Match</v>
      </c>
    </row>
    <row r="293" spans="1:9" x14ac:dyDescent="0.35">
      <c r="A293" s="1" t="s">
        <v>248</v>
      </c>
      <c r="B293">
        <v>0</v>
      </c>
      <c r="D293" t="s">
        <v>285</v>
      </c>
      <c r="E293">
        <v>0</v>
      </c>
      <c r="F293" t="s">
        <v>487</v>
      </c>
      <c r="G293">
        <v>21</v>
      </c>
      <c r="H293">
        <f>IF(COUNTIF(Sheet2!A:A,A293)&gt;0,VLOOKUP(A293,Sheet2!A:B,2,FALSE),"Not Found")</f>
        <v>0</v>
      </c>
      <c r="I293" t="str">
        <f t="shared" si="4"/>
        <v>Match</v>
      </c>
    </row>
    <row r="294" spans="1:9" x14ac:dyDescent="0.35">
      <c r="A294" s="1" t="s">
        <v>170</v>
      </c>
      <c r="B294">
        <v>0</v>
      </c>
      <c r="D294" t="s">
        <v>286</v>
      </c>
      <c r="E294">
        <v>0</v>
      </c>
      <c r="F294" t="s">
        <v>546</v>
      </c>
      <c r="G294">
        <v>23</v>
      </c>
      <c r="H294">
        <f>IF(COUNTIF(Sheet2!A:A,A294)&gt;0,VLOOKUP(A294,Sheet2!A:B,2,FALSE),"Not Found")</f>
        <v>0</v>
      </c>
      <c r="I294" t="str">
        <f t="shared" si="4"/>
        <v>Match</v>
      </c>
    </row>
    <row r="295" spans="1:9" x14ac:dyDescent="0.35">
      <c r="A295" s="1" t="s">
        <v>246</v>
      </c>
      <c r="B295">
        <v>0</v>
      </c>
      <c r="D295" t="s">
        <v>287</v>
      </c>
      <c r="E295">
        <v>0</v>
      </c>
      <c r="F295" t="s">
        <v>555</v>
      </c>
      <c r="G295">
        <v>28</v>
      </c>
      <c r="H295">
        <f>IF(COUNTIF(Sheet2!A:A,A295)&gt;0,VLOOKUP(A295,Sheet2!A:B,2,FALSE),"Not Found")</f>
        <v>0</v>
      </c>
      <c r="I295" t="str">
        <f t="shared" si="4"/>
        <v>Match</v>
      </c>
    </row>
    <row r="296" spans="1:9" x14ac:dyDescent="0.35">
      <c r="A296" s="1" t="s">
        <v>18</v>
      </c>
      <c r="B296">
        <v>0</v>
      </c>
      <c r="D296" t="s">
        <v>288</v>
      </c>
      <c r="E296">
        <v>0</v>
      </c>
      <c r="F296" t="s">
        <v>547</v>
      </c>
      <c r="G296">
        <v>19</v>
      </c>
      <c r="H296">
        <f>IF(COUNTIF(Sheet2!A:A,A296)&gt;0,VLOOKUP(A296,Sheet2!A:B,2,FALSE),"Not Found")</f>
        <v>0</v>
      </c>
      <c r="I296" t="str">
        <f t="shared" si="4"/>
        <v>Match</v>
      </c>
    </row>
    <row r="297" spans="1:9" x14ac:dyDescent="0.35">
      <c r="A297" s="1" t="s">
        <v>291</v>
      </c>
      <c r="B297">
        <v>0</v>
      </c>
      <c r="D297" t="s">
        <v>289</v>
      </c>
      <c r="E297">
        <v>8564349</v>
      </c>
      <c r="F297" t="s">
        <v>489</v>
      </c>
      <c r="G297">
        <v>3</v>
      </c>
      <c r="H297">
        <f>IF(COUNTIF(Sheet2!A:A,A297)&gt;0,VLOOKUP(A297,Sheet2!A:B,2,FALSE),"Not Found")</f>
        <v>0</v>
      </c>
      <c r="I297" t="str">
        <f t="shared" si="4"/>
        <v>Match</v>
      </c>
    </row>
    <row r="298" spans="1:9" x14ac:dyDescent="0.35">
      <c r="A298" s="1" t="s">
        <v>166</v>
      </c>
      <c r="B298">
        <v>0</v>
      </c>
      <c r="D298" t="s">
        <v>290</v>
      </c>
      <c r="E298">
        <v>0</v>
      </c>
      <c r="F298" t="s">
        <v>490</v>
      </c>
      <c r="G298">
        <v>99</v>
      </c>
      <c r="H298">
        <f>IF(COUNTIF(Sheet2!A:A,A298)&gt;0,VLOOKUP(A298,Sheet2!A:B,2,FALSE),"Not Found")</f>
        <v>0</v>
      </c>
      <c r="I298" t="str">
        <f t="shared" si="4"/>
        <v>Match</v>
      </c>
    </row>
    <row r="299" spans="1:9" x14ac:dyDescent="0.35">
      <c r="A299" s="1" t="s">
        <v>77</v>
      </c>
      <c r="B299">
        <v>0</v>
      </c>
      <c r="D299" t="s">
        <v>291</v>
      </c>
      <c r="E299">
        <v>0</v>
      </c>
      <c r="F299" t="s">
        <v>492</v>
      </c>
      <c r="G299">
        <v>86</v>
      </c>
      <c r="H299">
        <f>IF(COUNTIF(Sheet2!A:A,A299)&gt;0,VLOOKUP(A299,Sheet2!A:B,2,FALSE),"Not Found")</f>
        <v>0</v>
      </c>
      <c r="I299" t="str">
        <f t="shared" si="4"/>
        <v>Match</v>
      </c>
    </row>
    <row r="300" spans="1:9" x14ac:dyDescent="0.35">
      <c r="A300" s="1" t="s">
        <v>333</v>
      </c>
      <c r="B300">
        <v>0</v>
      </c>
      <c r="D300" t="s">
        <v>292</v>
      </c>
      <c r="E300">
        <v>0</v>
      </c>
      <c r="F300" t="s">
        <v>491</v>
      </c>
      <c r="G300">
        <v>113</v>
      </c>
      <c r="H300">
        <f>IF(COUNTIF(Sheet2!A:A,A300)&gt;0,VLOOKUP(A300,Sheet2!A:B,2,FALSE),"Not Found")</f>
        <v>0</v>
      </c>
      <c r="I300" t="str">
        <f t="shared" si="4"/>
        <v>Match</v>
      </c>
    </row>
    <row r="301" spans="1:9" x14ac:dyDescent="0.35">
      <c r="A301" s="1" t="s">
        <v>19</v>
      </c>
      <c r="B301">
        <v>0</v>
      </c>
      <c r="D301" t="s">
        <v>293</v>
      </c>
      <c r="E301">
        <v>0</v>
      </c>
      <c r="F301" t="s">
        <v>492</v>
      </c>
      <c r="G301">
        <v>86</v>
      </c>
      <c r="H301">
        <f>IF(COUNTIF(Sheet2!A:A,A301)&gt;0,VLOOKUP(A301,Sheet2!A:B,2,FALSE),"Not Found")</f>
        <v>0</v>
      </c>
      <c r="I301" t="str">
        <f t="shared" si="4"/>
        <v>Match</v>
      </c>
    </row>
    <row r="302" spans="1:9" x14ac:dyDescent="0.35">
      <c r="A302" s="1" t="s">
        <v>250</v>
      </c>
      <c r="B302">
        <v>0</v>
      </c>
      <c r="D302" t="s">
        <v>294</v>
      </c>
      <c r="E302">
        <v>0</v>
      </c>
      <c r="F302" t="s">
        <v>492</v>
      </c>
      <c r="G302">
        <v>86</v>
      </c>
      <c r="H302">
        <f>IF(COUNTIF(Sheet2!A:A,A302)&gt;0,VLOOKUP(A302,Sheet2!A:B,2,FALSE),"Not Found")</f>
        <v>0</v>
      </c>
      <c r="I302" t="str">
        <f t="shared" si="4"/>
        <v>Match</v>
      </c>
    </row>
    <row r="303" spans="1:9" x14ac:dyDescent="0.35">
      <c r="A303" s="1" t="s">
        <v>167</v>
      </c>
      <c r="B303">
        <v>0</v>
      </c>
      <c r="D303" t="s">
        <v>295</v>
      </c>
      <c r="E303">
        <v>0</v>
      </c>
      <c r="F303" t="s">
        <v>492</v>
      </c>
      <c r="G303">
        <v>86</v>
      </c>
      <c r="H303">
        <f>IF(COUNTIF(Sheet2!A:A,A303)&gt;0,VLOOKUP(A303,Sheet2!A:B,2,FALSE),"Not Found")</f>
        <v>0</v>
      </c>
      <c r="I303" t="str">
        <f t="shared" si="4"/>
        <v>Match</v>
      </c>
    </row>
    <row r="304" spans="1:9" x14ac:dyDescent="0.35">
      <c r="A304" s="1" t="s">
        <v>122</v>
      </c>
      <c r="B304">
        <v>0</v>
      </c>
      <c r="D304" t="s">
        <v>296</v>
      </c>
      <c r="E304">
        <v>7918</v>
      </c>
      <c r="F304" t="s">
        <v>493</v>
      </c>
      <c r="G304">
        <v>1</v>
      </c>
      <c r="H304">
        <f>IF(COUNTIF(Sheet2!A:A,A304)&gt;0,VLOOKUP(A304,Sheet2!A:B,2,FALSE),"Not Found")</f>
        <v>0</v>
      </c>
      <c r="I304" t="str">
        <f t="shared" si="4"/>
        <v>Match</v>
      </c>
    </row>
    <row r="305" spans="1:9" x14ac:dyDescent="0.35">
      <c r="A305" s="1" t="s">
        <v>21</v>
      </c>
      <c r="B305">
        <v>0</v>
      </c>
      <c r="D305" t="s">
        <v>297</v>
      </c>
      <c r="E305">
        <v>0</v>
      </c>
      <c r="F305" t="s">
        <v>493</v>
      </c>
      <c r="G305">
        <v>1</v>
      </c>
      <c r="H305">
        <f>IF(COUNTIF(Sheet2!A:A,A305)&gt;0,VLOOKUP(A305,Sheet2!A:B,2,FALSE),"Not Found")</f>
        <v>0</v>
      </c>
      <c r="I305" t="str">
        <f t="shared" si="4"/>
        <v>Match</v>
      </c>
    </row>
    <row r="306" spans="1:9" x14ac:dyDescent="0.35">
      <c r="A306" s="1" t="s">
        <v>121</v>
      </c>
      <c r="B306">
        <v>0</v>
      </c>
      <c r="D306" t="s">
        <v>298</v>
      </c>
      <c r="E306">
        <v>5216</v>
      </c>
      <c r="F306" t="s">
        <v>493</v>
      </c>
      <c r="G306">
        <v>1</v>
      </c>
      <c r="H306">
        <f>IF(COUNTIF(Sheet2!A:A,A306)&gt;0,VLOOKUP(A306,Sheet2!A:B,2,FALSE),"Not Found")</f>
        <v>0</v>
      </c>
      <c r="I306" t="str">
        <f t="shared" si="4"/>
        <v>Match</v>
      </c>
    </row>
    <row r="307" spans="1:9" x14ac:dyDescent="0.35">
      <c r="A307" s="1" t="s">
        <v>247</v>
      </c>
      <c r="B307">
        <v>0</v>
      </c>
      <c r="D307" t="s">
        <v>299</v>
      </c>
      <c r="E307">
        <v>18178</v>
      </c>
      <c r="F307" t="s">
        <v>495</v>
      </c>
      <c r="G307">
        <v>114</v>
      </c>
      <c r="H307">
        <f>IF(COUNTIF(Sheet2!A:A,A307)&gt;0,VLOOKUP(A307,Sheet2!A:B,2,FALSE),"Not Found")</f>
        <v>0</v>
      </c>
      <c r="I307" t="str">
        <f t="shared" si="4"/>
        <v>Match</v>
      </c>
    </row>
    <row r="308" spans="1:9" x14ac:dyDescent="0.35">
      <c r="A308" s="1" t="s">
        <v>295</v>
      </c>
      <c r="B308">
        <v>0</v>
      </c>
      <c r="D308" t="s">
        <v>300</v>
      </c>
      <c r="E308">
        <v>0</v>
      </c>
      <c r="F308" t="s">
        <v>495</v>
      </c>
      <c r="G308">
        <v>114</v>
      </c>
      <c r="H308">
        <f>IF(COUNTIF(Sheet2!A:A,A308)&gt;0,VLOOKUP(A308,Sheet2!A:B,2,FALSE),"Not Found")</f>
        <v>0</v>
      </c>
      <c r="I308" t="str">
        <f t="shared" si="4"/>
        <v>Match</v>
      </c>
    </row>
    <row r="309" spans="1:9" x14ac:dyDescent="0.35">
      <c r="A309" s="1" t="s">
        <v>169</v>
      </c>
      <c r="B309">
        <v>0</v>
      </c>
      <c r="D309" t="s">
        <v>301</v>
      </c>
      <c r="E309">
        <v>0</v>
      </c>
      <c r="F309" t="s">
        <v>574</v>
      </c>
      <c r="G309">
        <v>87</v>
      </c>
      <c r="H309">
        <f>IF(COUNTIF(Sheet2!A:A,A309)&gt;0,VLOOKUP(A309,Sheet2!A:B,2,FALSE),"Not Found")</f>
        <v>0</v>
      </c>
      <c r="I309" t="str">
        <f t="shared" si="4"/>
        <v>Match</v>
      </c>
    </row>
    <row r="310" spans="1:9" x14ac:dyDescent="0.35">
      <c r="A310" s="1" t="s">
        <v>332</v>
      </c>
      <c r="B310">
        <v>0</v>
      </c>
      <c r="D310" t="s">
        <v>302</v>
      </c>
      <c r="E310">
        <v>0</v>
      </c>
      <c r="F310" t="s">
        <v>575</v>
      </c>
      <c r="G310">
        <v>92</v>
      </c>
      <c r="H310">
        <f>IF(COUNTIF(Sheet2!A:A,A310)&gt;0,VLOOKUP(A310,Sheet2!A:B,2,FALSE),"Not Found")</f>
        <v>0</v>
      </c>
      <c r="I310" t="str">
        <f t="shared" si="4"/>
        <v>Match</v>
      </c>
    </row>
    <row r="311" spans="1:9" x14ac:dyDescent="0.35">
      <c r="A311" s="1" t="s">
        <v>331</v>
      </c>
      <c r="B311">
        <v>0</v>
      </c>
      <c r="D311" t="s">
        <v>303</v>
      </c>
      <c r="E311">
        <v>0</v>
      </c>
      <c r="F311" t="s">
        <v>576</v>
      </c>
      <c r="G311">
        <v>103</v>
      </c>
      <c r="H311">
        <f>IF(COUNTIF(Sheet2!A:A,A311)&gt;0,VLOOKUP(A311,Sheet2!A:B,2,FALSE),"Not Found")</f>
        <v>0</v>
      </c>
      <c r="I311" t="str">
        <f t="shared" si="4"/>
        <v>Match</v>
      </c>
    </row>
    <row r="312" spans="1:9" x14ac:dyDescent="0.35">
      <c r="A312" s="1" t="s">
        <v>205</v>
      </c>
      <c r="B312">
        <v>0</v>
      </c>
      <c r="D312" t="s">
        <v>304</v>
      </c>
      <c r="E312">
        <v>0</v>
      </c>
      <c r="F312" t="s">
        <v>577</v>
      </c>
      <c r="G312">
        <v>105</v>
      </c>
      <c r="H312">
        <f>IF(COUNTIF(Sheet2!A:A,A312)&gt;0,VLOOKUP(A312,Sheet2!A:B,2,FALSE),"Not Found")</f>
        <v>0</v>
      </c>
      <c r="I312" t="str">
        <f t="shared" si="4"/>
        <v>Match</v>
      </c>
    </row>
    <row r="313" spans="1:9" x14ac:dyDescent="0.35">
      <c r="A313" s="1" t="s">
        <v>206</v>
      </c>
      <c r="B313">
        <v>0</v>
      </c>
      <c r="D313" t="s">
        <v>305</v>
      </c>
      <c r="E313">
        <v>0</v>
      </c>
      <c r="F313" t="s">
        <v>578</v>
      </c>
      <c r="G313">
        <v>78</v>
      </c>
      <c r="H313">
        <f>IF(COUNTIF(Sheet2!A:A,A313)&gt;0,VLOOKUP(A313,Sheet2!A:B,2,FALSE),"Not Found")</f>
        <v>0</v>
      </c>
      <c r="I313" t="str">
        <f t="shared" si="4"/>
        <v>Match</v>
      </c>
    </row>
    <row r="314" spans="1:9" x14ac:dyDescent="0.35">
      <c r="A314" s="1" t="s">
        <v>334</v>
      </c>
      <c r="B314">
        <v>0</v>
      </c>
      <c r="D314" t="s">
        <v>306</v>
      </c>
      <c r="E314">
        <v>0</v>
      </c>
      <c r="F314" t="s">
        <v>498</v>
      </c>
      <c r="G314">
        <v>79</v>
      </c>
      <c r="H314">
        <f>IF(COUNTIF(Sheet2!A:A,A314)&gt;0,VLOOKUP(A314,Sheet2!A:B,2,FALSE),"Not Found")</f>
        <v>0</v>
      </c>
      <c r="I314" t="str">
        <f t="shared" si="4"/>
        <v>Match</v>
      </c>
    </row>
    <row r="315" spans="1:9" x14ac:dyDescent="0.35">
      <c r="A315" s="1" t="s">
        <v>20</v>
      </c>
      <c r="B315">
        <v>0</v>
      </c>
      <c r="D315" t="s">
        <v>307</v>
      </c>
      <c r="E315">
        <v>0</v>
      </c>
      <c r="F315" t="s">
        <v>498</v>
      </c>
      <c r="G315">
        <v>79</v>
      </c>
      <c r="H315">
        <f>IF(COUNTIF(Sheet2!A:A,A315)&gt;0,VLOOKUP(A315,Sheet2!A:B,2,FALSE),"Not Found")</f>
        <v>0</v>
      </c>
      <c r="I315" t="str">
        <f t="shared" si="4"/>
        <v>Match</v>
      </c>
    </row>
    <row r="316" spans="1:9" x14ac:dyDescent="0.35">
      <c r="A316" s="1" t="s">
        <v>171</v>
      </c>
      <c r="B316">
        <v>0</v>
      </c>
      <c r="D316" t="s">
        <v>308</v>
      </c>
      <c r="E316">
        <v>0</v>
      </c>
      <c r="F316" t="s">
        <v>498</v>
      </c>
      <c r="G316">
        <v>79</v>
      </c>
      <c r="H316">
        <f>IF(COUNTIF(Sheet2!A:A,A316)&gt;0,VLOOKUP(A316,Sheet2!A:B,2,FALSE),"Not Found")</f>
        <v>0</v>
      </c>
      <c r="I316" t="str">
        <f t="shared" si="4"/>
        <v>Match</v>
      </c>
    </row>
    <row r="317" spans="1:9" x14ac:dyDescent="0.35">
      <c r="A317" s="1" t="s">
        <v>249</v>
      </c>
      <c r="B317">
        <v>0</v>
      </c>
      <c r="D317" t="s">
        <v>309</v>
      </c>
      <c r="E317">
        <v>0</v>
      </c>
      <c r="F317" t="s">
        <v>498</v>
      </c>
      <c r="G317">
        <v>79</v>
      </c>
      <c r="H317">
        <f>IF(COUNTIF(Sheet2!A:A,A317)&gt;0,VLOOKUP(A317,Sheet2!A:B,2,FALSE),"Not Found")</f>
        <v>0</v>
      </c>
      <c r="I317" t="str">
        <f t="shared" si="4"/>
        <v>Match</v>
      </c>
    </row>
    <row r="318" spans="1:9" x14ac:dyDescent="0.35">
      <c r="A318" s="1" t="s">
        <v>168</v>
      </c>
      <c r="B318">
        <v>0</v>
      </c>
      <c r="D318" t="s">
        <v>310</v>
      </c>
      <c r="E318">
        <v>0</v>
      </c>
      <c r="F318" t="s">
        <v>498</v>
      </c>
      <c r="G318">
        <v>79</v>
      </c>
      <c r="H318">
        <f>IF(COUNTIF(Sheet2!A:A,A318)&gt;0,VLOOKUP(A318,Sheet2!A:B,2,FALSE),"Not Found")</f>
        <v>0</v>
      </c>
      <c r="I318" t="str">
        <f t="shared" si="4"/>
        <v>Match</v>
      </c>
    </row>
    <row r="319" spans="1:9" x14ac:dyDescent="0.35">
      <c r="A319" s="1" t="s">
        <v>293</v>
      </c>
      <c r="B319">
        <v>0</v>
      </c>
      <c r="D319" t="s">
        <v>311</v>
      </c>
      <c r="E319">
        <v>0</v>
      </c>
      <c r="F319" t="s">
        <v>498</v>
      </c>
      <c r="G319">
        <v>79</v>
      </c>
      <c r="H319">
        <f>IF(COUNTIF(Sheet2!A:A,A319)&gt;0,VLOOKUP(A319,Sheet2!A:B,2,FALSE),"Not Found")</f>
        <v>0</v>
      </c>
      <c r="I319" t="str">
        <f t="shared" si="4"/>
        <v>Match</v>
      </c>
    </row>
    <row r="320" spans="1:9" x14ac:dyDescent="0.35">
      <c r="A320" s="1" t="s">
        <v>76</v>
      </c>
      <c r="B320">
        <v>0</v>
      </c>
      <c r="D320" t="s">
        <v>312</v>
      </c>
      <c r="E320">
        <v>0</v>
      </c>
      <c r="F320" t="s">
        <v>498</v>
      </c>
      <c r="G320">
        <v>79</v>
      </c>
      <c r="H320">
        <f>IF(COUNTIF(Sheet2!A:A,A320)&gt;0,VLOOKUP(A320,Sheet2!A:B,2,FALSE),"Not Found")</f>
        <v>0</v>
      </c>
      <c r="I320" t="str">
        <f t="shared" si="4"/>
        <v>Match</v>
      </c>
    </row>
    <row r="321" spans="1:9" x14ac:dyDescent="0.35">
      <c r="A321" s="1" t="s">
        <v>294</v>
      </c>
      <c r="B321">
        <v>0</v>
      </c>
      <c r="D321" t="s">
        <v>313</v>
      </c>
      <c r="E321">
        <v>0</v>
      </c>
      <c r="F321" t="s">
        <v>498</v>
      </c>
      <c r="G321">
        <v>79</v>
      </c>
      <c r="H321">
        <f>IF(COUNTIF(Sheet2!A:A,A321)&gt;0,VLOOKUP(A321,Sheet2!A:B,2,FALSE),"Not Found")</f>
        <v>0</v>
      </c>
      <c r="I321" t="str">
        <f t="shared" si="4"/>
        <v>Match</v>
      </c>
    </row>
    <row r="322" spans="1:9" x14ac:dyDescent="0.35">
      <c r="A322" s="1" t="s">
        <v>223</v>
      </c>
      <c r="B322">
        <v>0</v>
      </c>
      <c r="D322" t="s">
        <v>314</v>
      </c>
      <c r="E322">
        <v>0</v>
      </c>
      <c r="F322" t="s">
        <v>498</v>
      </c>
      <c r="G322">
        <v>79</v>
      </c>
      <c r="H322">
        <f>IF(COUNTIF(Sheet2!A:A,A322)&gt;0,VLOOKUP(A322,Sheet2!A:B,2,FALSE),"Not Found")</f>
        <v>0</v>
      </c>
      <c r="I322" t="str">
        <f t="shared" si="4"/>
        <v>Match</v>
      </c>
    </row>
    <row r="323" spans="1:9" x14ac:dyDescent="0.35">
      <c r="A323" s="1" t="s">
        <v>71</v>
      </c>
      <c r="B323">
        <v>13119254</v>
      </c>
      <c r="D323" t="s">
        <v>315</v>
      </c>
      <c r="E323">
        <v>0</v>
      </c>
      <c r="F323" t="s">
        <v>498</v>
      </c>
      <c r="G323">
        <v>79</v>
      </c>
      <c r="H323">
        <f>IF(COUNTIF(Sheet2!A:A,A323)&gt;0,VLOOKUP(A323,Sheet2!A:B,2,FALSE),"Not Found")</f>
        <v>13119254</v>
      </c>
      <c r="I323" t="str">
        <f t="shared" ref="I323:I359" si="5">IF(B323=H323,"Match","Mis Match")</f>
        <v>Match</v>
      </c>
    </row>
    <row r="324" spans="1:9" x14ac:dyDescent="0.35">
      <c r="A324" s="1" t="s">
        <v>350</v>
      </c>
      <c r="B324">
        <v>0</v>
      </c>
      <c r="D324" t="s">
        <v>316</v>
      </c>
      <c r="E324">
        <v>0</v>
      </c>
      <c r="F324" t="s">
        <v>498</v>
      </c>
      <c r="G324">
        <v>79</v>
      </c>
      <c r="H324">
        <f>IF(COUNTIF(Sheet2!A:A,A324)&gt;0,VLOOKUP(A324,Sheet2!A:B,2,FALSE),"Not Found")</f>
        <v>0</v>
      </c>
      <c r="I324" t="str">
        <f t="shared" si="5"/>
        <v>Match</v>
      </c>
    </row>
    <row r="325" spans="1:9" x14ac:dyDescent="0.35">
      <c r="A325" s="1" t="s">
        <v>54</v>
      </c>
      <c r="B325">
        <v>2328237</v>
      </c>
      <c r="D325" t="s">
        <v>317</v>
      </c>
      <c r="E325">
        <v>0</v>
      </c>
      <c r="F325" t="s">
        <v>498</v>
      </c>
      <c r="G325">
        <v>79</v>
      </c>
      <c r="H325">
        <f>IF(COUNTIF(Sheet2!A:A,A325)&gt;0,VLOOKUP(A325,Sheet2!A:B,2,FALSE),"Not Found")</f>
        <v>2328237</v>
      </c>
      <c r="I325" t="str">
        <f t="shared" si="5"/>
        <v>Match</v>
      </c>
    </row>
    <row r="326" spans="1:9" x14ac:dyDescent="0.35">
      <c r="A326" s="1" t="s">
        <v>51</v>
      </c>
      <c r="B326">
        <v>0</v>
      </c>
      <c r="D326" t="s">
        <v>318</v>
      </c>
      <c r="E326">
        <v>0</v>
      </c>
      <c r="F326" t="s">
        <v>579</v>
      </c>
      <c r="G326">
        <v>47</v>
      </c>
      <c r="H326">
        <f>IF(COUNTIF(Sheet2!A:A,A326)&gt;0,VLOOKUP(A326,Sheet2!A:B,2,FALSE),"Not Found")</f>
        <v>0</v>
      </c>
      <c r="I326" t="str">
        <f t="shared" si="5"/>
        <v>Match</v>
      </c>
    </row>
    <row r="327" spans="1:9" x14ac:dyDescent="0.35">
      <c r="A327" s="1" t="s">
        <v>318</v>
      </c>
      <c r="B327">
        <v>0</v>
      </c>
      <c r="D327" t="s">
        <v>319</v>
      </c>
      <c r="E327">
        <v>0</v>
      </c>
      <c r="F327" t="s">
        <v>580</v>
      </c>
      <c r="G327">
        <v>50</v>
      </c>
      <c r="H327">
        <f>IF(COUNTIF(Sheet2!A:A,A327)&gt;0,VLOOKUP(A327,Sheet2!A:B,2,FALSE),"Not Found")</f>
        <v>0</v>
      </c>
      <c r="I327" t="str">
        <f t="shared" si="5"/>
        <v>Match</v>
      </c>
    </row>
    <row r="328" spans="1:9" x14ac:dyDescent="0.35">
      <c r="A328" s="1" t="s">
        <v>52</v>
      </c>
      <c r="B328">
        <v>0</v>
      </c>
      <c r="D328" t="s">
        <v>0</v>
      </c>
      <c r="E328">
        <v>0</v>
      </c>
      <c r="F328" t="s">
        <v>540</v>
      </c>
      <c r="G328">
        <v>62</v>
      </c>
      <c r="H328">
        <f>IF(COUNTIF(Sheet2!A:A,A328)&gt;0,VLOOKUP(A328,Sheet2!A:B,2,FALSE),"Not Found")</f>
        <v>0</v>
      </c>
      <c r="I328" t="str">
        <f t="shared" si="5"/>
        <v>Match</v>
      </c>
    </row>
    <row r="329" spans="1:9" x14ac:dyDescent="0.35">
      <c r="A329" s="1" t="s">
        <v>49</v>
      </c>
      <c r="B329">
        <v>0</v>
      </c>
      <c r="D329" t="s">
        <v>320</v>
      </c>
      <c r="E329">
        <v>0</v>
      </c>
      <c r="F329" t="s">
        <v>540</v>
      </c>
      <c r="G329">
        <v>62</v>
      </c>
      <c r="H329">
        <f>IF(COUNTIF(Sheet2!A:A,A329)&gt;0,VLOOKUP(A329,Sheet2!A:B,2,FALSE),"Not Found")</f>
        <v>0</v>
      </c>
      <c r="I329" t="str">
        <f t="shared" si="5"/>
        <v>Match</v>
      </c>
    </row>
    <row r="330" spans="1:9" x14ac:dyDescent="0.35">
      <c r="A330" s="1" t="s">
        <v>150</v>
      </c>
      <c r="B330">
        <v>0</v>
      </c>
      <c r="D330" t="s">
        <v>321</v>
      </c>
      <c r="E330">
        <v>0</v>
      </c>
      <c r="F330" t="s">
        <v>581</v>
      </c>
      <c r="G330">
        <v>45</v>
      </c>
      <c r="H330">
        <f>IF(COUNTIF(Sheet2!A:A,A330)&gt;0,VLOOKUP(A330,Sheet2!A:B,2,FALSE),"Not Found")</f>
        <v>0</v>
      </c>
      <c r="I330" t="str">
        <f t="shared" si="5"/>
        <v>Match</v>
      </c>
    </row>
    <row r="331" spans="1:9" x14ac:dyDescent="0.35">
      <c r="A331" s="1" t="s">
        <v>322</v>
      </c>
      <c r="B331">
        <v>0</v>
      </c>
      <c r="D331" t="s">
        <v>180</v>
      </c>
      <c r="E331">
        <v>0</v>
      </c>
      <c r="F331" t="s">
        <v>541</v>
      </c>
      <c r="G331">
        <v>55</v>
      </c>
      <c r="H331">
        <f>IF(COUNTIF(Sheet2!A:A,A331)&gt;0,VLOOKUP(A331,Sheet2!A:B,2,FALSE),"Not Found")</f>
        <v>0</v>
      </c>
      <c r="I331" t="str">
        <f t="shared" si="5"/>
        <v>Match</v>
      </c>
    </row>
    <row r="332" spans="1:9" x14ac:dyDescent="0.35">
      <c r="A332" s="1" t="s">
        <v>50</v>
      </c>
      <c r="B332">
        <v>0</v>
      </c>
      <c r="D332" t="s">
        <v>322</v>
      </c>
      <c r="E332">
        <v>0</v>
      </c>
      <c r="F332" t="s">
        <v>582</v>
      </c>
      <c r="G332">
        <v>58</v>
      </c>
      <c r="H332">
        <f>IF(COUNTIF(Sheet2!A:A,A332)&gt;0,VLOOKUP(A332,Sheet2!A:B,2,FALSE),"Not Found")</f>
        <v>0</v>
      </c>
      <c r="I332" t="str">
        <f t="shared" si="5"/>
        <v>Match</v>
      </c>
    </row>
    <row r="333" spans="1:9" x14ac:dyDescent="0.35">
      <c r="A333" s="1" t="s">
        <v>355</v>
      </c>
      <c r="B333">
        <v>0</v>
      </c>
      <c r="D333" t="s">
        <v>323</v>
      </c>
      <c r="E333">
        <v>0</v>
      </c>
      <c r="F333" t="s">
        <v>479</v>
      </c>
      <c r="G333">
        <v>69</v>
      </c>
      <c r="H333">
        <f>IF(COUNTIF(Sheet2!A:A,A333)&gt;0,VLOOKUP(A333,Sheet2!A:B,2,FALSE),"Not Found")</f>
        <v>0</v>
      </c>
      <c r="I333" t="str">
        <f t="shared" si="5"/>
        <v>Match</v>
      </c>
    </row>
    <row r="334" spans="1:9" x14ac:dyDescent="0.35">
      <c r="A334" s="1" t="s">
        <v>193</v>
      </c>
      <c r="B334">
        <v>0</v>
      </c>
      <c r="D334" t="s">
        <v>320</v>
      </c>
      <c r="E334">
        <v>0</v>
      </c>
      <c r="F334" t="s">
        <v>479</v>
      </c>
      <c r="G334">
        <v>69</v>
      </c>
      <c r="H334">
        <f>IF(COUNTIF(Sheet2!A:A,A334)&gt;0,VLOOKUP(A334,Sheet2!A:B,2,FALSE),"Not Found")</f>
        <v>0</v>
      </c>
      <c r="I334" t="str">
        <f t="shared" si="5"/>
        <v>Match</v>
      </c>
    </row>
    <row r="335" spans="1:9" x14ac:dyDescent="0.35">
      <c r="A335" s="1" t="s">
        <v>224</v>
      </c>
      <c r="B335">
        <v>0</v>
      </c>
      <c r="D335" t="s">
        <v>324</v>
      </c>
      <c r="E335">
        <v>0</v>
      </c>
      <c r="F335" t="s">
        <v>583</v>
      </c>
      <c r="G335">
        <v>71</v>
      </c>
      <c r="H335">
        <f>IF(COUNTIF(Sheet2!A:A,A335)&gt;0,VLOOKUP(A335,Sheet2!A:B,2,FALSE),"Not Found")</f>
        <v>0</v>
      </c>
      <c r="I335" t="str">
        <f t="shared" si="5"/>
        <v>Match</v>
      </c>
    </row>
    <row r="336" spans="1:9" x14ac:dyDescent="0.35">
      <c r="A336" s="1" t="s">
        <v>192</v>
      </c>
      <c r="B336">
        <v>0</v>
      </c>
      <c r="D336" t="s">
        <v>325</v>
      </c>
      <c r="E336">
        <v>0</v>
      </c>
      <c r="F336" t="s">
        <v>508</v>
      </c>
      <c r="G336">
        <v>6</v>
      </c>
      <c r="H336">
        <f>IF(COUNTIF(Sheet2!A:A,A336)&gt;0,VLOOKUP(A336,Sheet2!A:B,2,FALSE),"Not Found")</f>
        <v>0</v>
      </c>
      <c r="I336" t="str">
        <f t="shared" si="5"/>
        <v>Match</v>
      </c>
    </row>
    <row r="337" spans="1:9" x14ac:dyDescent="0.35">
      <c r="A337" s="1" t="s">
        <v>353</v>
      </c>
      <c r="B337">
        <v>0</v>
      </c>
      <c r="D337" t="s">
        <v>326</v>
      </c>
      <c r="E337">
        <v>183</v>
      </c>
      <c r="F337" t="s">
        <v>508</v>
      </c>
      <c r="G337">
        <v>6</v>
      </c>
      <c r="H337">
        <f>IF(COUNTIF(Sheet2!A:A,A337)&gt;0,VLOOKUP(A337,Sheet2!A:B,2,FALSE),"Not Found")</f>
        <v>0</v>
      </c>
      <c r="I337" t="str">
        <f t="shared" si="5"/>
        <v>Match</v>
      </c>
    </row>
    <row r="338" spans="1:9" x14ac:dyDescent="0.35">
      <c r="A338" s="1" t="s">
        <v>274</v>
      </c>
      <c r="B338">
        <v>0</v>
      </c>
      <c r="D338" t="s">
        <v>327</v>
      </c>
      <c r="E338">
        <v>0</v>
      </c>
      <c r="F338" t="s">
        <v>544</v>
      </c>
      <c r="G338">
        <v>13</v>
      </c>
      <c r="H338">
        <f>IF(COUNTIF(Sheet2!A:A,A338)&gt;0,VLOOKUP(A338,Sheet2!A:B,2,FALSE),"Not Found")</f>
        <v>0</v>
      </c>
      <c r="I338" t="str">
        <f t="shared" si="5"/>
        <v>Match</v>
      </c>
    </row>
    <row r="339" spans="1:9" x14ac:dyDescent="0.35">
      <c r="A339" s="1" t="s">
        <v>225</v>
      </c>
      <c r="B339">
        <v>0</v>
      </c>
      <c r="D339" t="s">
        <v>328</v>
      </c>
      <c r="E339">
        <v>0</v>
      </c>
      <c r="F339" t="s">
        <v>512</v>
      </c>
      <c r="G339">
        <v>34</v>
      </c>
      <c r="H339">
        <f>IF(COUNTIF(Sheet2!A:A,A339)&gt;0,VLOOKUP(A339,Sheet2!A:B,2,FALSE),"Not Found")</f>
        <v>0</v>
      </c>
      <c r="I339" t="str">
        <f t="shared" si="5"/>
        <v>Match</v>
      </c>
    </row>
    <row r="340" spans="1:9" x14ac:dyDescent="0.35">
      <c r="A340" s="1" t="s">
        <v>321</v>
      </c>
      <c r="B340">
        <v>0</v>
      </c>
      <c r="D340" t="s">
        <v>329</v>
      </c>
      <c r="E340">
        <v>0</v>
      </c>
      <c r="F340" t="s">
        <v>554</v>
      </c>
      <c r="G340">
        <v>31</v>
      </c>
      <c r="H340">
        <f>IF(COUNTIF(Sheet2!A:A,A340)&gt;0,VLOOKUP(A340,Sheet2!A:B,2,FALSE),"Not Found")</f>
        <v>0</v>
      </c>
      <c r="I340" t="str">
        <f t="shared" si="5"/>
        <v>Match</v>
      </c>
    </row>
    <row r="341" spans="1:9" x14ac:dyDescent="0.35">
      <c r="A341" s="1" t="s">
        <v>55</v>
      </c>
      <c r="B341">
        <v>0</v>
      </c>
      <c r="D341" t="s">
        <v>330</v>
      </c>
      <c r="E341">
        <v>0</v>
      </c>
      <c r="F341" t="s">
        <v>549</v>
      </c>
      <c r="G341">
        <v>67</v>
      </c>
      <c r="H341">
        <f>IF(COUNTIF(Sheet2!A:A,A341)&gt;0,VLOOKUP(A341,Sheet2!A:B,2,FALSE),"Not Found")</f>
        <v>0</v>
      </c>
      <c r="I341" t="str">
        <f t="shared" si="5"/>
        <v>Match</v>
      </c>
    </row>
    <row r="342" spans="1:9" s="6" customFormat="1" x14ac:dyDescent="0.35">
      <c r="A342" s="5" t="s">
        <v>56</v>
      </c>
      <c r="B342" s="6">
        <v>0</v>
      </c>
      <c r="D342" s="6" t="s">
        <v>331</v>
      </c>
      <c r="E342" s="6">
        <v>0</v>
      </c>
      <c r="F342" s="6" t="s">
        <v>492</v>
      </c>
      <c r="G342" s="6">
        <v>86</v>
      </c>
      <c r="H342" s="6" t="str">
        <f>IF(COUNTIF(Sheet2!A:A,A342)&gt;0,VLOOKUP(A342,Sheet2!A:B,2,FALSE),"Not Found")</f>
        <v>Not Found</v>
      </c>
      <c r="I342" s="6" t="str">
        <f t="shared" si="5"/>
        <v>Mis Match</v>
      </c>
    </row>
    <row r="343" spans="1:9" x14ac:dyDescent="0.35">
      <c r="A343" s="1" t="s">
        <v>275</v>
      </c>
      <c r="B343">
        <v>0</v>
      </c>
      <c r="D343" t="s">
        <v>332</v>
      </c>
      <c r="E343">
        <v>0</v>
      </c>
      <c r="F343" t="s">
        <v>492</v>
      </c>
      <c r="G343">
        <v>86</v>
      </c>
      <c r="H343">
        <f>IF(COUNTIF(Sheet2!A:A,A343)&gt;0,VLOOKUP(A343,Sheet2!A:B,2,FALSE),"Not Found")</f>
        <v>0</v>
      </c>
      <c r="I343" t="str">
        <f t="shared" si="5"/>
        <v>Match</v>
      </c>
    </row>
    <row r="344" spans="1:9" x14ac:dyDescent="0.35">
      <c r="A344" s="1" t="s">
        <v>105</v>
      </c>
      <c r="B344">
        <v>0</v>
      </c>
      <c r="D344" t="s">
        <v>333</v>
      </c>
      <c r="E344">
        <v>0</v>
      </c>
      <c r="F344" t="s">
        <v>492</v>
      </c>
      <c r="G344">
        <v>86</v>
      </c>
      <c r="H344">
        <f>IF(COUNTIF(Sheet2!A:A,A344)&gt;0,VLOOKUP(A344,Sheet2!A:B,2,FALSE),"Not Found")</f>
        <v>0</v>
      </c>
      <c r="I344" t="str">
        <f t="shared" si="5"/>
        <v>Match</v>
      </c>
    </row>
    <row r="345" spans="1:9" x14ac:dyDescent="0.35">
      <c r="A345" s="1" t="s">
        <v>180</v>
      </c>
      <c r="B345">
        <v>0</v>
      </c>
      <c r="D345" t="s">
        <v>334</v>
      </c>
      <c r="E345">
        <v>0</v>
      </c>
      <c r="F345" t="s">
        <v>492</v>
      </c>
      <c r="G345">
        <v>86</v>
      </c>
      <c r="H345">
        <f>IF(COUNTIF(Sheet2!A:A,A345)&gt;0,VLOOKUP(A345,Sheet2!A:B,2,FALSE),"Not Found")</f>
        <v>0</v>
      </c>
      <c r="I345" t="str">
        <f t="shared" si="5"/>
        <v>Match</v>
      </c>
    </row>
    <row r="346" spans="1:9" x14ac:dyDescent="0.35">
      <c r="A346" s="1" t="s">
        <v>129</v>
      </c>
      <c r="B346">
        <v>0</v>
      </c>
      <c r="D346" t="s">
        <v>335</v>
      </c>
      <c r="E346">
        <v>0</v>
      </c>
      <c r="F346" t="s">
        <v>584</v>
      </c>
      <c r="G346">
        <v>7</v>
      </c>
      <c r="H346">
        <f>IF(COUNTIF(Sheet2!A:A,A346)&gt;0,VLOOKUP(A346,Sheet2!A:B,2,FALSE),"Not Found")</f>
        <v>0</v>
      </c>
      <c r="I346" t="str">
        <f t="shared" si="5"/>
        <v>Match</v>
      </c>
    </row>
    <row r="347" spans="1:9" x14ac:dyDescent="0.35">
      <c r="A347" s="1" t="s">
        <v>256</v>
      </c>
      <c r="B347">
        <v>0</v>
      </c>
      <c r="D347" t="s">
        <v>336</v>
      </c>
      <c r="E347">
        <v>0</v>
      </c>
      <c r="F347" t="s">
        <v>493</v>
      </c>
      <c r="G347">
        <v>1</v>
      </c>
      <c r="H347">
        <f>IF(COUNTIF(Sheet2!A:A,A347)&gt;0,VLOOKUP(A347,Sheet2!A:B,2,FALSE),"Not Found")</f>
        <v>0</v>
      </c>
      <c r="I347" t="str">
        <f t="shared" si="5"/>
        <v>Match</v>
      </c>
    </row>
    <row r="348" spans="1:9" x14ac:dyDescent="0.35">
      <c r="A348" s="1" t="s">
        <v>226</v>
      </c>
      <c r="B348">
        <v>0</v>
      </c>
      <c r="D348" t="s">
        <v>337</v>
      </c>
      <c r="E348">
        <v>0</v>
      </c>
      <c r="F348" t="s">
        <v>493</v>
      </c>
      <c r="G348">
        <v>1</v>
      </c>
      <c r="H348">
        <f>IF(COUNTIF(Sheet2!A:A,A348)&gt;0,VLOOKUP(A348,Sheet2!A:B,2,FALSE),"Not Found")</f>
        <v>0</v>
      </c>
      <c r="I348" t="str">
        <f t="shared" si="5"/>
        <v>Match</v>
      </c>
    </row>
    <row r="349" spans="1:9" x14ac:dyDescent="0.35">
      <c r="A349" s="1" t="s">
        <v>227</v>
      </c>
      <c r="B349">
        <v>0</v>
      </c>
      <c r="D349" t="s">
        <v>338</v>
      </c>
      <c r="E349">
        <v>4200782</v>
      </c>
      <c r="F349" t="s">
        <v>493</v>
      </c>
      <c r="G349">
        <v>1</v>
      </c>
      <c r="H349">
        <f>IF(COUNTIF(Sheet2!A:A,A349)&gt;0,VLOOKUP(A349,Sheet2!A:B,2,FALSE),"Not Found")</f>
        <v>0</v>
      </c>
      <c r="I349" t="str">
        <f t="shared" si="5"/>
        <v>Match</v>
      </c>
    </row>
    <row r="350" spans="1:9" x14ac:dyDescent="0.35">
      <c r="A350" s="1" t="s">
        <v>57</v>
      </c>
      <c r="B350">
        <v>0</v>
      </c>
      <c r="D350" t="s">
        <v>339</v>
      </c>
      <c r="E350">
        <v>0</v>
      </c>
      <c r="F350" t="s">
        <v>585</v>
      </c>
      <c r="G350">
        <v>74</v>
      </c>
      <c r="H350">
        <f>IF(COUNTIF(Sheet2!A:A,A350)&gt;0,VLOOKUP(A350,Sheet2!A:B,2,FALSE),"Not Found")</f>
        <v>0</v>
      </c>
      <c r="I350" t="str">
        <f t="shared" si="5"/>
        <v>Match</v>
      </c>
    </row>
    <row r="351" spans="1:9" x14ac:dyDescent="0.35">
      <c r="A351" s="1" t="s">
        <v>47</v>
      </c>
      <c r="B351">
        <v>0</v>
      </c>
      <c r="D351" t="s">
        <v>340</v>
      </c>
      <c r="E351">
        <v>0</v>
      </c>
      <c r="F351" t="s">
        <v>586</v>
      </c>
      <c r="G351">
        <v>89</v>
      </c>
      <c r="H351">
        <f>IF(COUNTIF(Sheet2!A:A,A351)&gt;0,VLOOKUP(A351,Sheet2!A:B,2,FALSE),"Not Found")</f>
        <v>0</v>
      </c>
      <c r="I351" t="str">
        <f t="shared" si="5"/>
        <v>Match</v>
      </c>
    </row>
    <row r="352" spans="1:9" x14ac:dyDescent="0.35">
      <c r="A352" s="1" t="s">
        <v>319</v>
      </c>
      <c r="B352">
        <v>0</v>
      </c>
      <c r="D352" t="s">
        <v>341</v>
      </c>
      <c r="E352">
        <v>0</v>
      </c>
      <c r="F352" t="s">
        <v>587</v>
      </c>
      <c r="G352">
        <v>76</v>
      </c>
      <c r="H352">
        <f>IF(COUNTIF(Sheet2!A:A,A352)&gt;0,VLOOKUP(A352,Sheet2!A:B,2,FALSE),"Not Found")</f>
        <v>0</v>
      </c>
      <c r="I352" t="str">
        <f t="shared" si="5"/>
        <v>Match</v>
      </c>
    </row>
    <row r="353" spans="1:9" x14ac:dyDescent="0.35">
      <c r="A353" s="1" t="s">
        <v>356</v>
      </c>
      <c r="B353">
        <v>0</v>
      </c>
      <c r="D353" t="s">
        <v>342</v>
      </c>
      <c r="E353">
        <v>0</v>
      </c>
      <c r="F353" t="s">
        <v>588</v>
      </c>
      <c r="G353">
        <v>77</v>
      </c>
      <c r="H353">
        <f>IF(COUNTIF(Sheet2!A:A,A353)&gt;0,VLOOKUP(A353,Sheet2!A:B,2,FALSE),"Not Found")</f>
        <v>0</v>
      </c>
      <c r="I353" t="str">
        <f t="shared" si="5"/>
        <v>Match</v>
      </c>
    </row>
    <row r="354" spans="1:9" x14ac:dyDescent="0.35">
      <c r="A354" s="1" t="s">
        <v>152</v>
      </c>
      <c r="B354">
        <v>0</v>
      </c>
      <c r="D354" t="s">
        <v>343</v>
      </c>
      <c r="E354">
        <v>0</v>
      </c>
      <c r="F354" t="s">
        <v>498</v>
      </c>
      <c r="G354">
        <v>79</v>
      </c>
      <c r="H354">
        <f>IF(COUNTIF(Sheet2!A:A,A354)&gt;0,VLOOKUP(A354,Sheet2!A:B,2,FALSE),"Not Found")</f>
        <v>0</v>
      </c>
      <c r="I354" t="str">
        <f t="shared" si="5"/>
        <v>Match</v>
      </c>
    </row>
    <row r="355" spans="1:9" x14ac:dyDescent="0.35">
      <c r="A355" s="1" t="s">
        <v>53</v>
      </c>
      <c r="B355">
        <v>0</v>
      </c>
      <c r="D355" t="s">
        <v>344</v>
      </c>
      <c r="E355">
        <v>0</v>
      </c>
      <c r="F355" t="s">
        <v>498</v>
      </c>
      <c r="G355">
        <v>79</v>
      </c>
      <c r="H355">
        <f>IF(COUNTIF(Sheet2!A:A,A355)&gt;0,VLOOKUP(A355,Sheet2!A:B,2,FALSE),"Not Found")</f>
        <v>0</v>
      </c>
      <c r="I355" t="str">
        <f t="shared" si="5"/>
        <v>Match</v>
      </c>
    </row>
    <row r="356" spans="1:9" x14ac:dyDescent="0.35">
      <c r="A356" s="1" t="s">
        <v>272</v>
      </c>
      <c r="B356">
        <v>0</v>
      </c>
      <c r="D356" t="s">
        <v>345</v>
      </c>
      <c r="E356">
        <v>0</v>
      </c>
      <c r="F356" t="s">
        <v>498</v>
      </c>
      <c r="G356">
        <v>79</v>
      </c>
      <c r="H356">
        <f>IF(COUNTIF(Sheet2!A:A,A356)&gt;0,VLOOKUP(A356,Sheet2!A:B,2,FALSE),"Not Found")</f>
        <v>0</v>
      </c>
      <c r="I356" t="str">
        <f t="shared" si="5"/>
        <v>Match</v>
      </c>
    </row>
    <row r="357" spans="1:9" x14ac:dyDescent="0.35">
      <c r="A357" s="1" t="s">
        <v>315</v>
      </c>
      <c r="B357">
        <v>0</v>
      </c>
      <c r="D357" t="s">
        <v>346</v>
      </c>
      <c r="E357">
        <v>0</v>
      </c>
      <c r="F357" t="s">
        <v>498</v>
      </c>
      <c r="G357">
        <v>79</v>
      </c>
      <c r="H357">
        <f>IF(COUNTIF(Sheet2!A:A,A357)&gt;0,VLOOKUP(A357,Sheet2!A:B,2,FALSE),"Not Found")</f>
        <v>0</v>
      </c>
      <c r="I357" t="str">
        <f t="shared" si="5"/>
        <v>Match</v>
      </c>
    </row>
    <row r="358" spans="1:9" x14ac:dyDescent="0.35">
      <c r="A358" s="1" t="s">
        <v>102</v>
      </c>
      <c r="B358">
        <v>0</v>
      </c>
      <c r="D358" t="s">
        <v>347</v>
      </c>
      <c r="E358">
        <v>0</v>
      </c>
      <c r="F358" t="s">
        <v>498</v>
      </c>
      <c r="G358">
        <v>79</v>
      </c>
      <c r="H358">
        <f>IF(COUNTIF(Sheet2!A:A,A358)&gt;0,VLOOKUP(A358,Sheet2!A:B,2,FALSE),"Not Found")</f>
        <v>0</v>
      </c>
      <c r="I358" t="str">
        <f t="shared" si="5"/>
        <v>Match</v>
      </c>
    </row>
    <row r="359" spans="1:9" x14ac:dyDescent="0.35">
      <c r="A359" s="1" t="s">
        <v>474</v>
      </c>
      <c r="D359" t="s">
        <v>348</v>
      </c>
      <c r="E359">
        <v>0</v>
      </c>
      <c r="F359" t="s">
        <v>498</v>
      </c>
      <c r="G359">
        <v>79</v>
      </c>
      <c r="H359">
        <f>IF(COUNTIF(Sheet2!A:A,A359)&gt;0,VLOOKUP(A359,Sheet2!A:B,2,FALSE),"Not Found")</f>
        <v>0</v>
      </c>
      <c r="I359" t="str">
        <f t="shared" si="5"/>
        <v>Match</v>
      </c>
    </row>
    <row r="360" spans="1:9" x14ac:dyDescent="0.35">
      <c r="A360" s="1" t="s">
        <v>475</v>
      </c>
      <c r="B360">
        <v>136326574</v>
      </c>
      <c r="D360" t="s">
        <v>349</v>
      </c>
      <c r="E360">
        <v>0</v>
      </c>
      <c r="F360" t="s">
        <v>498</v>
      </c>
      <c r="G360">
        <v>79</v>
      </c>
    </row>
    <row r="361" spans="1:9" x14ac:dyDescent="0.35">
      <c r="D361" t="s">
        <v>350</v>
      </c>
      <c r="E361">
        <v>0</v>
      </c>
      <c r="F361" t="s">
        <v>498</v>
      </c>
      <c r="G361">
        <v>79</v>
      </c>
    </row>
    <row r="362" spans="1:9" x14ac:dyDescent="0.35">
      <c r="D362" t="s">
        <v>351</v>
      </c>
      <c r="E362">
        <v>0</v>
      </c>
      <c r="F362" t="s">
        <v>498</v>
      </c>
      <c r="G362">
        <v>79</v>
      </c>
    </row>
    <row r="363" spans="1:9" x14ac:dyDescent="0.35">
      <c r="D363" t="s">
        <v>352</v>
      </c>
      <c r="E363">
        <v>0</v>
      </c>
      <c r="F363" t="s">
        <v>498</v>
      </c>
      <c r="G363">
        <v>79</v>
      </c>
    </row>
    <row r="364" spans="1:9" x14ac:dyDescent="0.35">
      <c r="D364" t="s">
        <v>323</v>
      </c>
      <c r="E364">
        <v>0</v>
      </c>
      <c r="F364" t="s">
        <v>540</v>
      </c>
      <c r="G364">
        <v>62</v>
      </c>
    </row>
    <row r="365" spans="1:9" x14ac:dyDescent="0.35">
      <c r="D365" t="s">
        <v>353</v>
      </c>
      <c r="E365">
        <v>0</v>
      </c>
      <c r="F365" t="s">
        <v>589</v>
      </c>
      <c r="G365">
        <v>53</v>
      </c>
    </row>
    <row r="366" spans="1:9" x14ac:dyDescent="0.35">
      <c r="D366" t="s">
        <v>354</v>
      </c>
      <c r="E366">
        <v>0</v>
      </c>
      <c r="F366" t="s">
        <v>590</v>
      </c>
      <c r="G366">
        <v>54</v>
      </c>
    </row>
    <row r="367" spans="1:9" x14ac:dyDescent="0.35">
      <c r="D367" t="s">
        <v>355</v>
      </c>
      <c r="E367">
        <v>0</v>
      </c>
      <c r="F367" t="s">
        <v>591</v>
      </c>
      <c r="G367">
        <v>56</v>
      </c>
    </row>
    <row r="368" spans="1:9" x14ac:dyDescent="0.35">
      <c r="D368" t="s">
        <v>256</v>
      </c>
      <c r="E368">
        <v>0</v>
      </c>
      <c r="F368" t="s">
        <v>541</v>
      </c>
      <c r="G368">
        <v>55</v>
      </c>
    </row>
    <row r="369" spans="4:7" x14ac:dyDescent="0.35">
      <c r="D369" t="s">
        <v>356</v>
      </c>
      <c r="E369">
        <v>0</v>
      </c>
      <c r="F369" t="s">
        <v>542</v>
      </c>
      <c r="G369">
        <v>60</v>
      </c>
    </row>
  </sheetData>
  <autoFilter ref="D1:I369" xr:uid="{D5A96E12-9967-4298-AFDC-CF4D0D930B4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C17D4-8214-4D5D-AB12-6638BBDAECDF}">
  <dimension ref="A1:B359"/>
  <sheetViews>
    <sheetView workbookViewId="0">
      <selection activeCell="D9" sqref="D9"/>
    </sheetView>
  </sheetViews>
  <sheetFormatPr defaultRowHeight="14.5" x14ac:dyDescent="0.35"/>
  <cols>
    <col min="1" max="1" width="21.26953125" style="2" bestFit="1" customWidth="1"/>
    <col min="2" max="2" width="12.453125" style="2" bestFit="1" customWidth="1"/>
  </cols>
  <sheetData>
    <row r="1" spans="1:2" x14ac:dyDescent="0.35">
      <c r="A1" s="7" t="s">
        <v>594</v>
      </c>
      <c r="B1" t="s">
        <v>595</v>
      </c>
    </row>
    <row r="2" spans="1:2" x14ac:dyDescent="0.35">
      <c r="A2" s="1" t="s">
        <v>183</v>
      </c>
      <c r="B2">
        <v>0</v>
      </c>
    </row>
    <row r="3" spans="1:2" x14ac:dyDescent="0.35">
      <c r="A3" s="1" t="s">
        <v>308</v>
      </c>
      <c r="B3">
        <v>0</v>
      </c>
    </row>
    <row r="4" spans="1:2" x14ac:dyDescent="0.35">
      <c r="A4" s="1" t="s">
        <v>88</v>
      </c>
      <c r="B4">
        <v>0</v>
      </c>
    </row>
    <row r="5" spans="1:2" x14ac:dyDescent="0.35">
      <c r="A5" s="1" t="s">
        <v>182</v>
      </c>
      <c r="B5">
        <v>0</v>
      </c>
    </row>
    <row r="6" spans="1:2" x14ac:dyDescent="0.35">
      <c r="A6" s="1" t="s">
        <v>344</v>
      </c>
      <c r="B6">
        <v>0</v>
      </c>
    </row>
    <row r="7" spans="1:2" x14ac:dyDescent="0.35">
      <c r="A7" s="1" t="s">
        <v>149</v>
      </c>
      <c r="B7">
        <v>0</v>
      </c>
    </row>
    <row r="8" spans="1:2" x14ac:dyDescent="0.35">
      <c r="A8" s="1" t="s">
        <v>230</v>
      </c>
      <c r="B8">
        <v>54</v>
      </c>
    </row>
    <row r="9" spans="1:2" x14ac:dyDescent="0.35">
      <c r="A9" s="1" t="s">
        <v>58</v>
      </c>
      <c r="B9">
        <v>18</v>
      </c>
    </row>
    <row r="10" spans="1:2" x14ac:dyDescent="0.35">
      <c r="A10" s="1" t="s">
        <v>107</v>
      </c>
      <c r="B10">
        <v>40</v>
      </c>
    </row>
    <row r="11" spans="1:2" x14ac:dyDescent="0.35">
      <c r="A11" s="1" t="s">
        <v>326</v>
      </c>
      <c r="B11">
        <v>183</v>
      </c>
    </row>
    <row r="12" spans="1:2" x14ac:dyDescent="0.35">
      <c r="A12" s="1" t="s">
        <v>284</v>
      </c>
      <c r="B12">
        <v>481505</v>
      </c>
    </row>
    <row r="13" spans="1:2" x14ac:dyDescent="0.35">
      <c r="A13" s="1" t="s">
        <v>131</v>
      </c>
      <c r="B13">
        <v>0</v>
      </c>
    </row>
    <row r="14" spans="1:2" x14ac:dyDescent="0.35">
      <c r="A14" s="1" t="s">
        <v>160</v>
      </c>
      <c r="B14">
        <v>0</v>
      </c>
    </row>
    <row r="15" spans="1:2" x14ac:dyDescent="0.35">
      <c r="A15" s="1" t="s">
        <v>288</v>
      </c>
      <c r="B15">
        <v>0</v>
      </c>
    </row>
    <row r="16" spans="1:2" x14ac:dyDescent="0.35">
      <c r="A16" s="1" t="s">
        <v>260</v>
      </c>
      <c r="B16">
        <v>0</v>
      </c>
    </row>
    <row r="17" spans="1:2" x14ac:dyDescent="0.35">
      <c r="A17" s="1" t="s">
        <v>234</v>
      </c>
      <c r="B17">
        <v>0</v>
      </c>
    </row>
    <row r="18" spans="1:2" x14ac:dyDescent="0.35">
      <c r="A18" s="1" t="s">
        <v>108</v>
      </c>
      <c r="B18">
        <v>0</v>
      </c>
    </row>
    <row r="19" spans="1:2" x14ac:dyDescent="0.35">
      <c r="A19" s="1" t="s">
        <v>109</v>
      </c>
      <c r="B19">
        <v>0</v>
      </c>
    </row>
    <row r="20" spans="1:2" x14ac:dyDescent="0.35">
      <c r="A20" s="1" t="s">
        <v>194</v>
      </c>
      <c r="B20">
        <v>0</v>
      </c>
    </row>
    <row r="21" spans="1:2" x14ac:dyDescent="0.35">
      <c r="A21" s="1" t="s">
        <v>5</v>
      </c>
      <c r="B21">
        <v>0</v>
      </c>
    </row>
    <row r="22" spans="1:2" x14ac:dyDescent="0.35">
      <c r="A22" s="1" t="s">
        <v>325</v>
      </c>
      <c r="B22">
        <v>0</v>
      </c>
    </row>
    <row r="23" spans="1:2" x14ac:dyDescent="0.35">
      <c r="A23" s="1" t="s">
        <v>6</v>
      </c>
      <c r="B23">
        <v>4261</v>
      </c>
    </row>
    <row r="24" spans="1:2" x14ac:dyDescent="0.35">
      <c r="A24" s="1" t="s">
        <v>154</v>
      </c>
      <c r="B24">
        <v>9069</v>
      </c>
    </row>
    <row r="25" spans="1:2" x14ac:dyDescent="0.35">
      <c r="A25" s="1" t="s">
        <v>278</v>
      </c>
      <c r="B25">
        <v>2343</v>
      </c>
    </row>
    <row r="26" spans="1:2" x14ac:dyDescent="0.35">
      <c r="A26" s="1" t="s">
        <v>306</v>
      </c>
      <c r="B26">
        <v>0</v>
      </c>
    </row>
    <row r="27" spans="1:2" x14ac:dyDescent="0.35">
      <c r="A27" s="1" t="s">
        <v>83</v>
      </c>
      <c r="B27">
        <v>0</v>
      </c>
    </row>
    <row r="28" spans="1:2" x14ac:dyDescent="0.35">
      <c r="A28" s="1" t="s">
        <v>84</v>
      </c>
      <c r="B28">
        <v>0</v>
      </c>
    </row>
    <row r="29" spans="1:2" x14ac:dyDescent="0.35">
      <c r="A29" s="1" t="s">
        <v>10</v>
      </c>
      <c r="B29">
        <v>0</v>
      </c>
    </row>
    <row r="30" spans="1:2" x14ac:dyDescent="0.35">
      <c r="A30" s="1" t="s">
        <v>9</v>
      </c>
      <c r="B30">
        <v>0</v>
      </c>
    </row>
    <row r="31" spans="1:2" x14ac:dyDescent="0.35">
      <c r="A31" s="1" t="s">
        <v>232</v>
      </c>
      <c r="B31">
        <v>0</v>
      </c>
    </row>
    <row r="32" spans="1:2" x14ac:dyDescent="0.35">
      <c r="A32" s="1" t="s">
        <v>60</v>
      </c>
      <c r="B32">
        <v>0</v>
      </c>
    </row>
    <row r="33" spans="1:2" x14ac:dyDescent="0.35">
      <c r="A33" s="1" t="s">
        <v>7</v>
      </c>
      <c r="B33">
        <v>0</v>
      </c>
    </row>
    <row r="34" spans="1:2" x14ac:dyDescent="0.35">
      <c r="A34" s="1" t="s">
        <v>115</v>
      </c>
      <c r="B34">
        <v>2</v>
      </c>
    </row>
    <row r="35" spans="1:2" x14ac:dyDescent="0.35">
      <c r="A35" s="1" t="s">
        <v>201</v>
      </c>
      <c r="B35">
        <v>1</v>
      </c>
    </row>
    <row r="36" spans="1:2" x14ac:dyDescent="0.35">
      <c r="A36" s="1" t="s">
        <v>13</v>
      </c>
      <c r="B36">
        <v>2</v>
      </c>
    </row>
    <row r="37" spans="1:2" x14ac:dyDescent="0.35">
      <c r="A37" s="1" t="s">
        <v>70</v>
      </c>
      <c r="B37">
        <v>2</v>
      </c>
    </row>
    <row r="38" spans="1:2" x14ac:dyDescent="0.35">
      <c r="A38" s="1" t="s">
        <v>161</v>
      </c>
      <c r="B38">
        <v>4</v>
      </c>
    </row>
    <row r="39" spans="1:2" x14ac:dyDescent="0.35">
      <c r="A39" s="1" t="s">
        <v>116</v>
      </c>
      <c r="B39">
        <v>2</v>
      </c>
    </row>
    <row r="40" spans="1:2" x14ac:dyDescent="0.35">
      <c r="A40" s="1" t="s">
        <v>243</v>
      </c>
      <c r="B40">
        <v>0</v>
      </c>
    </row>
    <row r="41" spans="1:2" x14ac:dyDescent="0.35">
      <c r="A41" s="1" t="s">
        <v>162</v>
      </c>
      <c r="B41">
        <v>0</v>
      </c>
    </row>
    <row r="42" spans="1:2" x14ac:dyDescent="0.35">
      <c r="A42" s="1" t="s">
        <v>72</v>
      </c>
      <c r="B42">
        <v>0</v>
      </c>
    </row>
    <row r="43" spans="1:2" x14ac:dyDescent="0.35">
      <c r="A43" s="1" t="s">
        <v>35</v>
      </c>
      <c r="B43">
        <v>0</v>
      </c>
    </row>
    <row r="44" spans="1:2" x14ac:dyDescent="0.35">
      <c r="A44" s="1" t="s">
        <v>34</v>
      </c>
      <c r="B44">
        <v>0</v>
      </c>
    </row>
    <row r="45" spans="1:2" x14ac:dyDescent="0.35">
      <c r="A45" s="1" t="s">
        <v>16</v>
      </c>
      <c r="B45">
        <v>0</v>
      </c>
    </row>
    <row r="46" spans="1:2" x14ac:dyDescent="0.35">
      <c r="A46" s="1" t="s">
        <v>290</v>
      </c>
      <c r="B46">
        <v>0</v>
      </c>
    </row>
    <row r="47" spans="1:2" x14ac:dyDescent="0.35">
      <c r="A47" s="1" t="s">
        <v>120</v>
      </c>
      <c r="B47">
        <v>0</v>
      </c>
    </row>
    <row r="48" spans="1:2" x14ac:dyDescent="0.35">
      <c r="A48" s="1" t="s">
        <v>132</v>
      </c>
      <c r="B48">
        <v>0</v>
      </c>
    </row>
    <row r="49" spans="1:2" x14ac:dyDescent="0.35">
      <c r="A49" s="1" t="s">
        <v>309</v>
      </c>
      <c r="B49">
        <v>0</v>
      </c>
    </row>
    <row r="50" spans="1:2" x14ac:dyDescent="0.35">
      <c r="A50" s="1" t="s">
        <v>36</v>
      </c>
      <c r="B50">
        <v>0</v>
      </c>
    </row>
    <row r="51" spans="1:2" x14ac:dyDescent="0.35">
      <c r="A51" s="1" t="s">
        <v>176</v>
      </c>
      <c r="B51">
        <v>0</v>
      </c>
    </row>
    <row r="52" spans="1:2" x14ac:dyDescent="0.35">
      <c r="A52" s="1" t="s">
        <v>127</v>
      </c>
      <c r="B52">
        <v>0</v>
      </c>
    </row>
    <row r="53" spans="1:2" x14ac:dyDescent="0.35">
      <c r="A53" s="1" t="s">
        <v>28</v>
      </c>
      <c r="B53">
        <v>0</v>
      </c>
    </row>
    <row r="54" spans="1:2" x14ac:dyDescent="0.35">
      <c r="A54" s="1" t="s">
        <v>14</v>
      </c>
      <c r="B54">
        <v>2090896</v>
      </c>
    </row>
    <row r="55" spans="1:2" x14ac:dyDescent="0.35">
      <c r="A55" s="1" t="s">
        <v>37</v>
      </c>
      <c r="B55">
        <v>0</v>
      </c>
    </row>
    <row r="56" spans="1:2" x14ac:dyDescent="0.35">
      <c r="A56" s="1" t="s">
        <v>261</v>
      </c>
      <c r="B56">
        <v>0</v>
      </c>
    </row>
    <row r="57" spans="1:2" x14ac:dyDescent="0.35">
      <c r="A57" s="1" t="s">
        <v>217</v>
      </c>
      <c r="B57">
        <v>0</v>
      </c>
    </row>
    <row r="58" spans="1:2" x14ac:dyDescent="0.35">
      <c r="A58" s="1" t="s">
        <v>245</v>
      </c>
      <c r="B58">
        <v>0</v>
      </c>
    </row>
    <row r="59" spans="1:2" x14ac:dyDescent="0.35">
      <c r="A59" s="1" t="s">
        <v>257</v>
      </c>
      <c r="B59">
        <v>0</v>
      </c>
    </row>
    <row r="60" spans="1:2" x14ac:dyDescent="0.35">
      <c r="A60" s="1" t="s">
        <v>133</v>
      </c>
      <c r="B60">
        <v>0</v>
      </c>
    </row>
    <row r="61" spans="1:2" x14ac:dyDescent="0.35">
      <c r="A61" s="1" t="s">
        <v>134</v>
      </c>
      <c r="B61">
        <v>0</v>
      </c>
    </row>
    <row r="62" spans="1:2" x14ac:dyDescent="0.35">
      <c r="A62" s="1" t="s">
        <v>85</v>
      </c>
      <c r="B62">
        <v>0</v>
      </c>
    </row>
    <row r="63" spans="1:2" x14ac:dyDescent="0.35">
      <c r="A63" s="1" t="s">
        <v>15</v>
      </c>
      <c r="B63">
        <v>1186095</v>
      </c>
    </row>
    <row r="64" spans="1:2" x14ac:dyDescent="0.35">
      <c r="A64" s="1" t="s">
        <v>345</v>
      </c>
      <c r="B64">
        <v>0</v>
      </c>
    </row>
    <row r="65" spans="1:2" x14ac:dyDescent="0.35">
      <c r="A65" s="1" t="s">
        <v>184</v>
      </c>
      <c r="B65">
        <v>0</v>
      </c>
    </row>
    <row r="66" spans="1:2" x14ac:dyDescent="0.35">
      <c r="A66" s="1" t="s">
        <v>89</v>
      </c>
      <c r="B66">
        <v>0</v>
      </c>
    </row>
    <row r="67" spans="1:2" x14ac:dyDescent="0.35">
      <c r="A67" s="1" t="s">
        <v>346</v>
      </c>
      <c r="B67">
        <v>0</v>
      </c>
    </row>
    <row r="68" spans="1:2" x14ac:dyDescent="0.35">
      <c r="A68" s="1" t="s">
        <v>185</v>
      </c>
      <c r="B68">
        <v>0</v>
      </c>
    </row>
    <row r="69" spans="1:2" x14ac:dyDescent="0.35">
      <c r="A69" s="1" t="s">
        <v>135</v>
      </c>
      <c r="B69">
        <v>0</v>
      </c>
    </row>
    <row r="70" spans="1:2" x14ac:dyDescent="0.35">
      <c r="A70" s="1" t="s">
        <v>33</v>
      </c>
      <c r="B70">
        <v>0</v>
      </c>
    </row>
    <row r="71" spans="1:2" x14ac:dyDescent="0.35">
      <c r="A71" s="1" t="s">
        <v>8</v>
      </c>
      <c r="B71">
        <v>0</v>
      </c>
    </row>
    <row r="72" spans="1:2" x14ac:dyDescent="0.35">
      <c r="A72" s="1" t="s">
        <v>216</v>
      </c>
      <c r="B72">
        <v>0</v>
      </c>
    </row>
    <row r="73" spans="1:2" x14ac:dyDescent="0.35">
      <c r="A73" s="1" t="s">
        <v>343</v>
      </c>
      <c r="B73">
        <v>0</v>
      </c>
    </row>
    <row r="74" spans="1:2" x14ac:dyDescent="0.35">
      <c r="A74" s="1" t="s">
        <v>86</v>
      </c>
      <c r="B74">
        <v>0</v>
      </c>
    </row>
    <row r="75" spans="1:2" x14ac:dyDescent="0.35">
      <c r="A75" s="1" t="s">
        <v>123</v>
      </c>
      <c r="B75">
        <v>0</v>
      </c>
    </row>
    <row r="76" spans="1:2" x14ac:dyDescent="0.35">
      <c r="A76" s="1" t="s">
        <v>186</v>
      </c>
      <c r="B76">
        <v>0</v>
      </c>
    </row>
    <row r="77" spans="1:2" x14ac:dyDescent="0.35">
      <c r="A77" s="1" t="s">
        <v>289</v>
      </c>
      <c r="B77">
        <v>8564349</v>
      </c>
    </row>
    <row r="78" spans="1:2" x14ac:dyDescent="0.35">
      <c r="A78" s="1" t="s">
        <v>104</v>
      </c>
      <c r="B78">
        <v>0</v>
      </c>
    </row>
    <row r="79" spans="1:2" x14ac:dyDescent="0.35">
      <c r="A79" s="1" t="s">
        <v>90</v>
      </c>
      <c r="B79">
        <v>0</v>
      </c>
    </row>
    <row r="80" spans="1:2" x14ac:dyDescent="0.35">
      <c r="A80" s="1" t="s">
        <v>262</v>
      </c>
      <c r="B80">
        <v>0</v>
      </c>
    </row>
    <row r="81" spans="1:2" x14ac:dyDescent="0.35">
      <c r="A81" s="1" t="s">
        <v>219</v>
      </c>
      <c r="B81">
        <v>0</v>
      </c>
    </row>
    <row r="82" spans="1:2" x14ac:dyDescent="0.35">
      <c r="A82" s="1" t="s">
        <v>310</v>
      </c>
      <c r="B82">
        <v>0</v>
      </c>
    </row>
    <row r="83" spans="1:2" x14ac:dyDescent="0.35">
      <c r="A83" s="1" t="s">
        <v>263</v>
      </c>
      <c r="B83">
        <v>0</v>
      </c>
    </row>
    <row r="84" spans="1:2" x14ac:dyDescent="0.35">
      <c r="A84" s="1" t="s">
        <v>40</v>
      </c>
      <c r="B84">
        <v>0</v>
      </c>
    </row>
    <row r="85" spans="1:2" x14ac:dyDescent="0.35">
      <c r="A85" s="1" t="s">
        <v>92</v>
      </c>
      <c r="B85">
        <v>0</v>
      </c>
    </row>
    <row r="86" spans="1:2" x14ac:dyDescent="0.35">
      <c r="A86" s="1" t="s">
        <v>39</v>
      </c>
      <c r="B86">
        <v>0</v>
      </c>
    </row>
    <row r="87" spans="1:2" x14ac:dyDescent="0.35">
      <c r="A87" s="1" t="s">
        <v>32</v>
      </c>
      <c r="B87">
        <v>0</v>
      </c>
    </row>
    <row r="88" spans="1:2" x14ac:dyDescent="0.35">
      <c r="A88" s="1" t="s">
        <v>91</v>
      </c>
      <c r="B88">
        <v>0</v>
      </c>
    </row>
    <row r="89" spans="1:2" x14ac:dyDescent="0.35">
      <c r="A89" s="1" t="s">
        <v>218</v>
      </c>
      <c r="B89">
        <v>0</v>
      </c>
    </row>
    <row r="90" spans="1:2" x14ac:dyDescent="0.35">
      <c r="A90" s="1" t="s">
        <v>38</v>
      </c>
      <c r="B90">
        <v>0</v>
      </c>
    </row>
    <row r="91" spans="1:2" x14ac:dyDescent="0.35">
      <c r="A91" s="1" t="s">
        <v>151</v>
      </c>
      <c r="B91">
        <v>0</v>
      </c>
    </row>
    <row r="92" spans="1:2" x14ac:dyDescent="0.35">
      <c r="A92" s="1" t="s">
        <v>323</v>
      </c>
      <c r="B92">
        <v>0</v>
      </c>
    </row>
    <row r="93" spans="1:2" x14ac:dyDescent="0.35">
      <c r="A93" s="1" t="s">
        <v>320</v>
      </c>
      <c r="B93">
        <v>0</v>
      </c>
    </row>
    <row r="94" spans="1:2" x14ac:dyDescent="0.35">
      <c r="A94" s="1" t="s">
        <v>1</v>
      </c>
      <c r="B94">
        <v>0</v>
      </c>
    </row>
    <row r="95" spans="1:2" x14ac:dyDescent="0.35">
      <c r="A95" s="1" t="s">
        <v>117</v>
      </c>
      <c r="B95">
        <v>0</v>
      </c>
    </row>
    <row r="96" spans="1:2" x14ac:dyDescent="0.35">
      <c r="A96" s="1" t="s">
        <v>2</v>
      </c>
      <c r="B96">
        <v>0</v>
      </c>
    </row>
    <row r="97" spans="1:2" x14ac:dyDescent="0.35">
      <c r="A97" s="1" t="s">
        <v>0</v>
      </c>
      <c r="B97">
        <v>0</v>
      </c>
    </row>
    <row r="98" spans="1:2" x14ac:dyDescent="0.35">
      <c r="A98" s="1" t="s">
        <v>93</v>
      </c>
      <c r="B98">
        <v>0</v>
      </c>
    </row>
    <row r="99" spans="1:2" x14ac:dyDescent="0.35">
      <c r="A99" s="1" t="s">
        <v>187</v>
      </c>
      <c r="B99">
        <v>0</v>
      </c>
    </row>
    <row r="100" spans="1:2" x14ac:dyDescent="0.35">
      <c r="A100" s="1" t="s">
        <v>75</v>
      </c>
      <c r="B100">
        <v>0</v>
      </c>
    </row>
    <row r="101" spans="1:2" x14ac:dyDescent="0.35">
      <c r="A101" s="1" t="s">
        <v>203</v>
      </c>
      <c r="B101">
        <v>0</v>
      </c>
    </row>
    <row r="102" spans="1:2" x14ac:dyDescent="0.35">
      <c r="A102" s="1" t="s">
        <v>204</v>
      </c>
      <c r="B102">
        <v>0</v>
      </c>
    </row>
    <row r="103" spans="1:2" x14ac:dyDescent="0.35">
      <c r="A103" s="1" t="s">
        <v>74</v>
      </c>
      <c r="B103">
        <v>0</v>
      </c>
    </row>
    <row r="104" spans="1:2" x14ac:dyDescent="0.35">
      <c r="A104" s="1" t="s">
        <v>307</v>
      </c>
      <c r="B104">
        <v>0</v>
      </c>
    </row>
    <row r="105" spans="1:2" x14ac:dyDescent="0.35">
      <c r="A105" s="1" t="s">
        <v>264</v>
      </c>
      <c r="B105">
        <v>0</v>
      </c>
    </row>
    <row r="106" spans="1:2" x14ac:dyDescent="0.35">
      <c r="A106" s="1" t="s">
        <v>276</v>
      </c>
      <c r="B106">
        <v>0</v>
      </c>
    </row>
    <row r="107" spans="1:2" x14ac:dyDescent="0.35">
      <c r="A107" s="1" t="s">
        <v>136</v>
      </c>
      <c r="B107">
        <v>0</v>
      </c>
    </row>
    <row r="108" spans="1:2" x14ac:dyDescent="0.35">
      <c r="A108" s="1" t="s">
        <v>137</v>
      </c>
      <c r="B108">
        <v>0</v>
      </c>
    </row>
    <row r="109" spans="1:2" x14ac:dyDescent="0.35">
      <c r="A109" s="1" t="s">
        <v>94</v>
      </c>
      <c r="B109">
        <v>0</v>
      </c>
    </row>
    <row r="110" spans="1:2" x14ac:dyDescent="0.35">
      <c r="A110" s="1" t="s">
        <v>138</v>
      </c>
      <c r="B110">
        <v>0</v>
      </c>
    </row>
    <row r="111" spans="1:2" x14ac:dyDescent="0.35">
      <c r="A111" s="1" t="s">
        <v>220</v>
      </c>
      <c r="B111">
        <v>0</v>
      </c>
    </row>
    <row r="112" spans="1:2" x14ac:dyDescent="0.35">
      <c r="A112" s="1" t="s">
        <v>41</v>
      </c>
      <c r="B112">
        <v>0</v>
      </c>
    </row>
    <row r="113" spans="1:2" x14ac:dyDescent="0.35">
      <c r="A113" s="1" t="s">
        <v>139</v>
      </c>
      <c r="B113">
        <v>0</v>
      </c>
    </row>
    <row r="114" spans="1:2" x14ac:dyDescent="0.35">
      <c r="A114" s="1" t="s">
        <v>335</v>
      </c>
      <c r="B114">
        <v>0</v>
      </c>
    </row>
    <row r="115" spans="1:2" x14ac:dyDescent="0.35">
      <c r="A115" s="1" t="s">
        <v>4</v>
      </c>
      <c r="B115">
        <v>0</v>
      </c>
    </row>
    <row r="116" spans="1:2" x14ac:dyDescent="0.35">
      <c r="A116" s="1" t="s">
        <v>228</v>
      </c>
      <c r="B116">
        <v>0</v>
      </c>
    </row>
    <row r="117" spans="1:2" x14ac:dyDescent="0.35">
      <c r="A117" s="1" t="s">
        <v>324</v>
      </c>
      <c r="B117">
        <v>0</v>
      </c>
    </row>
    <row r="118" spans="1:2" x14ac:dyDescent="0.35">
      <c r="A118" s="1" t="s">
        <v>106</v>
      </c>
      <c r="B118">
        <v>0</v>
      </c>
    </row>
    <row r="119" spans="1:2" x14ac:dyDescent="0.35">
      <c r="A119" s="1" t="s">
        <v>229</v>
      </c>
      <c r="B119">
        <v>0</v>
      </c>
    </row>
    <row r="120" spans="1:2" x14ac:dyDescent="0.35">
      <c r="A120" s="1" t="s">
        <v>3</v>
      </c>
      <c r="B120">
        <v>0</v>
      </c>
    </row>
    <row r="121" spans="1:2" x14ac:dyDescent="0.35">
      <c r="A121" s="1" t="s">
        <v>330</v>
      </c>
      <c r="B121">
        <v>0</v>
      </c>
    </row>
    <row r="122" spans="1:2" x14ac:dyDescent="0.35">
      <c r="A122" s="1" t="s">
        <v>165</v>
      </c>
      <c r="B122">
        <v>0</v>
      </c>
    </row>
    <row r="123" spans="1:2" x14ac:dyDescent="0.35">
      <c r="A123" s="1" t="s">
        <v>164</v>
      </c>
      <c r="B123">
        <v>0</v>
      </c>
    </row>
    <row r="124" spans="1:2" x14ac:dyDescent="0.35">
      <c r="A124" s="1" t="s">
        <v>163</v>
      </c>
      <c r="B124">
        <v>0</v>
      </c>
    </row>
    <row r="125" spans="1:2" x14ac:dyDescent="0.35">
      <c r="A125" s="1" t="s">
        <v>73</v>
      </c>
      <c r="B125">
        <v>0</v>
      </c>
    </row>
    <row r="126" spans="1:2" x14ac:dyDescent="0.35">
      <c r="A126" s="1" t="s">
        <v>244</v>
      </c>
      <c r="B126">
        <v>0</v>
      </c>
    </row>
    <row r="127" spans="1:2" x14ac:dyDescent="0.35">
      <c r="A127" s="1" t="s">
        <v>202</v>
      </c>
      <c r="B127">
        <v>0</v>
      </c>
    </row>
    <row r="128" spans="1:2" x14ac:dyDescent="0.35">
      <c r="A128" s="1" t="s">
        <v>118</v>
      </c>
      <c r="B128">
        <v>0</v>
      </c>
    </row>
    <row r="129" spans="1:2" x14ac:dyDescent="0.35">
      <c r="A129" s="1" t="s">
        <v>119</v>
      </c>
      <c r="B129">
        <v>0</v>
      </c>
    </row>
    <row r="130" spans="1:2" x14ac:dyDescent="0.35">
      <c r="A130" s="1" t="s">
        <v>303</v>
      </c>
      <c r="B130">
        <v>0</v>
      </c>
    </row>
    <row r="131" spans="1:2" x14ac:dyDescent="0.35">
      <c r="A131" s="1" t="s">
        <v>277</v>
      </c>
      <c r="B131">
        <v>0</v>
      </c>
    </row>
    <row r="132" spans="1:2" x14ac:dyDescent="0.35">
      <c r="A132" s="1" t="s">
        <v>231</v>
      </c>
      <c r="B132">
        <v>0</v>
      </c>
    </row>
    <row r="133" spans="1:2" x14ac:dyDescent="0.35">
      <c r="A133" s="1" t="s">
        <v>42</v>
      </c>
      <c r="B133">
        <v>0</v>
      </c>
    </row>
    <row r="134" spans="1:2" x14ac:dyDescent="0.35">
      <c r="A134" s="1" t="s">
        <v>265</v>
      </c>
      <c r="B134">
        <v>0</v>
      </c>
    </row>
    <row r="135" spans="1:2" x14ac:dyDescent="0.35">
      <c r="A135" s="1" t="s">
        <v>258</v>
      </c>
      <c r="B135">
        <v>0</v>
      </c>
    </row>
    <row r="136" spans="1:2" x14ac:dyDescent="0.35">
      <c r="A136" s="1" t="s">
        <v>140</v>
      </c>
      <c r="B136">
        <v>0</v>
      </c>
    </row>
    <row r="137" spans="1:2" x14ac:dyDescent="0.35">
      <c r="A137" s="1" t="s">
        <v>266</v>
      </c>
      <c r="B137">
        <v>0</v>
      </c>
    </row>
    <row r="138" spans="1:2" x14ac:dyDescent="0.35">
      <c r="A138" s="1" t="s">
        <v>221</v>
      </c>
      <c r="B138">
        <v>0</v>
      </c>
    </row>
    <row r="139" spans="1:2" x14ac:dyDescent="0.35">
      <c r="A139" s="1" t="s">
        <v>141</v>
      </c>
      <c r="B139">
        <v>0</v>
      </c>
    </row>
    <row r="140" spans="1:2" x14ac:dyDescent="0.35">
      <c r="A140" s="1" t="s">
        <v>142</v>
      </c>
      <c r="B140">
        <v>0</v>
      </c>
    </row>
    <row r="141" spans="1:2" x14ac:dyDescent="0.35">
      <c r="A141" s="1" t="s">
        <v>311</v>
      </c>
      <c r="B141">
        <v>0</v>
      </c>
    </row>
    <row r="142" spans="1:2" x14ac:dyDescent="0.35">
      <c r="A142" s="1" t="s">
        <v>95</v>
      </c>
      <c r="B142">
        <v>0</v>
      </c>
    </row>
    <row r="143" spans="1:2" x14ac:dyDescent="0.35">
      <c r="A143" s="1" t="s">
        <v>215</v>
      </c>
      <c r="B143">
        <v>0</v>
      </c>
    </row>
    <row r="144" spans="1:2" x14ac:dyDescent="0.35">
      <c r="A144" s="1" t="s">
        <v>59</v>
      </c>
      <c r="B144">
        <v>1661481</v>
      </c>
    </row>
    <row r="145" spans="1:2" x14ac:dyDescent="0.35">
      <c r="A145" s="1" t="s">
        <v>279</v>
      </c>
      <c r="B145">
        <v>0</v>
      </c>
    </row>
    <row r="146" spans="1:2" x14ac:dyDescent="0.35">
      <c r="A146" s="1" t="s">
        <v>233</v>
      </c>
      <c r="B146">
        <v>0</v>
      </c>
    </row>
    <row r="147" spans="1:2" x14ac:dyDescent="0.35">
      <c r="A147" s="1" t="s">
        <v>61</v>
      </c>
      <c r="B147">
        <v>0</v>
      </c>
    </row>
    <row r="148" spans="1:2" x14ac:dyDescent="0.35">
      <c r="A148" s="1" t="s">
        <v>222</v>
      </c>
      <c r="B148">
        <v>0</v>
      </c>
    </row>
    <row r="149" spans="1:2" x14ac:dyDescent="0.35">
      <c r="A149" s="1" t="s">
        <v>96</v>
      </c>
      <c r="B149">
        <v>0</v>
      </c>
    </row>
    <row r="150" spans="1:2" x14ac:dyDescent="0.35">
      <c r="A150" s="1" t="s">
        <v>354</v>
      </c>
      <c r="B150">
        <v>0</v>
      </c>
    </row>
    <row r="151" spans="1:2" x14ac:dyDescent="0.35">
      <c r="A151" s="1" t="s">
        <v>125</v>
      </c>
      <c r="B151">
        <v>7523118</v>
      </c>
    </row>
    <row r="152" spans="1:2" x14ac:dyDescent="0.35">
      <c r="A152" s="1" t="s">
        <v>22</v>
      </c>
      <c r="B152">
        <v>0</v>
      </c>
    </row>
    <row r="153" spans="1:2" x14ac:dyDescent="0.35">
      <c r="A153" s="1" t="s">
        <v>251</v>
      </c>
      <c r="B153">
        <v>0</v>
      </c>
    </row>
    <row r="154" spans="1:2" x14ac:dyDescent="0.35">
      <c r="A154" s="1" t="s">
        <v>338</v>
      </c>
      <c r="B154">
        <v>4200782</v>
      </c>
    </row>
    <row r="155" spans="1:2" x14ac:dyDescent="0.35">
      <c r="A155" s="1" t="s">
        <v>78</v>
      </c>
      <c r="B155">
        <v>3597701</v>
      </c>
    </row>
    <row r="156" spans="1:2" x14ac:dyDescent="0.35">
      <c r="A156" s="1" t="s">
        <v>208</v>
      </c>
      <c r="B156">
        <v>10833774</v>
      </c>
    </row>
    <row r="157" spans="1:2" x14ac:dyDescent="0.35">
      <c r="A157" s="1" t="s">
        <v>172</v>
      </c>
      <c r="B157">
        <v>277490</v>
      </c>
    </row>
    <row r="158" spans="1:2" x14ac:dyDescent="0.35">
      <c r="A158" s="1" t="s">
        <v>209</v>
      </c>
      <c r="B158">
        <v>999</v>
      </c>
    </row>
    <row r="159" spans="1:2" x14ac:dyDescent="0.35">
      <c r="A159" s="1" t="s">
        <v>23</v>
      </c>
      <c r="B159">
        <v>187928</v>
      </c>
    </row>
    <row r="160" spans="1:2" x14ac:dyDescent="0.35">
      <c r="A160" s="1" t="s">
        <v>24</v>
      </c>
      <c r="B160">
        <v>647</v>
      </c>
    </row>
    <row r="161" spans="1:2" x14ac:dyDescent="0.35">
      <c r="A161" s="1" t="s">
        <v>25</v>
      </c>
      <c r="B161">
        <v>7390532</v>
      </c>
    </row>
    <row r="162" spans="1:2" x14ac:dyDescent="0.35">
      <c r="A162" s="1" t="s">
        <v>252</v>
      </c>
      <c r="B162">
        <v>92492</v>
      </c>
    </row>
    <row r="163" spans="1:2" x14ac:dyDescent="0.35">
      <c r="A163" s="1" t="s">
        <v>173</v>
      </c>
      <c r="B163">
        <v>10836094</v>
      </c>
    </row>
    <row r="164" spans="1:2" x14ac:dyDescent="0.35">
      <c r="A164" s="1" t="s">
        <v>174</v>
      </c>
      <c r="B164">
        <v>1156556</v>
      </c>
    </row>
    <row r="165" spans="1:2" x14ac:dyDescent="0.35">
      <c r="A165" s="1" t="s">
        <v>253</v>
      </c>
      <c r="B165">
        <v>14517983</v>
      </c>
    </row>
    <row r="166" spans="1:2" x14ac:dyDescent="0.35">
      <c r="A166" s="1" t="s">
        <v>126</v>
      </c>
      <c r="B166">
        <v>4543</v>
      </c>
    </row>
    <row r="167" spans="1:2" x14ac:dyDescent="0.35">
      <c r="A167" s="1" t="s">
        <v>27</v>
      </c>
      <c r="B167">
        <v>0</v>
      </c>
    </row>
    <row r="168" spans="1:2" x14ac:dyDescent="0.35">
      <c r="A168" s="1" t="s">
        <v>26</v>
      </c>
      <c r="B168">
        <v>45985292</v>
      </c>
    </row>
    <row r="169" spans="1:2" x14ac:dyDescent="0.35">
      <c r="A169" s="1" t="s">
        <v>175</v>
      </c>
      <c r="B169">
        <v>83154</v>
      </c>
    </row>
    <row r="170" spans="1:2" x14ac:dyDescent="0.35">
      <c r="A170" s="1" t="s">
        <v>124</v>
      </c>
      <c r="B170">
        <v>115856</v>
      </c>
    </row>
    <row r="171" spans="1:2" x14ac:dyDescent="0.35">
      <c r="A171" s="1" t="s">
        <v>143</v>
      </c>
      <c r="B171">
        <v>0</v>
      </c>
    </row>
    <row r="172" spans="1:2" x14ac:dyDescent="0.35">
      <c r="A172" s="1" t="s">
        <v>190</v>
      </c>
      <c r="B172">
        <v>0</v>
      </c>
    </row>
    <row r="173" spans="1:2" x14ac:dyDescent="0.35">
      <c r="A173" s="1" t="s">
        <v>313</v>
      </c>
      <c r="B173">
        <v>0</v>
      </c>
    </row>
    <row r="174" spans="1:2" x14ac:dyDescent="0.35">
      <c r="A174" s="1" t="s">
        <v>43</v>
      </c>
      <c r="B174">
        <v>0</v>
      </c>
    </row>
    <row r="175" spans="1:2" x14ac:dyDescent="0.35">
      <c r="A175" s="1" t="s">
        <v>44</v>
      </c>
      <c r="B175">
        <v>0</v>
      </c>
    </row>
    <row r="176" spans="1:2" x14ac:dyDescent="0.35">
      <c r="A176" s="1" t="s">
        <v>45</v>
      </c>
      <c r="B176">
        <v>0</v>
      </c>
    </row>
    <row r="177" spans="1:2" x14ac:dyDescent="0.35">
      <c r="A177" s="1" t="s">
        <v>269</v>
      </c>
      <c r="B177">
        <v>0</v>
      </c>
    </row>
    <row r="178" spans="1:2" x14ac:dyDescent="0.35">
      <c r="A178" s="1" t="s">
        <v>314</v>
      </c>
      <c r="B178">
        <v>0</v>
      </c>
    </row>
    <row r="179" spans="1:2" x14ac:dyDescent="0.35">
      <c r="A179" s="1" t="s">
        <v>270</v>
      </c>
      <c r="B179">
        <v>0</v>
      </c>
    </row>
    <row r="180" spans="1:2" x14ac:dyDescent="0.35">
      <c r="A180" s="1" t="s">
        <v>99</v>
      </c>
      <c r="B180">
        <v>0</v>
      </c>
    </row>
    <row r="181" spans="1:2" x14ac:dyDescent="0.35">
      <c r="A181" s="1" t="s">
        <v>97</v>
      </c>
      <c r="B181">
        <v>0</v>
      </c>
    </row>
    <row r="182" spans="1:2" x14ac:dyDescent="0.35">
      <c r="A182" s="1" t="s">
        <v>98</v>
      </c>
      <c r="B182">
        <v>0</v>
      </c>
    </row>
    <row r="183" spans="1:2" x14ac:dyDescent="0.35">
      <c r="A183" s="1" t="s">
        <v>267</v>
      </c>
      <c r="B183">
        <v>0</v>
      </c>
    </row>
    <row r="184" spans="1:2" x14ac:dyDescent="0.35">
      <c r="A184" s="1" t="s">
        <v>144</v>
      </c>
      <c r="B184">
        <v>0</v>
      </c>
    </row>
    <row r="185" spans="1:2" x14ac:dyDescent="0.35">
      <c r="A185" s="1" t="s">
        <v>268</v>
      </c>
      <c r="B185">
        <v>0</v>
      </c>
    </row>
    <row r="186" spans="1:2" x14ac:dyDescent="0.35">
      <c r="A186" s="1" t="s">
        <v>351</v>
      </c>
      <c r="B186">
        <v>0</v>
      </c>
    </row>
    <row r="187" spans="1:2" x14ac:dyDescent="0.35">
      <c r="A187" s="1" t="s">
        <v>347</v>
      </c>
      <c r="B187">
        <v>0</v>
      </c>
    </row>
    <row r="188" spans="1:2" x14ac:dyDescent="0.35">
      <c r="A188" s="1" t="s">
        <v>312</v>
      </c>
      <c r="B188">
        <v>0</v>
      </c>
    </row>
    <row r="189" spans="1:2" x14ac:dyDescent="0.35">
      <c r="A189" s="1" t="s">
        <v>87</v>
      </c>
      <c r="B189">
        <v>0</v>
      </c>
    </row>
    <row r="190" spans="1:2" x14ac:dyDescent="0.35">
      <c r="A190" s="1" t="s">
        <v>188</v>
      </c>
      <c r="B190">
        <v>0</v>
      </c>
    </row>
    <row r="191" spans="1:2" x14ac:dyDescent="0.35">
      <c r="A191" s="1" t="s">
        <v>189</v>
      </c>
      <c r="B191">
        <v>0</v>
      </c>
    </row>
    <row r="192" spans="1:2" x14ac:dyDescent="0.35">
      <c r="A192" s="1" t="s">
        <v>100</v>
      </c>
      <c r="B192">
        <v>0</v>
      </c>
    </row>
    <row r="193" spans="1:2" x14ac:dyDescent="0.35">
      <c r="A193" s="1" t="s">
        <v>48</v>
      </c>
      <c r="B193">
        <v>0</v>
      </c>
    </row>
    <row r="194" spans="1:2" x14ac:dyDescent="0.35">
      <c r="A194" s="1" t="s">
        <v>304</v>
      </c>
      <c r="B194">
        <v>0</v>
      </c>
    </row>
    <row r="195" spans="1:2" x14ac:dyDescent="0.35">
      <c r="A195" s="1" t="s">
        <v>145</v>
      </c>
      <c r="B195">
        <v>0</v>
      </c>
    </row>
    <row r="196" spans="1:2" x14ac:dyDescent="0.35">
      <c r="A196" s="1" t="s">
        <v>101</v>
      </c>
      <c r="B196">
        <v>0</v>
      </c>
    </row>
    <row r="197" spans="1:2" x14ac:dyDescent="0.35">
      <c r="A197" s="1" t="s">
        <v>316</v>
      </c>
      <c r="B197">
        <v>0</v>
      </c>
    </row>
    <row r="198" spans="1:2" x14ac:dyDescent="0.35">
      <c r="A198" s="1" t="s">
        <v>148</v>
      </c>
      <c r="B198">
        <v>0</v>
      </c>
    </row>
    <row r="199" spans="1:2" x14ac:dyDescent="0.35">
      <c r="A199" s="1" t="s">
        <v>191</v>
      </c>
      <c r="B199">
        <v>0</v>
      </c>
    </row>
    <row r="200" spans="1:2" x14ac:dyDescent="0.35">
      <c r="A200" s="1" t="s">
        <v>271</v>
      </c>
      <c r="B200">
        <v>0</v>
      </c>
    </row>
    <row r="201" spans="1:2" x14ac:dyDescent="0.35">
      <c r="A201" s="1" t="s">
        <v>342</v>
      </c>
      <c r="B201">
        <v>0</v>
      </c>
    </row>
    <row r="202" spans="1:2" x14ac:dyDescent="0.35">
      <c r="A202" s="1" t="s">
        <v>259</v>
      </c>
      <c r="B202">
        <v>0</v>
      </c>
    </row>
    <row r="203" spans="1:2" x14ac:dyDescent="0.35">
      <c r="A203" s="1" t="s">
        <v>130</v>
      </c>
      <c r="B203">
        <v>0</v>
      </c>
    </row>
    <row r="204" spans="1:2" x14ac:dyDescent="0.35">
      <c r="A204" s="1" t="s">
        <v>339</v>
      </c>
      <c r="B204">
        <v>0</v>
      </c>
    </row>
    <row r="205" spans="1:2" x14ac:dyDescent="0.35">
      <c r="A205" s="1" t="s">
        <v>301</v>
      </c>
      <c r="B205">
        <v>0</v>
      </c>
    </row>
    <row r="206" spans="1:2" x14ac:dyDescent="0.35">
      <c r="A206" s="1" t="s">
        <v>31</v>
      </c>
      <c r="B206">
        <v>0</v>
      </c>
    </row>
    <row r="207" spans="1:2" x14ac:dyDescent="0.35">
      <c r="A207" s="1" t="s">
        <v>81</v>
      </c>
      <c r="B207">
        <v>0</v>
      </c>
    </row>
    <row r="208" spans="1:2" x14ac:dyDescent="0.35">
      <c r="A208" s="1" t="s">
        <v>82</v>
      </c>
      <c r="B208">
        <v>0</v>
      </c>
    </row>
    <row r="209" spans="1:2" x14ac:dyDescent="0.35">
      <c r="A209" s="1" t="s">
        <v>181</v>
      </c>
      <c r="B209">
        <v>0</v>
      </c>
    </row>
    <row r="210" spans="1:2" x14ac:dyDescent="0.35">
      <c r="A210" s="1" t="s">
        <v>340</v>
      </c>
      <c r="B210">
        <v>0</v>
      </c>
    </row>
    <row r="211" spans="1:2" x14ac:dyDescent="0.35">
      <c r="A211" s="1" t="s">
        <v>341</v>
      </c>
      <c r="B211">
        <v>0</v>
      </c>
    </row>
    <row r="212" spans="1:2" x14ac:dyDescent="0.35">
      <c r="A212" s="1" t="s">
        <v>305</v>
      </c>
      <c r="B212">
        <v>0</v>
      </c>
    </row>
    <row r="213" spans="1:2" x14ac:dyDescent="0.35">
      <c r="A213" s="1" t="s">
        <v>302</v>
      </c>
      <c r="B213">
        <v>0</v>
      </c>
    </row>
    <row r="214" spans="1:2" x14ac:dyDescent="0.35">
      <c r="A214" s="1" t="s">
        <v>317</v>
      </c>
      <c r="B214">
        <v>0</v>
      </c>
    </row>
    <row r="215" spans="1:2" x14ac:dyDescent="0.35">
      <c r="A215" s="1" t="s">
        <v>103</v>
      </c>
      <c r="B215">
        <v>0</v>
      </c>
    </row>
    <row r="216" spans="1:2" x14ac:dyDescent="0.35">
      <c r="A216" s="1" t="s">
        <v>348</v>
      </c>
      <c r="B216">
        <v>0</v>
      </c>
    </row>
    <row r="217" spans="1:2" x14ac:dyDescent="0.35">
      <c r="A217" s="1" t="s">
        <v>146</v>
      </c>
      <c r="B217">
        <v>0</v>
      </c>
    </row>
    <row r="218" spans="1:2" x14ac:dyDescent="0.35">
      <c r="A218" s="1" t="s">
        <v>177</v>
      </c>
      <c r="B218">
        <v>0</v>
      </c>
    </row>
    <row r="219" spans="1:2" x14ac:dyDescent="0.35">
      <c r="A219" s="1" t="s">
        <v>254</v>
      </c>
      <c r="B219">
        <v>0</v>
      </c>
    </row>
    <row r="220" spans="1:2" x14ac:dyDescent="0.35">
      <c r="A220" s="1" t="s">
        <v>210</v>
      </c>
      <c r="B220">
        <v>0</v>
      </c>
    </row>
    <row r="221" spans="1:2" x14ac:dyDescent="0.35">
      <c r="A221" s="1" t="s">
        <v>211</v>
      </c>
      <c r="B221">
        <v>0</v>
      </c>
    </row>
    <row r="222" spans="1:2" x14ac:dyDescent="0.35">
      <c r="A222" s="1" t="s">
        <v>29</v>
      </c>
      <c r="B222">
        <v>0</v>
      </c>
    </row>
    <row r="223" spans="1:2" x14ac:dyDescent="0.35">
      <c r="A223" s="1" t="s">
        <v>79</v>
      </c>
      <c r="B223">
        <v>0</v>
      </c>
    </row>
    <row r="224" spans="1:2" x14ac:dyDescent="0.35">
      <c r="A224" s="1" t="s">
        <v>212</v>
      </c>
      <c r="B224">
        <v>0</v>
      </c>
    </row>
    <row r="225" spans="1:2" x14ac:dyDescent="0.35">
      <c r="A225" s="1" t="s">
        <v>178</v>
      </c>
      <c r="B225">
        <v>0</v>
      </c>
    </row>
    <row r="226" spans="1:2" x14ac:dyDescent="0.35">
      <c r="A226" s="1" t="s">
        <v>213</v>
      </c>
      <c r="B226">
        <v>0</v>
      </c>
    </row>
    <row r="227" spans="1:2" x14ac:dyDescent="0.35">
      <c r="A227" s="1" t="s">
        <v>349</v>
      </c>
      <c r="B227">
        <v>0</v>
      </c>
    </row>
    <row r="228" spans="1:2" x14ac:dyDescent="0.35">
      <c r="A228" s="1" t="s">
        <v>352</v>
      </c>
      <c r="B228">
        <v>0</v>
      </c>
    </row>
    <row r="229" spans="1:2" x14ac:dyDescent="0.35">
      <c r="A229" s="1" t="s">
        <v>300</v>
      </c>
      <c r="B229">
        <v>0</v>
      </c>
    </row>
    <row r="230" spans="1:2" x14ac:dyDescent="0.35">
      <c r="A230" s="1" t="s">
        <v>179</v>
      </c>
      <c r="B230">
        <v>0</v>
      </c>
    </row>
    <row r="231" spans="1:2" x14ac:dyDescent="0.35">
      <c r="A231" s="1" t="s">
        <v>214</v>
      </c>
      <c r="B231">
        <v>9035</v>
      </c>
    </row>
    <row r="232" spans="1:2" x14ac:dyDescent="0.35">
      <c r="A232" s="1" t="s">
        <v>80</v>
      </c>
      <c r="B232">
        <v>9771</v>
      </c>
    </row>
    <row r="233" spans="1:2" x14ac:dyDescent="0.35">
      <c r="A233" s="1" t="s">
        <v>255</v>
      </c>
      <c r="B233">
        <v>0</v>
      </c>
    </row>
    <row r="234" spans="1:2" x14ac:dyDescent="0.35">
      <c r="A234" s="1" t="s">
        <v>299</v>
      </c>
      <c r="B234">
        <v>18178</v>
      </c>
    </row>
    <row r="235" spans="1:2" x14ac:dyDescent="0.35">
      <c r="A235" s="1" t="s">
        <v>128</v>
      </c>
      <c r="B235">
        <v>9034</v>
      </c>
    </row>
    <row r="236" spans="1:2" x14ac:dyDescent="0.35">
      <c r="A236" s="1" t="s">
        <v>30</v>
      </c>
      <c r="B236">
        <v>8919</v>
      </c>
    </row>
    <row r="237" spans="1:2" x14ac:dyDescent="0.35">
      <c r="A237" s="1" t="s">
        <v>153</v>
      </c>
      <c r="B237">
        <v>0</v>
      </c>
    </row>
    <row r="238" spans="1:2" x14ac:dyDescent="0.35">
      <c r="A238" s="1" t="s">
        <v>66</v>
      </c>
      <c r="B238">
        <v>0</v>
      </c>
    </row>
    <row r="239" spans="1:2" x14ac:dyDescent="0.35">
      <c r="A239" s="1" t="s">
        <v>273</v>
      </c>
      <c r="B239">
        <v>0</v>
      </c>
    </row>
    <row r="240" spans="1:2" x14ac:dyDescent="0.35">
      <c r="A240" s="1" t="s">
        <v>298</v>
      </c>
      <c r="B240">
        <v>5216</v>
      </c>
    </row>
    <row r="241" spans="1:2" x14ac:dyDescent="0.35">
      <c r="A241" s="1" t="s">
        <v>46</v>
      </c>
      <c r="B241">
        <v>0</v>
      </c>
    </row>
    <row r="242" spans="1:2" x14ac:dyDescent="0.35">
      <c r="A242" s="1" t="s">
        <v>296</v>
      </c>
      <c r="B242">
        <v>7918</v>
      </c>
    </row>
    <row r="243" spans="1:2" x14ac:dyDescent="0.35">
      <c r="A243" s="1" t="s">
        <v>207</v>
      </c>
      <c r="B243">
        <v>5764</v>
      </c>
    </row>
    <row r="244" spans="1:2" x14ac:dyDescent="0.35">
      <c r="A244" s="1" t="s">
        <v>297</v>
      </c>
      <c r="B244">
        <v>0</v>
      </c>
    </row>
    <row r="245" spans="1:2" x14ac:dyDescent="0.35">
      <c r="A245" s="1" t="s">
        <v>336</v>
      </c>
      <c r="B245">
        <v>0</v>
      </c>
    </row>
    <row r="246" spans="1:2" x14ac:dyDescent="0.35">
      <c r="A246" s="1" t="s">
        <v>147</v>
      </c>
      <c r="B246">
        <v>0</v>
      </c>
    </row>
    <row r="247" spans="1:2" x14ac:dyDescent="0.35">
      <c r="A247" s="1" t="s">
        <v>337</v>
      </c>
      <c r="B247">
        <v>0</v>
      </c>
    </row>
    <row r="248" spans="1:2" x14ac:dyDescent="0.35">
      <c r="A248" s="1" t="s">
        <v>327</v>
      </c>
      <c r="B248">
        <v>0</v>
      </c>
    </row>
    <row r="249" spans="1:2" x14ac:dyDescent="0.35">
      <c r="A249" s="1" t="s">
        <v>155</v>
      </c>
      <c r="B249">
        <v>0</v>
      </c>
    </row>
    <row r="250" spans="1:2" x14ac:dyDescent="0.35">
      <c r="A250" s="1" t="s">
        <v>280</v>
      </c>
      <c r="B250">
        <v>0</v>
      </c>
    </row>
    <row r="251" spans="1:2" x14ac:dyDescent="0.35">
      <c r="A251" s="1" t="s">
        <v>239</v>
      </c>
      <c r="B251">
        <v>0</v>
      </c>
    </row>
    <row r="252" spans="1:2" x14ac:dyDescent="0.35">
      <c r="A252" s="1" t="s">
        <v>283</v>
      </c>
      <c r="B252">
        <v>0</v>
      </c>
    </row>
    <row r="253" spans="1:2" x14ac:dyDescent="0.35">
      <c r="A253" s="1" t="s">
        <v>12</v>
      </c>
      <c r="B253">
        <v>0</v>
      </c>
    </row>
    <row r="254" spans="1:2" x14ac:dyDescent="0.35">
      <c r="A254" s="1" t="s">
        <v>285</v>
      </c>
      <c r="B254">
        <v>0</v>
      </c>
    </row>
    <row r="255" spans="1:2" x14ac:dyDescent="0.35">
      <c r="A255" s="1" t="s">
        <v>67</v>
      </c>
      <c r="B255">
        <v>0</v>
      </c>
    </row>
    <row r="256" spans="1:2" x14ac:dyDescent="0.35">
      <c r="A256" s="1" t="s">
        <v>158</v>
      </c>
      <c r="B256">
        <v>0</v>
      </c>
    </row>
    <row r="257" spans="1:2" x14ac:dyDescent="0.35">
      <c r="A257" s="1" t="s">
        <v>159</v>
      </c>
      <c r="B257">
        <v>0</v>
      </c>
    </row>
    <row r="258" spans="1:2" x14ac:dyDescent="0.35">
      <c r="A258" s="1" t="s">
        <v>286</v>
      </c>
      <c r="B258">
        <v>0</v>
      </c>
    </row>
    <row r="259" spans="1:2" x14ac:dyDescent="0.35">
      <c r="A259" s="1" t="s">
        <v>68</v>
      </c>
      <c r="B259">
        <v>0</v>
      </c>
    </row>
    <row r="260" spans="1:2" x14ac:dyDescent="0.35">
      <c r="A260" s="1" t="s">
        <v>240</v>
      </c>
      <c r="B260">
        <v>0</v>
      </c>
    </row>
    <row r="261" spans="1:2" x14ac:dyDescent="0.35">
      <c r="A261" s="1" t="s">
        <v>113</v>
      </c>
      <c r="B261">
        <v>0</v>
      </c>
    </row>
    <row r="262" spans="1:2" x14ac:dyDescent="0.35">
      <c r="A262" s="1" t="s">
        <v>114</v>
      </c>
      <c r="B262">
        <v>0</v>
      </c>
    </row>
    <row r="263" spans="1:2" x14ac:dyDescent="0.35">
      <c r="A263" s="1" t="s">
        <v>241</v>
      </c>
      <c r="B263">
        <v>0</v>
      </c>
    </row>
    <row r="264" spans="1:2" x14ac:dyDescent="0.35">
      <c r="A264" s="1" t="s">
        <v>242</v>
      </c>
      <c r="B264">
        <v>0</v>
      </c>
    </row>
    <row r="265" spans="1:2" x14ac:dyDescent="0.35">
      <c r="A265" s="1" t="s">
        <v>199</v>
      </c>
      <c r="B265">
        <v>0</v>
      </c>
    </row>
    <row r="266" spans="1:2" x14ac:dyDescent="0.35">
      <c r="A266" s="1" t="s">
        <v>69</v>
      </c>
      <c r="B266">
        <v>0</v>
      </c>
    </row>
    <row r="267" spans="1:2" x14ac:dyDescent="0.35">
      <c r="A267" s="1" t="s">
        <v>287</v>
      </c>
      <c r="B267">
        <v>0</v>
      </c>
    </row>
    <row r="268" spans="1:2" x14ac:dyDescent="0.35">
      <c r="A268" s="1" t="s">
        <v>200</v>
      </c>
      <c r="B268">
        <v>0</v>
      </c>
    </row>
    <row r="269" spans="1:2" x14ac:dyDescent="0.35">
      <c r="A269" s="1" t="s">
        <v>65</v>
      </c>
      <c r="B269">
        <v>0</v>
      </c>
    </row>
    <row r="270" spans="1:2" x14ac:dyDescent="0.35">
      <c r="A270" s="1" t="s">
        <v>64</v>
      </c>
      <c r="B270">
        <v>0</v>
      </c>
    </row>
    <row r="271" spans="1:2" x14ac:dyDescent="0.35">
      <c r="A271" s="1" t="s">
        <v>238</v>
      </c>
      <c r="B271">
        <v>0</v>
      </c>
    </row>
    <row r="272" spans="1:2" x14ac:dyDescent="0.35">
      <c r="A272" s="1" t="s">
        <v>282</v>
      </c>
      <c r="B272">
        <v>0</v>
      </c>
    </row>
    <row r="273" spans="1:2" x14ac:dyDescent="0.35">
      <c r="A273" s="1" t="s">
        <v>329</v>
      </c>
      <c r="B273">
        <v>0</v>
      </c>
    </row>
    <row r="274" spans="1:2" x14ac:dyDescent="0.35">
      <c r="A274" s="1" t="s">
        <v>197</v>
      </c>
      <c r="B274">
        <v>0</v>
      </c>
    </row>
    <row r="275" spans="1:2" x14ac:dyDescent="0.35">
      <c r="A275" s="1" t="s">
        <v>198</v>
      </c>
      <c r="B275">
        <v>0</v>
      </c>
    </row>
    <row r="276" spans="1:2" x14ac:dyDescent="0.35">
      <c r="A276" s="1" t="s">
        <v>112</v>
      </c>
      <c r="B276">
        <v>0</v>
      </c>
    </row>
    <row r="277" spans="1:2" x14ac:dyDescent="0.35">
      <c r="A277" s="1" t="s">
        <v>156</v>
      </c>
      <c r="B277">
        <v>0</v>
      </c>
    </row>
    <row r="278" spans="1:2" x14ac:dyDescent="0.35">
      <c r="A278" s="1" t="s">
        <v>62</v>
      </c>
      <c r="B278">
        <v>0</v>
      </c>
    </row>
    <row r="279" spans="1:2" x14ac:dyDescent="0.35">
      <c r="A279" s="1" t="s">
        <v>110</v>
      </c>
      <c r="B279">
        <v>0</v>
      </c>
    </row>
    <row r="280" spans="1:2" x14ac:dyDescent="0.35">
      <c r="A280" s="1" t="s">
        <v>328</v>
      </c>
      <c r="B280">
        <v>0</v>
      </c>
    </row>
    <row r="281" spans="1:2" x14ac:dyDescent="0.35">
      <c r="A281" s="1" t="s">
        <v>63</v>
      </c>
      <c r="B281">
        <v>0</v>
      </c>
    </row>
    <row r="282" spans="1:2" x14ac:dyDescent="0.35">
      <c r="A282" s="1" t="s">
        <v>281</v>
      </c>
      <c r="B282">
        <v>0</v>
      </c>
    </row>
    <row r="283" spans="1:2" x14ac:dyDescent="0.35">
      <c r="A283" s="1" t="s">
        <v>11</v>
      </c>
      <c r="B283">
        <v>0</v>
      </c>
    </row>
    <row r="284" spans="1:2" x14ac:dyDescent="0.35">
      <c r="A284" s="1" t="s">
        <v>235</v>
      </c>
      <c r="B284">
        <v>0</v>
      </c>
    </row>
    <row r="285" spans="1:2" x14ac:dyDescent="0.35">
      <c r="A285" s="1" t="s">
        <v>195</v>
      </c>
      <c r="B285">
        <v>0</v>
      </c>
    </row>
    <row r="286" spans="1:2" x14ac:dyDescent="0.35">
      <c r="A286" s="1" t="s">
        <v>157</v>
      </c>
      <c r="B286">
        <v>0</v>
      </c>
    </row>
    <row r="287" spans="1:2" x14ac:dyDescent="0.35">
      <c r="A287" s="1" t="s">
        <v>111</v>
      </c>
      <c r="B287">
        <v>0</v>
      </c>
    </row>
    <row r="288" spans="1:2" x14ac:dyDescent="0.35">
      <c r="A288" s="1" t="s">
        <v>196</v>
      </c>
      <c r="B288">
        <v>0</v>
      </c>
    </row>
    <row r="289" spans="1:2" x14ac:dyDescent="0.35">
      <c r="A289" s="1" t="s">
        <v>236</v>
      </c>
      <c r="B289">
        <v>0</v>
      </c>
    </row>
    <row r="290" spans="1:2" x14ac:dyDescent="0.35">
      <c r="A290" s="1" t="s">
        <v>237</v>
      </c>
      <c r="B290">
        <v>0</v>
      </c>
    </row>
    <row r="291" spans="1:2" x14ac:dyDescent="0.35">
      <c r="A291" s="1" t="s">
        <v>17</v>
      </c>
      <c r="B291">
        <v>0</v>
      </c>
    </row>
    <row r="292" spans="1:2" x14ac:dyDescent="0.35">
      <c r="A292" s="1" t="s">
        <v>292</v>
      </c>
      <c r="B292">
        <v>0</v>
      </c>
    </row>
    <row r="293" spans="1:2" x14ac:dyDescent="0.35">
      <c r="A293" s="1" t="s">
        <v>248</v>
      </c>
      <c r="B293">
        <v>0</v>
      </c>
    </row>
    <row r="294" spans="1:2" x14ac:dyDescent="0.35">
      <c r="A294" s="1" t="s">
        <v>170</v>
      </c>
      <c r="B294">
        <v>0</v>
      </c>
    </row>
    <row r="295" spans="1:2" x14ac:dyDescent="0.35">
      <c r="A295" s="1" t="s">
        <v>246</v>
      </c>
      <c r="B295">
        <v>0</v>
      </c>
    </row>
    <row r="296" spans="1:2" x14ac:dyDescent="0.35">
      <c r="A296" s="1" t="s">
        <v>18</v>
      </c>
      <c r="B296">
        <v>0</v>
      </c>
    </row>
    <row r="297" spans="1:2" x14ac:dyDescent="0.35">
      <c r="A297" s="1" t="s">
        <v>291</v>
      </c>
      <c r="B297">
        <v>0</v>
      </c>
    </row>
    <row r="298" spans="1:2" x14ac:dyDescent="0.35">
      <c r="A298" s="1" t="s">
        <v>166</v>
      </c>
      <c r="B298">
        <v>0</v>
      </c>
    </row>
    <row r="299" spans="1:2" x14ac:dyDescent="0.35">
      <c r="A299" s="1" t="s">
        <v>77</v>
      </c>
      <c r="B299">
        <v>0</v>
      </c>
    </row>
    <row r="300" spans="1:2" x14ac:dyDescent="0.35">
      <c r="A300" s="1" t="s">
        <v>333</v>
      </c>
      <c r="B300">
        <v>0</v>
      </c>
    </row>
    <row r="301" spans="1:2" x14ac:dyDescent="0.35">
      <c r="A301" s="1" t="s">
        <v>19</v>
      </c>
      <c r="B301">
        <v>0</v>
      </c>
    </row>
    <row r="302" spans="1:2" x14ac:dyDescent="0.35">
      <c r="A302" s="1" t="s">
        <v>250</v>
      </c>
      <c r="B302">
        <v>0</v>
      </c>
    </row>
    <row r="303" spans="1:2" x14ac:dyDescent="0.35">
      <c r="A303" s="1" t="s">
        <v>167</v>
      </c>
      <c r="B303">
        <v>0</v>
      </c>
    </row>
    <row r="304" spans="1:2" x14ac:dyDescent="0.35">
      <c r="A304" s="1" t="s">
        <v>122</v>
      </c>
      <c r="B304">
        <v>0</v>
      </c>
    </row>
    <row r="305" spans="1:2" x14ac:dyDescent="0.35">
      <c r="A305" s="1" t="s">
        <v>21</v>
      </c>
      <c r="B305">
        <v>0</v>
      </c>
    </row>
    <row r="306" spans="1:2" x14ac:dyDescent="0.35">
      <c r="A306" s="1" t="s">
        <v>121</v>
      </c>
      <c r="B306">
        <v>0</v>
      </c>
    </row>
    <row r="307" spans="1:2" x14ac:dyDescent="0.35">
      <c r="A307" s="1" t="s">
        <v>247</v>
      </c>
      <c r="B307">
        <v>0</v>
      </c>
    </row>
    <row r="308" spans="1:2" x14ac:dyDescent="0.35">
      <c r="A308" s="1" t="s">
        <v>295</v>
      </c>
      <c r="B308">
        <v>0</v>
      </c>
    </row>
    <row r="309" spans="1:2" x14ac:dyDescent="0.35">
      <c r="A309" s="1" t="s">
        <v>169</v>
      </c>
      <c r="B309">
        <v>0</v>
      </c>
    </row>
    <row r="310" spans="1:2" x14ac:dyDescent="0.35">
      <c r="A310" s="1" t="s">
        <v>332</v>
      </c>
      <c r="B310">
        <v>0</v>
      </c>
    </row>
    <row r="311" spans="1:2" x14ac:dyDescent="0.35">
      <c r="A311" s="1" t="s">
        <v>331</v>
      </c>
      <c r="B311">
        <v>0</v>
      </c>
    </row>
    <row r="312" spans="1:2" x14ac:dyDescent="0.35">
      <c r="A312" s="1" t="s">
        <v>205</v>
      </c>
      <c r="B312">
        <v>0</v>
      </c>
    </row>
    <row r="313" spans="1:2" x14ac:dyDescent="0.35">
      <c r="A313" s="1" t="s">
        <v>206</v>
      </c>
      <c r="B313">
        <v>0</v>
      </c>
    </row>
    <row r="314" spans="1:2" x14ac:dyDescent="0.35">
      <c r="A314" s="1" t="s">
        <v>334</v>
      </c>
      <c r="B314">
        <v>0</v>
      </c>
    </row>
    <row r="315" spans="1:2" x14ac:dyDescent="0.35">
      <c r="A315" s="1" t="s">
        <v>20</v>
      </c>
      <c r="B315">
        <v>0</v>
      </c>
    </row>
    <row r="316" spans="1:2" x14ac:dyDescent="0.35">
      <c r="A316" s="1" t="s">
        <v>171</v>
      </c>
      <c r="B316">
        <v>0</v>
      </c>
    </row>
    <row r="317" spans="1:2" x14ac:dyDescent="0.35">
      <c r="A317" s="1" t="s">
        <v>249</v>
      </c>
      <c r="B317">
        <v>0</v>
      </c>
    </row>
    <row r="318" spans="1:2" x14ac:dyDescent="0.35">
      <c r="A318" s="1" t="s">
        <v>168</v>
      </c>
      <c r="B318">
        <v>0</v>
      </c>
    </row>
    <row r="319" spans="1:2" x14ac:dyDescent="0.35">
      <c r="A319" s="1" t="s">
        <v>293</v>
      </c>
      <c r="B319">
        <v>0</v>
      </c>
    </row>
    <row r="320" spans="1:2" x14ac:dyDescent="0.35">
      <c r="A320" s="1" t="s">
        <v>76</v>
      </c>
      <c r="B320">
        <v>0</v>
      </c>
    </row>
    <row r="321" spans="1:2" x14ac:dyDescent="0.35">
      <c r="A321" s="1" t="s">
        <v>294</v>
      </c>
      <c r="B321">
        <v>0</v>
      </c>
    </row>
    <row r="322" spans="1:2" x14ac:dyDescent="0.35">
      <c r="A322" s="1" t="s">
        <v>223</v>
      </c>
      <c r="B322">
        <v>0</v>
      </c>
    </row>
    <row r="323" spans="1:2" x14ac:dyDescent="0.35">
      <c r="A323" s="1" t="s">
        <v>71</v>
      </c>
      <c r="B323">
        <v>13119254</v>
      </c>
    </row>
    <row r="324" spans="1:2" x14ac:dyDescent="0.35">
      <c r="A324" s="1" t="s">
        <v>350</v>
      </c>
      <c r="B324">
        <v>0</v>
      </c>
    </row>
    <row r="325" spans="1:2" x14ac:dyDescent="0.35">
      <c r="A325" s="1" t="s">
        <v>54</v>
      </c>
      <c r="B325">
        <v>2328237</v>
      </c>
    </row>
    <row r="326" spans="1:2" x14ac:dyDescent="0.35">
      <c r="A326" s="1" t="s">
        <v>51</v>
      </c>
      <c r="B326">
        <v>0</v>
      </c>
    </row>
    <row r="327" spans="1:2" x14ac:dyDescent="0.35">
      <c r="A327" s="1" t="s">
        <v>318</v>
      </c>
      <c r="B327">
        <v>0</v>
      </c>
    </row>
    <row r="328" spans="1:2" x14ac:dyDescent="0.35">
      <c r="A328" s="1" t="s">
        <v>52</v>
      </c>
      <c r="B328">
        <v>0</v>
      </c>
    </row>
    <row r="329" spans="1:2" x14ac:dyDescent="0.35">
      <c r="A329" s="1" t="s">
        <v>49</v>
      </c>
      <c r="B329">
        <v>0</v>
      </c>
    </row>
    <row r="330" spans="1:2" x14ac:dyDescent="0.35">
      <c r="A330" s="1" t="s">
        <v>150</v>
      </c>
      <c r="B330">
        <v>0</v>
      </c>
    </row>
    <row r="331" spans="1:2" x14ac:dyDescent="0.35">
      <c r="A331" s="1" t="s">
        <v>322</v>
      </c>
      <c r="B331">
        <v>0</v>
      </c>
    </row>
    <row r="332" spans="1:2" x14ac:dyDescent="0.35">
      <c r="A332" s="1" t="s">
        <v>50</v>
      </c>
      <c r="B332">
        <v>0</v>
      </c>
    </row>
    <row r="333" spans="1:2" x14ac:dyDescent="0.35">
      <c r="A333" s="1" t="s">
        <v>355</v>
      </c>
      <c r="B333">
        <v>0</v>
      </c>
    </row>
    <row r="334" spans="1:2" x14ac:dyDescent="0.35">
      <c r="A334" s="1" t="s">
        <v>193</v>
      </c>
      <c r="B334">
        <v>0</v>
      </c>
    </row>
    <row r="335" spans="1:2" x14ac:dyDescent="0.35">
      <c r="A335" s="1" t="s">
        <v>224</v>
      </c>
      <c r="B335">
        <v>0</v>
      </c>
    </row>
    <row r="336" spans="1:2" x14ac:dyDescent="0.35">
      <c r="A336" s="1" t="s">
        <v>192</v>
      </c>
      <c r="B336">
        <v>0</v>
      </c>
    </row>
    <row r="337" spans="1:2" x14ac:dyDescent="0.35">
      <c r="A337" s="1" t="s">
        <v>353</v>
      </c>
      <c r="B337">
        <v>0</v>
      </c>
    </row>
    <row r="338" spans="1:2" x14ac:dyDescent="0.35">
      <c r="A338" s="1" t="s">
        <v>274</v>
      </c>
      <c r="B338">
        <v>0</v>
      </c>
    </row>
    <row r="339" spans="1:2" x14ac:dyDescent="0.35">
      <c r="A339" s="1" t="s">
        <v>225</v>
      </c>
      <c r="B339">
        <v>0</v>
      </c>
    </row>
    <row r="340" spans="1:2" x14ac:dyDescent="0.35">
      <c r="A340" s="1" t="s">
        <v>321</v>
      </c>
      <c r="B340">
        <v>0</v>
      </c>
    </row>
    <row r="341" spans="1:2" x14ac:dyDescent="0.35">
      <c r="A341" s="1" t="s">
        <v>55</v>
      </c>
      <c r="B341">
        <v>0</v>
      </c>
    </row>
    <row r="342" spans="1:2" x14ac:dyDescent="0.35">
      <c r="A342" s="1" t="s">
        <v>275</v>
      </c>
      <c r="B342">
        <v>0</v>
      </c>
    </row>
    <row r="343" spans="1:2" x14ac:dyDescent="0.35">
      <c r="A343" s="1" t="s">
        <v>105</v>
      </c>
      <c r="B343">
        <v>0</v>
      </c>
    </row>
    <row r="344" spans="1:2" x14ac:dyDescent="0.35">
      <c r="A344" s="1" t="s">
        <v>180</v>
      </c>
      <c r="B344">
        <v>0</v>
      </c>
    </row>
    <row r="345" spans="1:2" x14ac:dyDescent="0.35">
      <c r="A345" s="1" t="s">
        <v>129</v>
      </c>
      <c r="B345">
        <v>0</v>
      </c>
    </row>
    <row r="346" spans="1:2" x14ac:dyDescent="0.35">
      <c r="A346" s="1" t="s">
        <v>256</v>
      </c>
      <c r="B346">
        <v>0</v>
      </c>
    </row>
    <row r="347" spans="1:2" x14ac:dyDescent="0.35">
      <c r="A347" s="1" t="s">
        <v>226</v>
      </c>
      <c r="B347">
        <v>0</v>
      </c>
    </row>
    <row r="348" spans="1:2" x14ac:dyDescent="0.35">
      <c r="A348" s="1" t="s">
        <v>227</v>
      </c>
      <c r="B348">
        <v>0</v>
      </c>
    </row>
    <row r="349" spans="1:2" x14ac:dyDescent="0.35">
      <c r="A349" s="1" t="s">
        <v>57</v>
      </c>
      <c r="B349">
        <v>0</v>
      </c>
    </row>
    <row r="350" spans="1:2" x14ac:dyDescent="0.35">
      <c r="A350" s="1" t="s">
        <v>47</v>
      </c>
      <c r="B350">
        <v>0</v>
      </c>
    </row>
    <row r="351" spans="1:2" x14ac:dyDescent="0.35">
      <c r="A351" s="1" t="s">
        <v>319</v>
      </c>
      <c r="B351">
        <v>0</v>
      </c>
    </row>
    <row r="352" spans="1:2" x14ac:dyDescent="0.35">
      <c r="A352" s="1" t="s">
        <v>356</v>
      </c>
      <c r="B352">
        <v>0</v>
      </c>
    </row>
    <row r="353" spans="1:2" x14ac:dyDescent="0.35">
      <c r="A353" s="1" t="s">
        <v>152</v>
      </c>
      <c r="B353">
        <v>0</v>
      </c>
    </row>
    <row r="354" spans="1:2" x14ac:dyDescent="0.35">
      <c r="A354" s="1" t="s">
        <v>53</v>
      </c>
      <c r="B354">
        <v>0</v>
      </c>
    </row>
    <row r="355" spans="1:2" x14ac:dyDescent="0.35">
      <c r="A355" s="1" t="s">
        <v>272</v>
      </c>
      <c r="B355">
        <v>0</v>
      </c>
    </row>
    <row r="356" spans="1:2" x14ac:dyDescent="0.35">
      <c r="A356" s="1" t="s">
        <v>315</v>
      </c>
      <c r="B356">
        <v>0</v>
      </c>
    </row>
    <row r="357" spans="1:2" x14ac:dyDescent="0.35">
      <c r="A357" s="1" t="s">
        <v>102</v>
      </c>
      <c r="B357">
        <v>0</v>
      </c>
    </row>
    <row r="358" spans="1:2" x14ac:dyDescent="0.35">
      <c r="A358" s="1" t="s">
        <v>474</v>
      </c>
      <c r="B358"/>
    </row>
    <row r="359" spans="1:2" x14ac:dyDescent="0.35">
      <c r="A359" s="1" t="s">
        <v>475</v>
      </c>
      <c r="B359">
        <v>136326574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4939D-DAAB-4411-B91C-B5B3D620DF42}">
  <dimension ref="A1:B367"/>
  <sheetViews>
    <sheetView workbookViewId="0">
      <selection sqref="A1:B1048576"/>
    </sheetView>
  </sheetViews>
  <sheetFormatPr defaultRowHeight="14.5" x14ac:dyDescent="0.35"/>
  <cols>
    <col min="1" max="1" width="21.26953125" bestFit="1" customWidth="1"/>
    <col min="2" max="2" width="8.81640625" bestFit="1" customWidth="1"/>
    <col min="3" max="3" width="6" bestFit="1" customWidth="1"/>
  </cols>
  <sheetData>
    <row r="1" spans="1:2" x14ac:dyDescent="0.35">
      <c r="A1" t="s">
        <v>470</v>
      </c>
      <c r="B1" t="s">
        <v>471</v>
      </c>
    </row>
    <row r="2" spans="1:2" x14ac:dyDescent="0.35">
      <c r="A2" t="s">
        <v>0</v>
      </c>
      <c r="B2">
        <v>0</v>
      </c>
    </row>
    <row r="3" spans="1:2" x14ac:dyDescent="0.35">
      <c r="A3" t="s">
        <v>151</v>
      </c>
      <c r="B3">
        <v>0</v>
      </c>
    </row>
    <row r="4" spans="1:2" x14ac:dyDescent="0.35">
      <c r="A4" t="s">
        <v>323</v>
      </c>
      <c r="B4">
        <v>0</v>
      </c>
    </row>
    <row r="5" spans="1:2" x14ac:dyDescent="0.35">
      <c r="A5" t="s">
        <v>320</v>
      </c>
      <c r="B5">
        <v>0</v>
      </c>
    </row>
    <row r="6" spans="1:2" x14ac:dyDescent="0.35">
      <c r="A6" t="s">
        <v>1</v>
      </c>
      <c r="B6">
        <v>0</v>
      </c>
    </row>
    <row r="7" spans="1:2" x14ac:dyDescent="0.35">
      <c r="A7" t="s">
        <v>2</v>
      </c>
      <c r="B7">
        <v>0</v>
      </c>
    </row>
    <row r="8" spans="1:2" x14ac:dyDescent="0.35">
      <c r="A8" t="s">
        <v>3</v>
      </c>
      <c r="B8">
        <v>0</v>
      </c>
    </row>
    <row r="9" spans="1:2" x14ac:dyDescent="0.35">
      <c r="A9" t="s">
        <v>4</v>
      </c>
      <c r="B9">
        <v>0</v>
      </c>
    </row>
    <row r="10" spans="1:2" x14ac:dyDescent="0.35">
      <c r="A10" t="s">
        <v>324</v>
      </c>
      <c r="B10">
        <v>0</v>
      </c>
    </row>
    <row r="11" spans="1:2" x14ac:dyDescent="0.35">
      <c r="A11" t="s">
        <v>228</v>
      </c>
      <c r="B11">
        <v>0</v>
      </c>
    </row>
    <row r="12" spans="1:2" x14ac:dyDescent="0.35">
      <c r="A12" t="s">
        <v>106</v>
      </c>
      <c r="B12">
        <v>0</v>
      </c>
    </row>
    <row r="13" spans="1:2" x14ac:dyDescent="0.35">
      <c r="A13" t="s">
        <v>229</v>
      </c>
      <c r="B13">
        <v>0</v>
      </c>
    </row>
    <row r="14" spans="1:2" x14ac:dyDescent="0.35">
      <c r="A14" t="s">
        <v>326</v>
      </c>
      <c r="B14">
        <v>183</v>
      </c>
    </row>
    <row r="15" spans="1:2" x14ac:dyDescent="0.35">
      <c r="A15" t="s">
        <v>107</v>
      </c>
      <c r="B15">
        <v>40</v>
      </c>
    </row>
    <row r="16" spans="1:2" x14ac:dyDescent="0.35">
      <c r="A16" t="s">
        <v>230</v>
      </c>
      <c r="B16">
        <v>54</v>
      </c>
    </row>
    <row r="17" spans="1:2" x14ac:dyDescent="0.35">
      <c r="A17" t="s">
        <v>58</v>
      </c>
      <c r="B17">
        <v>18</v>
      </c>
    </row>
    <row r="18" spans="1:2" x14ac:dyDescent="0.35">
      <c r="A18" t="s">
        <v>325</v>
      </c>
      <c r="B18">
        <v>0</v>
      </c>
    </row>
    <row r="19" spans="1:2" x14ac:dyDescent="0.35">
      <c r="A19" t="s">
        <v>5</v>
      </c>
      <c r="B19">
        <v>0</v>
      </c>
    </row>
    <row r="20" spans="1:2" x14ac:dyDescent="0.35">
      <c r="A20" t="s">
        <v>194</v>
      </c>
      <c r="B20">
        <v>0</v>
      </c>
    </row>
    <row r="21" spans="1:2" x14ac:dyDescent="0.35">
      <c r="A21" t="s">
        <v>108</v>
      </c>
      <c r="B21">
        <v>0</v>
      </c>
    </row>
    <row r="22" spans="1:2" x14ac:dyDescent="0.35">
      <c r="A22" t="s">
        <v>109</v>
      </c>
      <c r="B22">
        <v>0</v>
      </c>
    </row>
    <row r="23" spans="1:2" x14ac:dyDescent="0.35">
      <c r="A23" t="s">
        <v>153</v>
      </c>
      <c r="B23">
        <v>0</v>
      </c>
    </row>
    <row r="24" spans="1:2" x14ac:dyDescent="0.35">
      <c r="A24" t="s">
        <v>277</v>
      </c>
      <c r="B24">
        <v>0</v>
      </c>
    </row>
    <row r="25" spans="1:2" x14ac:dyDescent="0.35">
      <c r="A25" t="s">
        <v>231</v>
      </c>
      <c r="B25">
        <v>0</v>
      </c>
    </row>
    <row r="26" spans="1:2" x14ac:dyDescent="0.35">
      <c r="A26" t="s">
        <v>276</v>
      </c>
      <c r="B26">
        <v>0</v>
      </c>
    </row>
    <row r="27" spans="1:2" x14ac:dyDescent="0.35">
      <c r="A27" t="s">
        <v>59</v>
      </c>
      <c r="B27">
        <v>1661481</v>
      </c>
    </row>
    <row r="28" spans="1:2" x14ac:dyDescent="0.35">
      <c r="A28" t="s">
        <v>154</v>
      </c>
      <c r="B28">
        <v>9069</v>
      </c>
    </row>
    <row r="29" spans="1:2" x14ac:dyDescent="0.35">
      <c r="A29" t="s">
        <v>6</v>
      </c>
      <c r="B29">
        <v>4261</v>
      </c>
    </row>
    <row r="30" spans="1:2" x14ac:dyDescent="0.35">
      <c r="A30" t="s">
        <v>278</v>
      </c>
      <c r="B30">
        <v>2343</v>
      </c>
    </row>
    <row r="31" spans="1:2" x14ac:dyDescent="0.35">
      <c r="A31" t="s">
        <v>279</v>
      </c>
      <c r="B31">
        <v>0</v>
      </c>
    </row>
    <row r="32" spans="1:2" x14ac:dyDescent="0.35">
      <c r="A32" t="s">
        <v>232</v>
      </c>
      <c r="B32">
        <v>0</v>
      </c>
    </row>
    <row r="33" spans="1:2" x14ac:dyDescent="0.35">
      <c r="A33" t="s">
        <v>60</v>
      </c>
      <c r="B33">
        <v>0</v>
      </c>
    </row>
    <row r="34" spans="1:2" x14ac:dyDescent="0.35">
      <c r="A34" t="s">
        <v>7</v>
      </c>
      <c r="B34">
        <v>0</v>
      </c>
    </row>
    <row r="35" spans="1:2" x14ac:dyDescent="0.35">
      <c r="A35" t="s">
        <v>280</v>
      </c>
      <c r="B35">
        <v>0</v>
      </c>
    </row>
    <row r="36" spans="1:2" x14ac:dyDescent="0.35">
      <c r="A36" t="s">
        <v>327</v>
      </c>
      <c r="B36">
        <v>0</v>
      </c>
    </row>
    <row r="37" spans="1:2" x14ac:dyDescent="0.35">
      <c r="A37" t="s">
        <v>155</v>
      </c>
      <c r="B37">
        <v>0</v>
      </c>
    </row>
    <row r="38" spans="1:2" x14ac:dyDescent="0.35">
      <c r="A38" t="s">
        <v>8</v>
      </c>
      <c r="B38">
        <v>0</v>
      </c>
    </row>
    <row r="39" spans="1:2" x14ac:dyDescent="0.35">
      <c r="A39" t="s">
        <v>61</v>
      </c>
      <c r="B39">
        <v>0</v>
      </c>
    </row>
    <row r="40" spans="1:2" x14ac:dyDescent="0.35">
      <c r="A40" t="s">
        <v>233</v>
      </c>
      <c r="B40">
        <v>0</v>
      </c>
    </row>
    <row r="41" spans="1:2" x14ac:dyDescent="0.35">
      <c r="A41" t="s">
        <v>234</v>
      </c>
      <c r="B41">
        <v>0</v>
      </c>
    </row>
    <row r="42" spans="1:2" x14ac:dyDescent="0.35">
      <c r="A42" t="s">
        <v>10</v>
      </c>
      <c r="B42">
        <v>0</v>
      </c>
    </row>
    <row r="43" spans="1:2" x14ac:dyDescent="0.35">
      <c r="A43" t="s">
        <v>9</v>
      </c>
      <c r="B43">
        <v>0</v>
      </c>
    </row>
    <row r="44" spans="1:2" x14ac:dyDescent="0.35">
      <c r="A44" t="s">
        <v>156</v>
      </c>
      <c r="B44">
        <v>0</v>
      </c>
    </row>
    <row r="45" spans="1:2" x14ac:dyDescent="0.35">
      <c r="A45" t="s">
        <v>62</v>
      </c>
      <c r="B45">
        <v>0</v>
      </c>
    </row>
    <row r="46" spans="1:2" x14ac:dyDescent="0.35">
      <c r="A46" t="s">
        <v>328</v>
      </c>
      <c r="B46">
        <v>0</v>
      </c>
    </row>
    <row r="47" spans="1:2" x14ac:dyDescent="0.35">
      <c r="A47" t="s">
        <v>63</v>
      </c>
      <c r="B47">
        <v>0</v>
      </c>
    </row>
    <row r="48" spans="1:2" x14ac:dyDescent="0.35">
      <c r="A48" t="s">
        <v>110</v>
      </c>
      <c r="B48">
        <v>0</v>
      </c>
    </row>
    <row r="49" spans="1:2" x14ac:dyDescent="0.35">
      <c r="A49" t="s">
        <v>281</v>
      </c>
      <c r="B49">
        <v>0</v>
      </c>
    </row>
    <row r="50" spans="1:2" x14ac:dyDescent="0.35">
      <c r="A50" t="s">
        <v>11</v>
      </c>
      <c r="B50">
        <v>0</v>
      </c>
    </row>
    <row r="51" spans="1:2" x14ac:dyDescent="0.35">
      <c r="A51" t="s">
        <v>235</v>
      </c>
      <c r="B51">
        <v>0</v>
      </c>
    </row>
    <row r="52" spans="1:2" x14ac:dyDescent="0.35">
      <c r="A52" t="s">
        <v>195</v>
      </c>
      <c r="B52">
        <v>0</v>
      </c>
    </row>
    <row r="53" spans="1:2" x14ac:dyDescent="0.35">
      <c r="A53" t="s">
        <v>157</v>
      </c>
      <c r="B53">
        <v>0</v>
      </c>
    </row>
    <row r="54" spans="1:2" x14ac:dyDescent="0.35">
      <c r="A54" t="s">
        <v>111</v>
      </c>
      <c r="B54">
        <v>0</v>
      </c>
    </row>
    <row r="55" spans="1:2" x14ac:dyDescent="0.35">
      <c r="A55" t="s">
        <v>196</v>
      </c>
      <c r="B55">
        <v>0</v>
      </c>
    </row>
    <row r="56" spans="1:2" x14ac:dyDescent="0.35">
      <c r="A56" t="s">
        <v>236</v>
      </c>
      <c r="B56">
        <v>0</v>
      </c>
    </row>
    <row r="57" spans="1:2" x14ac:dyDescent="0.35">
      <c r="A57" t="s">
        <v>237</v>
      </c>
      <c r="B57">
        <v>0</v>
      </c>
    </row>
    <row r="58" spans="1:2" x14ac:dyDescent="0.35">
      <c r="A58" t="s">
        <v>64</v>
      </c>
      <c r="B58">
        <v>0</v>
      </c>
    </row>
    <row r="59" spans="1:2" x14ac:dyDescent="0.35">
      <c r="A59" t="s">
        <v>238</v>
      </c>
      <c r="B59">
        <v>0</v>
      </c>
    </row>
    <row r="60" spans="1:2" x14ac:dyDescent="0.35">
      <c r="A60" t="s">
        <v>65</v>
      </c>
      <c r="B60">
        <v>0</v>
      </c>
    </row>
    <row r="61" spans="1:2" x14ac:dyDescent="0.35">
      <c r="A61" t="s">
        <v>282</v>
      </c>
      <c r="B61">
        <v>0</v>
      </c>
    </row>
    <row r="62" spans="1:2" x14ac:dyDescent="0.35">
      <c r="A62" t="s">
        <v>329</v>
      </c>
      <c r="B62">
        <v>0</v>
      </c>
    </row>
    <row r="63" spans="1:2" x14ac:dyDescent="0.35">
      <c r="A63" t="s">
        <v>197</v>
      </c>
      <c r="B63">
        <v>0</v>
      </c>
    </row>
    <row r="64" spans="1:2" x14ac:dyDescent="0.35">
      <c r="A64" t="s">
        <v>198</v>
      </c>
      <c r="B64">
        <v>0</v>
      </c>
    </row>
    <row r="65" spans="1:2" x14ac:dyDescent="0.35">
      <c r="A65" t="s">
        <v>112</v>
      </c>
      <c r="B65">
        <v>0</v>
      </c>
    </row>
    <row r="66" spans="1:2" x14ac:dyDescent="0.35">
      <c r="A66" t="s">
        <v>239</v>
      </c>
      <c r="B66">
        <v>0</v>
      </c>
    </row>
    <row r="67" spans="1:2" x14ac:dyDescent="0.35">
      <c r="A67" t="s">
        <v>283</v>
      </c>
      <c r="B67">
        <v>0</v>
      </c>
    </row>
    <row r="68" spans="1:2" x14ac:dyDescent="0.35">
      <c r="A68" t="s">
        <v>284</v>
      </c>
      <c r="B68">
        <v>481505</v>
      </c>
    </row>
    <row r="69" spans="1:2" x14ac:dyDescent="0.35">
      <c r="A69" t="s">
        <v>66</v>
      </c>
      <c r="B69">
        <v>0</v>
      </c>
    </row>
    <row r="70" spans="1:2" x14ac:dyDescent="0.35">
      <c r="A70" t="s">
        <v>12</v>
      </c>
      <c r="B70">
        <v>0</v>
      </c>
    </row>
    <row r="71" spans="1:2" x14ac:dyDescent="0.35">
      <c r="A71" t="s">
        <v>285</v>
      </c>
      <c r="B71">
        <v>0</v>
      </c>
    </row>
    <row r="72" spans="1:2" x14ac:dyDescent="0.35">
      <c r="A72" t="s">
        <v>67</v>
      </c>
      <c r="B72">
        <v>0</v>
      </c>
    </row>
    <row r="73" spans="1:2" x14ac:dyDescent="0.35">
      <c r="A73" t="s">
        <v>158</v>
      </c>
      <c r="B73">
        <v>0</v>
      </c>
    </row>
    <row r="74" spans="1:2" x14ac:dyDescent="0.35">
      <c r="A74" t="s">
        <v>159</v>
      </c>
      <c r="B74">
        <v>0</v>
      </c>
    </row>
    <row r="75" spans="1:2" x14ac:dyDescent="0.35">
      <c r="A75" t="s">
        <v>286</v>
      </c>
      <c r="B75">
        <v>0</v>
      </c>
    </row>
    <row r="76" spans="1:2" x14ac:dyDescent="0.35">
      <c r="A76" t="s">
        <v>240</v>
      </c>
      <c r="B76">
        <v>0</v>
      </c>
    </row>
    <row r="77" spans="1:2" x14ac:dyDescent="0.35">
      <c r="A77" t="s">
        <v>68</v>
      </c>
      <c r="B77">
        <v>0</v>
      </c>
    </row>
    <row r="78" spans="1:2" x14ac:dyDescent="0.35">
      <c r="A78" t="s">
        <v>113</v>
      </c>
      <c r="B78">
        <v>0</v>
      </c>
    </row>
    <row r="79" spans="1:2" x14ac:dyDescent="0.35">
      <c r="A79" t="s">
        <v>114</v>
      </c>
      <c r="B79">
        <v>0</v>
      </c>
    </row>
    <row r="80" spans="1:2" x14ac:dyDescent="0.35">
      <c r="A80" t="s">
        <v>241</v>
      </c>
      <c r="B80">
        <v>0</v>
      </c>
    </row>
    <row r="81" spans="1:2" x14ac:dyDescent="0.35">
      <c r="A81" t="s">
        <v>242</v>
      </c>
      <c r="B81">
        <v>0</v>
      </c>
    </row>
    <row r="82" spans="1:2" x14ac:dyDescent="0.35">
      <c r="A82" t="s">
        <v>199</v>
      </c>
      <c r="B82">
        <v>0</v>
      </c>
    </row>
    <row r="83" spans="1:2" x14ac:dyDescent="0.35">
      <c r="A83" t="s">
        <v>69</v>
      </c>
      <c r="B83">
        <v>0</v>
      </c>
    </row>
    <row r="84" spans="1:2" x14ac:dyDescent="0.35">
      <c r="A84" t="s">
        <v>287</v>
      </c>
      <c r="B84">
        <v>0</v>
      </c>
    </row>
    <row r="85" spans="1:2" x14ac:dyDescent="0.35">
      <c r="A85" t="s">
        <v>200</v>
      </c>
      <c r="B85">
        <v>0</v>
      </c>
    </row>
    <row r="86" spans="1:2" x14ac:dyDescent="0.35">
      <c r="A86" t="s">
        <v>288</v>
      </c>
      <c r="B86">
        <v>0</v>
      </c>
    </row>
    <row r="87" spans="1:2" x14ac:dyDescent="0.35">
      <c r="A87" t="s">
        <v>160</v>
      </c>
      <c r="B87">
        <v>0</v>
      </c>
    </row>
    <row r="88" spans="1:2" x14ac:dyDescent="0.35">
      <c r="A88" t="s">
        <v>161</v>
      </c>
      <c r="B88">
        <v>4</v>
      </c>
    </row>
    <row r="89" spans="1:2" x14ac:dyDescent="0.35">
      <c r="A89" t="s">
        <v>70</v>
      </c>
      <c r="B89">
        <v>2</v>
      </c>
    </row>
    <row r="90" spans="1:2" x14ac:dyDescent="0.35">
      <c r="A90" t="s">
        <v>115</v>
      </c>
      <c r="B90">
        <v>2</v>
      </c>
    </row>
    <row r="91" spans="1:2" x14ac:dyDescent="0.35">
      <c r="A91" t="s">
        <v>13</v>
      </c>
      <c r="B91">
        <v>2</v>
      </c>
    </row>
    <row r="92" spans="1:2" x14ac:dyDescent="0.35">
      <c r="A92" t="s">
        <v>201</v>
      </c>
      <c r="B92">
        <v>1</v>
      </c>
    </row>
    <row r="93" spans="1:2" x14ac:dyDescent="0.35">
      <c r="A93" t="s">
        <v>116</v>
      </c>
      <c r="B93">
        <v>2</v>
      </c>
    </row>
    <row r="94" spans="1:2" x14ac:dyDescent="0.35">
      <c r="A94" t="s">
        <v>289</v>
      </c>
      <c r="B94">
        <v>8564349</v>
      </c>
    </row>
    <row r="95" spans="1:2" x14ac:dyDescent="0.35">
      <c r="A95" t="s">
        <v>71</v>
      </c>
      <c r="B95">
        <v>13119254</v>
      </c>
    </row>
    <row r="96" spans="1:2" x14ac:dyDescent="0.35">
      <c r="A96" t="s">
        <v>14</v>
      </c>
      <c r="B96">
        <v>2090896</v>
      </c>
    </row>
    <row r="97" spans="1:2" x14ac:dyDescent="0.35">
      <c r="A97" t="s">
        <v>15</v>
      </c>
      <c r="B97">
        <v>1186095</v>
      </c>
    </row>
    <row r="98" spans="1:2" x14ac:dyDescent="0.35">
      <c r="A98" t="s">
        <v>243</v>
      </c>
      <c r="B98">
        <v>0</v>
      </c>
    </row>
    <row r="99" spans="1:2" x14ac:dyDescent="0.35">
      <c r="A99" t="s">
        <v>72</v>
      </c>
      <c r="B99">
        <v>0</v>
      </c>
    </row>
    <row r="100" spans="1:2" x14ac:dyDescent="0.35">
      <c r="A100" t="s">
        <v>162</v>
      </c>
      <c r="B100">
        <v>0</v>
      </c>
    </row>
    <row r="101" spans="1:2" x14ac:dyDescent="0.35">
      <c r="A101" t="s">
        <v>117</v>
      </c>
      <c r="B101">
        <v>0</v>
      </c>
    </row>
    <row r="102" spans="1:2" x14ac:dyDescent="0.35">
      <c r="A102" t="s">
        <v>117</v>
      </c>
      <c r="B102">
        <v>0</v>
      </c>
    </row>
    <row r="103" spans="1:2" x14ac:dyDescent="0.35">
      <c r="A103" t="s">
        <v>244</v>
      </c>
      <c r="B103">
        <v>0</v>
      </c>
    </row>
    <row r="104" spans="1:2" x14ac:dyDescent="0.35">
      <c r="A104" t="s">
        <v>164</v>
      </c>
      <c r="B104">
        <v>0</v>
      </c>
    </row>
    <row r="105" spans="1:2" x14ac:dyDescent="0.35">
      <c r="A105" t="s">
        <v>163</v>
      </c>
      <c r="B105">
        <v>0</v>
      </c>
    </row>
    <row r="106" spans="1:2" x14ac:dyDescent="0.35">
      <c r="A106" t="s">
        <v>73</v>
      </c>
      <c r="B106">
        <v>0</v>
      </c>
    </row>
    <row r="107" spans="1:2" x14ac:dyDescent="0.35">
      <c r="A107" t="s">
        <v>118</v>
      </c>
      <c r="B107">
        <v>0</v>
      </c>
    </row>
    <row r="108" spans="1:2" x14ac:dyDescent="0.35">
      <c r="A108" t="s">
        <v>119</v>
      </c>
      <c r="B108">
        <v>0</v>
      </c>
    </row>
    <row r="109" spans="1:2" x14ac:dyDescent="0.35">
      <c r="A109" t="s">
        <v>330</v>
      </c>
      <c r="B109">
        <v>0</v>
      </c>
    </row>
    <row r="110" spans="1:2" x14ac:dyDescent="0.35">
      <c r="A110" t="s">
        <v>165</v>
      </c>
      <c r="B110">
        <v>0</v>
      </c>
    </row>
    <row r="111" spans="1:2" x14ac:dyDescent="0.35">
      <c r="A111" t="s">
        <v>202</v>
      </c>
      <c r="B111">
        <v>0</v>
      </c>
    </row>
    <row r="112" spans="1:2" x14ac:dyDescent="0.35">
      <c r="A112" t="s">
        <v>16</v>
      </c>
      <c r="B112">
        <v>0</v>
      </c>
    </row>
    <row r="113" spans="1:2" x14ac:dyDescent="0.35">
      <c r="A113" t="s">
        <v>290</v>
      </c>
      <c r="B113">
        <v>0</v>
      </c>
    </row>
    <row r="114" spans="1:2" x14ac:dyDescent="0.35">
      <c r="A114" t="s">
        <v>120</v>
      </c>
      <c r="B114">
        <v>0</v>
      </c>
    </row>
    <row r="115" spans="1:2" x14ac:dyDescent="0.35">
      <c r="A115" t="s">
        <v>245</v>
      </c>
      <c r="B115">
        <v>0</v>
      </c>
    </row>
    <row r="116" spans="1:2" x14ac:dyDescent="0.35">
      <c r="A116" t="s">
        <v>75</v>
      </c>
      <c r="B116">
        <v>0</v>
      </c>
    </row>
    <row r="117" spans="1:2" x14ac:dyDescent="0.35">
      <c r="A117" t="s">
        <v>203</v>
      </c>
      <c r="B117">
        <v>0</v>
      </c>
    </row>
    <row r="118" spans="1:2" x14ac:dyDescent="0.35">
      <c r="A118" t="s">
        <v>204</v>
      </c>
      <c r="B118">
        <v>0</v>
      </c>
    </row>
    <row r="119" spans="1:2" x14ac:dyDescent="0.35">
      <c r="A119" t="s">
        <v>74</v>
      </c>
      <c r="B119">
        <v>0</v>
      </c>
    </row>
    <row r="120" spans="1:2" x14ac:dyDescent="0.35">
      <c r="A120" t="s">
        <v>166</v>
      </c>
      <c r="B120">
        <v>0</v>
      </c>
    </row>
    <row r="121" spans="1:2" x14ac:dyDescent="0.35">
      <c r="A121" t="s">
        <v>17</v>
      </c>
      <c r="B121">
        <v>0</v>
      </c>
    </row>
    <row r="122" spans="1:2" x14ac:dyDescent="0.35">
      <c r="A122" t="s">
        <v>292</v>
      </c>
      <c r="B122">
        <v>0</v>
      </c>
    </row>
    <row r="123" spans="1:2" x14ac:dyDescent="0.35">
      <c r="A123" t="s">
        <v>295</v>
      </c>
      <c r="B123">
        <v>0</v>
      </c>
    </row>
    <row r="124" spans="1:2" x14ac:dyDescent="0.35">
      <c r="A124" t="s">
        <v>169</v>
      </c>
      <c r="B124">
        <v>0</v>
      </c>
    </row>
    <row r="125" spans="1:2" x14ac:dyDescent="0.35">
      <c r="A125" t="s">
        <v>331</v>
      </c>
      <c r="B125">
        <v>0</v>
      </c>
    </row>
    <row r="126" spans="1:2" x14ac:dyDescent="0.35">
      <c r="A126" t="s">
        <v>332</v>
      </c>
      <c r="B126">
        <v>0</v>
      </c>
    </row>
    <row r="127" spans="1:2" x14ac:dyDescent="0.35">
      <c r="A127" t="s">
        <v>205</v>
      </c>
      <c r="B127">
        <v>0</v>
      </c>
    </row>
    <row r="128" spans="1:2" x14ac:dyDescent="0.35">
      <c r="A128" t="s">
        <v>206</v>
      </c>
      <c r="B128">
        <v>0</v>
      </c>
    </row>
    <row r="129" spans="1:2" x14ac:dyDescent="0.35">
      <c r="A129" t="s">
        <v>334</v>
      </c>
      <c r="B129">
        <v>0</v>
      </c>
    </row>
    <row r="130" spans="1:2" x14ac:dyDescent="0.35">
      <c r="A130" t="s">
        <v>20</v>
      </c>
      <c r="B130">
        <v>0</v>
      </c>
    </row>
    <row r="131" spans="1:2" x14ac:dyDescent="0.35">
      <c r="A131" t="s">
        <v>171</v>
      </c>
      <c r="B131">
        <v>0</v>
      </c>
    </row>
    <row r="132" spans="1:2" x14ac:dyDescent="0.35">
      <c r="A132" t="s">
        <v>249</v>
      </c>
      <c r="B132">
        <v>0</v>
      </c>
    </row>
    <row r="133" spans="1:2" x14ac:dyDescent="0.35">
      <c r="A133" t="s">
        <v>168</v>
      </c>
      <c r="B133">
        <v>0</v>
      </c>
    </row>
    <row r="134" spans="1:2" x14ac:dyDescent="0.35">
      <c r="A134" t="s">
        <v>293</v>
      </c>
      <c r="B134">
        <v>0</v>
      </c>
    </row>
    <row r="135" spans="1:2" x14ac:dyDescent="0.35">
      <c r="A135" t="s">
        <v>76</v>
      </c>
      <c r="B135">
        <v>0</v>
      </c>
    </row>
    <row r="136" spans="1:2" x14ac:dyDescent="0.35">
      <c r="A136" t="s">
        <v>294</v>
      </c>
      <c r="B136">
        <v>0</v>
      </c>
    </row>
    <row r="137" spans="1:2" x14ac:dyDescent="0.35">
      <c r="A137" t="s">
        <v>248</v>
      </c>
      <c r="B137">
        <v>0</v>
      </c>
    </row>
    <row r="138" spans="1:2" x14ac:dyDescent="0.35">
      <c r="A138" t="s">
        <v>170</v>
      </c>
      <c r="B138">
        <v>0</v>
      </c>
    </row>
    <row r="139" spans="1:2" x14ac:dyDescent="0.35">
      <c r="A139" t="s">
        <v>291</v>
      </c>
      <c r="B139">
        <v>0</v>
      </c>
    </row>
    <row r="140" spans="1:2" x14ac:dyDescent="0.35">
      <c r="A140" t="s">
        <v>246</v>
      </c>
      <c r="B140">
        <v>0</v>
      </c>
    </row>
    <row r="141" spans="1:2" x14ac:dyDescent="0.35">
      <c r="A141" t="s">
        <v>18</v>
      </c>
      <c r="B141">
        <v>0</v>
      </c>
    </row>
    <row r="142" spans="1:2" x14ac:dyDescent="0.35">
      <c r="A142" t="s">
        <v>77</v>
      </c>
      <c r="B142">
        <v>0</v>
      </c>
    </row>
    <row r="143" spans="1:2" x14ac:dyDescent="0.35">
      <c r="A143" t="s">
        <v>333</v>
      </c>
      <c r="B143">
        <v>0</v>
      </c>
    </row>
    <row r="144" spans="1:2" x14ac:dyDescent="0.35">
      <c r="A144" t="s">
        <v>19</v>
      </c>
      <c r="B144">
        <v>0</v>
      </c>
    </row>
    <row r="145" spans="1:2" x14ac:dyDescent="0.35">
      <c r="A145" t="s">
        <v>250</v>
      </c>
      <c r="B145">
        <v>0</v>
      </c>
    </row>
    <row r="146" spans="1:2" x14ac:dyDescent="0.35">
      <c r="A146" t="s">
        <v>167</v>
      </c>
      <c r="B146">
        <v>0</v>
      </c>
    </row>
    <row r="147" spans="1:2" x14ac:dyDescent="0.35">
      <c r="A147" t="s">
        <v>122</v>
      </c>
      <c r="B147">
        <v>0</v>
      </c>
    </row>
    <row r="148" spans="1:2" x14ac:dyDescent="0.35">
      <c r="A148" t="s">
        <v>21</v>
      </c>
      <c r="B148">
        <v>0</v>
      </c>
    </row>
    <row r="149" spans="1:2" x14ac:dyDescent="0.35">
      <c r="A149" t="s">
        <v>247</v>
      </c>
      <c r="B149">
        <v>0</v>
      </c>
    </row>
    <row r="150" spans="1:2" x14ac:dyDescent="0.35">
      <c r="A150" t="s">
        <v>121</v>
      </c>
      <c r="B150">
        <v>0</v>
      </c>
    </row>
    <row r="151" spans="1:2" x14ac:dyDescent="0.35">
      <c r="A151" t="s">
        <v>335</v>
      </c>
      <c r="B151">
        <v>0</v>
      </c>
    </row>
    <row r="152" spans="1:2" x14ac:dyDescent="0.35">
      <c r="A152" t="s">
        <v>123</v>
      </c>
      <c r="B152">
        <v>0</v>
      </c>
    </row>
    <row r="153" spans="1:2" x14ac:dyDescent="0.35">
      <c r="A153" t="s">
        <v>26</v>
      </c>
      <c r="B153">
        <v>45985292</v>
      </c>
    </row>
    <row r="154" spans="1:2" x14ac:dyDescent="0.35">
      <c r="A154" t="s">
        <v>173</v>
      </c>
      <c r="B154">
        <v>10836094</v>
      </c>
    </row>
    <row r="155" spans="1:2" x14ac:dyDescent="0.35">
      <c r="A155" t="s">
        <v>78</v>
      </c>
      <c r="B155">
        <v>3597701</v>
      </c>
    </row>
    <row r="156" spans="1:2" x14ac:dyDescent="0.35">
      <c r="A156" t="s">
        <v>207</v>
      </c>
      <c r="B156">
        <v>5764</v>
      </c>
    </row>
    <row r="157" spans="1:2" x14ac:dyDescent="0.35">
      <c r="A157" t="s">
        <v>24</v>
      </c>
      <c r="B157">
        <v>647</v>
      </c>
    </row>
    <row r="158" spans="1:2" x14ac:dyDescent="0.35">
      <c r="A158" t="s">
        <v>172</v>
      </c>
      <c r="B158">
        <v>277490</v>
      </c>
    </row>
    <row r="159" spans="1:2" x14ac:dyDescent="0.35">
      <c r="A159" t="s">
        <v>124</v>
      </c>
      <c r="B159">
        <v>115856</v>
      </c>
    </row>
    <row r="160" spans="1:2" x14ac:dyDescent="0.35">
      <c r="A160" t="s">
        <v>336</v>
      </c>
      <c r="B160">
        <v>0</v>
      </c>
    </row>
    <row r="161" spans="1:2" x14ac:dyDescent="0.35">
      <c r="A161" t="s">
        <v>175</v>
      </c>
      <c r="B161">
        <v>83154</v>
      </c>
    </row>
    <row r="162" spans="1:2" x14ac:dyDescent="0.35">
      <c r="A162" t="s">
        <v>298</v>
      </c>
      <c r="B162">
        <v>5216</v>
      </c>
    </row>
    <row r="163" spans="1:2" x14ac:dyDescent="0.35">
      <c r="A163" t="s">
        <v>23</v>
      </c>
      <c r="B163">
        <v>187928</v>
      </c>
    </row>
    <row r="164" spans="1:2" x14ac:dyDescent="0.35">
      <c r="A164" t="s">
        <v>296</v>
      </c>
      <c r="B164">
        <v>7918</v>
      </c>
    </row>
    <row r="165" spans="1:2" x14ac:dyDescent="0.35">
      <c r="A165" t="s">
        <v>209</v>
      </c>
      <c r="B165">
        <v>999</v>
      </c>
    </row>
    <row r="166" spans="1:2" x14ac:dyDescent="0.35">
      <c r="A166" t="s">
        <v>251</v>
      </c>
      <c r="B166">
        <v>0</v>
      </c>
    </row>
    <row r="167" spans="1:2" x14ac:dyDescent="0.35">
      <c r="A167" t="s">
        <v>22</v>
      </c>
      <c r="B167">
        <v>0</v>
      </c>
    </row>
    <row r="168" spans="1:2" x14ac:dyDescent="0.35">
      <c r="A168" t="s">
        <v>27</v>
      </c>
      <c r="B168">
        <v>0</v>
      </c>
    </row>
    <row r="169" spans="1:2" x14ac:dyDescent="0.35">
      <c r="A169" t="s">
        <v>297</v>
      </c>
      <c r="B169">
        <v>0</v>
      </c>
    </row>
    <row r="170" spans="1:2" x14ac:dyDescent="0.35">
      <c r="A170" t="s">
        <v>337</v>
      </c>
      <c r="B170">
        <v>0</v>
      </c>
    </row>
    <row r="171" spans="1:2" x14ac:dyDescent="0.35">
      <c r="A171" t="s">
        <v>252</v>
      </c>
      <c r="B171">
        <v>92492</v>
      </c>
    </row>
    <row r="172" spans="1:2" x14ac:dyDescent="0.35">
      <c r="A172" t="s">
        <v>174</v>
      </c>
      <c r="B172">
        <v>1156556</v>
      </c>
    </row>
    <row r="173" spans="1:2" x14ac:dyDescent="0.35">
      <c r="A173" t="s">
        <v>126</v>
      </c>
      <c r="B173">
        <v>4543</v>
      </c>
    </row>
    <row r="174" spans="1:2" x14ac:dyDescent="0.35">
      <c r="A174" t="s">
        <v>25</v>
      </c>
      <c r="B174">
        <v>7390532</v>
      </c>
    </row>
    <row r="175" spans="1:2" x14ac:dyDescent="0.35">
      <c r="A175" t="s">
        <v>338</v>
      </c>
      <c r="B175">
        <v>4200782</v>
      </c>
    </row>
    <row r="176" spans="1:2" x14ac:dyDescent="0.35">
      <c r="A176" t="s">
        <v>125</v>
      </c>
      <c r="B176">
        <v>7523118</v>
      </c>
    </row>
    <row r="177" spans="1:2" x14ac:dyDescent="0.35">
      <c r="A177" t="s">
        <v>208</v>
      </c>
      <c r="B177">
        <v>10833774</v>
      </c>
    </row>
    <row r="178" spans="1:2" x14ac:dyDescent="0.35">
      <c r="A178" t="s">
        <v>253</v>
      </c>
      <c r="B178">
        <v>14517983</v>
      </c>
    </row>
    <row r="179" spans="1:2" x14ac:dyDescent="0.35">
      <c r="A179" t="s">
        <v>28</v>
      </c>
      <c r="B179">
        <v>0</v>
      </c>
    </row>
    <row r="180" spans="1:2" x14ac:dyDescent="0.35">
      <c r="A180" t="s">
        <v>212</v>
      </c>
      <c r="B180">
        <v>0</v>
      </c>
    </row>
    <row r="181" spans="1:2" x14ac:dyDescent="0.35">
      <c r="A181" t="s">
        <v>127</v>
      </c>
      <c r="B181">
        <v>0</v>
      </c>
    </row>
    <row r="182" spans="1:2" x14ac:dyDescent="0.35">
      <c r="A182" t="s">
        <v>29</v>
      </c>
      <c r="B182">
        <v>0</v>
      </c>
    </row>
    <row r="183" spans="1:2" x14ac:dyDescent="0.35">
      <c r="A183" t="s">
        <v>178</v>
      </c>
      <c r="B183">
        <v>0</v>
      </c>
    </row>
    <row r="184" spans="1:2" x14ac:dyDescent="0.35">
      <c r="A184" t="s">
        <v>254</v>
      </c>
      <c r="B184">
        <v>0</v>
      </c>
    </row>
    <row r="185" spans="1:2" x14ac:dyDescent="0.35">
      <c r="A185" t="s">
        <v>177</v>
      </c>
      <c r="B185">
        <v>0</v>
      </c>
    </row>
    <row r="186" spans="1:2" x14ac:dyDescent="0.35">
      <c r="A186" t="s">
        <v>213</v>
      </c>
      <c r="B186">
        <v>0</v>
      </c>
    </row>
    <row r="187" spans="1:2" x14ac:dyDescent="0.35">
      <c r="A187" t="s">
        <v>79</v>
      </c>
      <c r="B187">
        <v>0</v>
      </c>
    </row>
    <row r="188" spans="1:2" x14ac:dyDescent="0.35">
      <c r="A188" t="s">
        <v>176</v>
      </c>
      <c r="B188">
        <v>0</v>
      </c>
    </row>
    <row r="189" spans="1:2" x14ac:dyDescent="0.35">
      <c r="A189" t="s">
        <v>211</v>
      </c>
      <c r="B189">
        <v>0</v>
      </c>
    </row>
    <row r="190" spans="1:2" x14ac:dyDescent="0.35">
      <c r="A190" t="s">
        <v>210</v>
      </c>
      <c r="B190">
        <v>0</v>
      </c>
    </row>
    <row r="191" spans="1:2" x14ac:dyDescent="0.35">
      <c r="A191" t="s">
        <v>80</v>
      </c>
      <c r="B191">
        <v>9771</v>
      </c>
    </row>
    <row r="192" spans="1:2" x14ac:dyDescent="0.35">
      <c r="A192" t="s">
        <v>30</v>
      </c>
      <c r="B192">
        <v>8919</v>
      </c>
    </row>
    <row r="193" spans="1:2" x14ac:dyDescent="0.35">
      <c r="A193" t="s">
        <v>299</v>
      </c>
      <c r="B193">
        <v>18178</v>
      </c>
    </row>
    <row r="194" spans="1:2" x14ac:dyDescent="0.35">
      <c r="A194" t="s">
        <v>255</v>
      </c>
      <c r="B194">
        <v>0</v>
      </c>
    </row>
    <row r="195" spans="1:2" x14ac:dyDescent="0.35">
      <c r="A195" t="s">
        <v>214</v>
      </c>
      <c r="B195">
        <v>9035</v>
      </c>
    </row>
    <row r="196" spans="1:2" x14ac:dyDescent="0.35">
      <c r="A196" t="s">
        <v>128</v>
      </c>
      <c r="B196">
        <v>9034</v>
      </c>
    </row>
    <row r="197" spans="1:2" x14ac:dyDescent="0.35">
      <c r="A197" t="s">
        <v>256</v>
      </c>
      <c r="B197">
        <v>0</v>
      </c>
    </row>
    <row r="198" spans="1:2" x14ac:dyDescent="0.35">
      <c r="A198" t="s">
        <v>180</v>
      </c>
      <c r="B198">
        <v>0</v>
      </c>
    </row>
    <row r="199" spans="1:2" x14ac:dyDescent="0.35">
      <c r="A199" t="s">
        <v>129</v>
      </c>
      <c r="B199">
        <v>0</v>
      </c>
    </row>
    <row r="200" spans="1:2" x14ac:dyDescent="0.35">
      <c r="A200" t="s">
        <v>300</v>
      </c>
      <c r="B200">
        <v>0</v>
      </c>
    </row>
    <row r="201" spans="1:2" x14ac:dyDescent="0.35">
      <c r="A201" t="s">
        <v>179</v>
      </c>
      <c r="B201">
        <v>0</v>
      </c>
    </row>
    <row r="202" spans="1:2" x14ac:dyDescent="0.35">
      <c r="A202" t="s">
        <v>339</v>
      </c>
      <c r="B202">
        <v>0</v>
      </c>
    </row>
    <row r="203" spans="1:2" x14ac:dyDescent="0.35">
      <c r="A203" t="s">
        <v>301</v>
      </c>
      <c r="B203">
        <v>0</v>
      </c>
    </row>
    <row r="204" spans="1:2" x14ac:dyDescent="0.35">
      <c r="A204" t="s">
        <v>31</v>
      </c>
      <c r="B204">
        <v>0</v>
      </c>
    </row>
    <row r="205" spans="1:2" x14ac:dyDescent="0.35">
      <c r="A205" t="s">
        <v>181</v>
      </c>
      <c r="B205">
        <v>0</v>
      </c>
    </row>
    <row r="206" spans="1:2" x14ac:dyDescent="0.35">
      <c r="A206" t="s">
        <v>340</v>
      </c>
      <c r="B206">
        <v>0</v>
      </c>
    </row>
    <row r="207" spans="1:2" x14ac:dyDescent="0.35">
      <c r="A207" t="s">
        <v>341</v>
      </c>
      <c r="B207">
        <v>0</v>
      </c>
    </row>
    <row r="208" spans="1:2" x14ac:dyDescent="0.35">
      <c r="A208" t="s">
        <v>81</v>
      </c>
      <c r="B208">
        <v>0</v>
      </c>
    </row>
    <row r="209" spans="1:2" x14ac:dyDescent="0.35">
      <c r="A209" t="s">
        <v>82</v>
      </c>
      <c r="B209">
        <v>0</v>
      </c>
    </row>
    <row r="210" spans="1:2" x14ac:dyDescent="0.35">
      <c r="A210" t="s">
        <v>302</v>
      </c>
      <c r="B210">
        <v>0</v>
      </c>
    </row>
    <row r="211" spans="1:2" x14ac:dyDescent="0.35">
      <c r="A211" t="s">
        <v>83</v>
      </c>
      <c r="B211">
        <v>0</v>
      </c>
    </row>
    <row r="212" spans="1:2" x14ac:dyDescent="0.35">
      <c r="A212" t="s">
        <v>84</v>
      </c>
      <c r="B212">
        <v>0</v>
      </c>
    </row>
    <row r="213" spans="1:2" x14ac:dyDescent="0.35">
      <c r="A213" t="s">
        <v>257</v>
      </c>
      <c r="B213">
        <v>0</v>
      </c>
    </row>
    <row r="214" spans="1:2" x14ac:dyDescent="0.35">
      <c r="A214" t="s">
        <v>85</v>
      </c>
      <c r="B214">
        <v>0</v>
      </c>
    </row>
    <row r="215" spans="1:2" x14ac:dyDescent="0.35">
      <c r="A215" t="s">
        <v>342</v>
      </c>
      <c r="B215">
        <v>0</v>
      </c>
    </row>
    <row r="216" spans="1:2" x14ac:dyDescent="0.35">
      <c r="A216" t="s">
        <v>32</v>
      </c>
      <c r="B216">
        <v>0</v>
      </c>
    </row>
    <row r="217" spans="1:2" x14ac:dyDescent="0.35">
      <c r="A217" t="s">
        <v>303</v>
      </c>
      <c r="B217">
        <v>0</v>
      </c>
    </row>
    <row r="218" spans="1:2" x14ac:dyDescent="0.35">
      <c r="A218" t="s">
        <v>258</v>
      </c>
      <c r="B218">
        <v>0</v>
      </c>
    </row>
    <row r="219" spans="1:2" x14ac:dyDescent="0.35">
      <c r="A219" t="s">
        <v>215</v>
      </c>
      <c r="B219">
        <v>0</v>
      </c>
    </row>
    <row r="220" spans="1:2" x14ac:dyDescent="0.35">
      <c r="A220" t="s">
        <v>304</v>
      </c>
      <c r="B220">
        <v>0</v>
      </c>
    </row>
    <row r="221" spans="1:2" x14ac:dyDescent="0.35">
      <c r="A221" t="s">
        <v>259</v>
      </c>
      <c r="B221">
        <v>0</v>
      </c>
    </row>
    <row r="222" spans="1:2" x14ac:dyDescent="0.35">
      <c r="A222" t="s">
        <v>130</v>
      </c>
      <c r="B222">
        <v>0</v>
      </c>
    </row>
    <row r="223" spans="1:2" x14ac:dyDescent="0.35">
      <c r="A223" t="s">
        <v>305</v>
      </c>
      <c r="B223">
        <v>0</v>
      </c>
    </row>
    <row r="224" spans="1:2" x14ac:dyDescent="0.35">
      <c r="A224" t="s">
        <v>182</v>
      </c>
      <c r="B224">
        <v>0</v>
      </c>
    </row>
    <row r="225" spans="1:2" x14ac:dyDescent="0.35">
      <c r="A225" t="s">
        <v>344</v>
      </c>
      <c r="B225">
        <v>0</v>
      </c>
    </row>
    <row r="226" spans="1:2" x14ac:dyDescent="0.35">
      <c r="A226" t="s">
        <v>183</v>
      </c>
      <c r="B226">
        <v>0</v>
      </c>
    </row>
    <row r="227" spans="1:2" x14ac:dyDescent="0.35">
      <c r="A227" t="s">
        <v>308</v>
      </c>
      <c r="B227">
        <v>0</v>
      </c>
    </row>
    <row r="228" spans="1:2" x14ac:dyDescent="0.35">
      <c r="A228" t="s">
        <v>88</v>
      </c>
      <c r="B228">
        <v>0</v>
      </c>
    </row>
    <row r="229" spans="1:2" x14ac:dyDescent="0.35">
      <c r="A229" t="s">
        <v>260</v>
      </c>
      <c r="B229">
        <v>0</v>
      </c>
    </row>
    <row r="230" spans="1:2" x14ac:dyDescent="0.35">
      <c r="A230" t="s">
        <v>131</v>
      </c>
      <c r="B230">
        <v>0</v>
      </c>
    </row>
    <row r="231" spans="1:2" x14ac:dyDescent="0.35">
      <c r="A231" t="s">
        <v>306</v>
      </c>
      <c r="B231">
        <v>0</v>
      </c>
    </row>
    <row r="232" spans="1:2" x14ac:dyDescent="0.35">
      <c r="A232" t="s">
        <v>35</v>
      </c>
      <c r="B232">
        <v>0</v>
      </c>
    </row>
    <row r="233" spans="1:2" x14ac:dyDescent="0.35">
      <c r="A233" t="s">
        <v>34</v>
      </c>
      <c r="B233">
        <v>0</v>
      </c>
    </row>
    <row r="234" spans="1:2" x14ac:dyDescent="0.35">
      <c r="A234" t="s">
        <v>132</v>
      </c>
      <c r="B234">
        <v>0</v>
      </c>
    </row>
    <row r="235" spans="1:2" x14ac:dyDescent="0.35">
      <c r="A235" t="s">
        <v>309</v>
      </c>
      <c r="B235">
        <v>0</v>
      </c>
    </row>
    <row r="236" spans="1:2" x14ac:dyDescent="0.35">
      <c r="A236" t="s">
        <v>36</v>
      </c>
      <c r="B236">
        <v>0</v>
      </c>
    </row>
    <row r="237" spans="1:2" x14ac:dyDescent="0.35">
      <c r="A237" t="s">
        <v>37</v>
      </c>
      <c r="B237">
        <v>0</v>
      </c>
    </row>
    <row r="238" spans="1:2" x14ac:dyDescent="0.35">
      <c r="A238" t="s">
        <v>261</v>
      </c>
      <c r="B238">
        <v>0</v>
      </c>
    </row>
    <row r="239" spans="1:2" x14ac:dyDescent="0.35">
      <c r="A239" t="s">
        <v>217</v>
      </c>
      <c r="B239">
        <v>0</v>
      </c>
    </row>
    <row r="240" spans="1:2" x14ac:dyDescent="0.35">
      <c r="A240" t="s">
        <v>133</v>
      </c>
      <c r="B240">
        <v>0</v>
      </c>
    </row>
    <row r="241" spans="1:2" x14ac:dyDescent="0.35">
      <c r="A241" t="s">
        <v>134</v>
      </c>
      <c r="B241">
        <v>0</v>
      </c>
    </row>
    <row r="242" spans="1:2" x14ac:dyDescent="0.35">
      <c r="A242" t="s">
        <v>89</v>
      </c>
      <c r="B242">
        <v>0</v>
      </c>
    </row>
    <row r="243" spans="1:2" x14ac:dyDescent="0.35">
      <c r="A243" t="s">
        <v>346</v>
      </c>
      <c r="B243">
        <v>0</v>
      </c>
    </row>
    <row r="244" spans="1:2" x14ac:dyDescent="0.35">
      <c r="A244" t="s">
        <v>185</v>
      </c>
      <c r="B244">
        <v>0</v>
      </c>
    </row>
    <row r="245" spans="1:2" x14ac:dyDescent="0.35">
      <c r="A245" t="s">
        <v>135</v>
      </c>
      <c r="B245">
        <v>0</v>
      </c>
    </row>
    <row r="246" spans="1:2" x14ac:dyDescent="0.35">
      <c r="A246" t="s">
        <v>184</v>
      </c>
      <c r="B246">
        <v>0</v>
      </c>
    </row>
    <row r="247" spans="1:2" x14ac:dyDescent="0.35">
      <c r="A247" t="s">
        <v>345</v>
      </c>
      <c r="B247">
        <v>0</v>
      </c>
    </row>
    <row r="248" spans="1:2" x14ac:dyDescent="0.35">
      <c r="A248" t="s">
        <v>33</v>
      </c>
      <c r="B248">
        <v>0</v>
      </c>
    </row>
    <row r="249" spans="1:2" x14ac:dyDescent="0.35">
      <c r="A249" t="s">
        <v>216</v>
      </c>
      <c r="B249">
        <v>0</v>
      </c>
    </row>
    <row r="250" spans="1:2" x14ac:dyDescent="0.35">
      <c r="A250" t="s">
        <v>343</v>
      </c>
      <c r="B250">
        <v>0</v>
      </c>
    </row>
    <row r="251" spans="1:2" x14ac:dyDescent="0.35">
      <c r="A251" t="s">
        <v>86</v>
      </c>
      <c r="B251">
        <v>0</v>
      </c>
    </row>
    <row r="252" spans="1:2" x14ac:dyDescent="0.35">
      <c r="A252" t="s">
        <v>186</v>
      </c>
      <c r="B252">
        <v>0</v>
      </c>
    </row>
    <row r="253" spans="1:2" x14ac:dyDescent="0.35">
      <c r="A253" t="s">
        <v>90</v>
      </c>
      <c r="B253">
        <v>0</v>
      </c>
    </row>
    <row r="254" spans="1:2" x14ac:dyDescent="0.35">
      <c r="A254" t="s">
        <v>262</v>
      </c>
      <c r="B254">
        <v>0</v>
      </c>
    </row>
    <row r="255" spans="1:2" x14ac:dyDescent="0.35">
      <c r="A255" t="s">
        <v>263</v>
      </c>
      <c r="B255">
        <v>0</v>
      </c>
    </row>
    <row r="256" spans="1:2" x14ac:dyDescent="0.35">
      <c r="A256" t="s">
        <v>92</v>
      </c>
      <c r="B256">
        <v>0</v>
      </c>
    </row>
    <row r="257" spans="1:2" x14ac:dyDescent="0.35">
      <c r="A257" t="s">
        <v>39</v>
      </c>
      <c r="B257">
        <v>0</v>
      </c>
    </row>
    <row r="258" spans="1:2" x14ac:dyDescent="0.35">
      <c r="A258" t="s">
        <v>91</v>
      </c>
      <c r="B258">
        <v>0</v>
      </c>
    </row>
    <row r="259" spans="1:2" x14ac:dyDescent="0.35">
      <c r="A259" t="s">
        <v>218</v>
      </c>
      <c r="B259">
        <v>0</v>
      </c>
    </row>
    <row r="260" spans="1:2" x14ac:dyDescent="0.35">
      <c r="A260" t="s">
        <v>40</v>
      </c>
      <c r="B260">
        <v>0</v>
      </c>
    </row>
    <row r="261" spans="1:2" x14ac:dyDescent="0.35">
      <c r="A261" t="s">
        <v>219</v>
      </c>
      <c r="B261">
        <v>0</v>
      </c>
    </row>
    <row r="262" spans="1:2" x14ac:dyDescent="0.35">
      <c r="A262" t="s">
        <v>310</v>
      </c>
      <c r="B262">
        <v>0</v>
      </c>
    </row>
    <row r="263" spans="1:2" x14ac:dyDescent="0.35">
      <c r="A263" t="s">
        <v>38</v>
      </c>
      <c r="B263">
        <v>0</v>
      </c>
    </row>
    <row r="264" spans="1:2" x14ac:dyDescent="0.35">
      <c r="A264" t="s">
        <v>93</v>
      </c>
      <c r="B264">
        <v>0</v>
      </c>
    </row>
    <row r="265" spans="1:2" x14ac:dyDescent="0.35">
      <c r="A265" t="s">
        <v>187</v>
      </c>
      <c r="B265">
        <v>0</v>
      </c>
    </row>
    <row r="266" spans="1:2" x14ac:dyDescent="0.35">
      <c r="A266" t="s">
        <v>264</v>
      </c>
      <c r="B266">
        <v>0</v>
      </c>
    </row>
    <row r="267" spans="1:2" x14ac:dyDescent="0.35">
      <c r="A267" t="s">
        <v>307</v>
      </c>
      <c r="B267">
        <v>0</v>
      </c>
    </row>
    <row r="268" spans="1:2" x14ac:dyDescent="0.35">
      <c r="A268" t="s">
        <v>41</v>
      </c>
      <c r="B268">
        <v>0</v>
      </c>
    </row>
    <row r="269" spans="1:2" x14ac:dyDescent="0.35">
      <c r="A269" t="s">
        <v>136</v>
      </c>
      <c r="B269">
        <v>0</v>
      </c>
    </row>
    <row r="270" spans="1:2" x14ac:dyDescent="0.35">
      <c r="A270" t="s">
        <v>137</v>
      </c>
      <c r="B270">
        <v>0</v>
      </c>
    </row>
    <row r="271" spans="1:2" x14ac:dyDescent="0.35">
      <c r="A271" t="s">
        <v>94</v>
      </c>
      <c r="B271">
        <v>0</v>
      </c>
    </row>
    <row r="272" spans="1:2" x14ac:dyDescent="0.35">
      <c r="A272" t="s">
        <v>138</v>
      </c>
      <c r="B272">
        <v>0</v>
      </c>
    </row>
    <row r="273" spans="1:2" x14ac:dyDescent="0.35">
      <c r="A273" t="s">
        <v>220</v>
      </c>
      <c r="B273">
        <v>0</v>
      </c>
    </row>
    <row r="274" spans="1:2" x14ac:dyDescent="0.35">
      <c r="A274" t="s">
        <v>139</v>
      </c>
      <c r="B274">
        <v>0</v>
      </c>
    </row>
    <row r="275" spans="1:2" x14ac:dyDescent="0.35">
      <c r="A275" t="s">
        <v>42</v>
      </c>
      <c r="B275">
        <v>0</v>
      </c>
    </row>
    <row r="276" spans="1:2" x14ac:dyDescent="0.35">
      <c r="A276" t="s">
        <v>265</v>
      </c>
      <c r="B276">
        <v>0</v>
      </c>
    </row>
    <row r="277" spans="1:2" x14ac:dyDescent="0.35">
      <c r="A277" t="s">
        <v>140</v>
      </c>
      <c r="B277">
        <v>0</v>
      </c>
    </row>
    <row r="278" spans="1:2" x14ac:dyDescent="0.35">
      <c r="A278" t="s">
        <v>221</v>
      </c>
      <c r="B278">
        <v>0</v>
      </c>
    </row>
    <row r="279" spans="1:2" x14ac:dyDescent="0.35">
      <c r="A279" t="s">
        <v>266</v>
      </c>
      <c r="B279">
        <v>0</v>
      </c>
    </row>
    <row r="280" spans="1:2" x14ac:dyDescent="0.35">
      <c r="A280" t="s">
        <v>141</v>
      </c>
      <c r="B280">
        <v>0</v>
      </c>
    </row>
    <row r="281" spans="1:2" x14ac:dyDescent="0.35">
      <c r="A281" t="s">
        <v>142</v>
      </c>
      <c r="B281">
        <v>0</v>
      </c>
    </row>
    <row r="282" spans="1:2" x14ac:dyDescent="0.35">
      <c r="A282" t="s">
        <v>311</v>
      </c>
      <c r="B282">
        <v>0</v>
      </c>
    </row>
    <row r="283" spans="1:2" x14ac:dyDescent="0.35">
      <c r="A283" t="s">
        <v>95</v>
      </c>
      <c r="B283">
        <v>0</v>
      </c>
    </row>
    <row r="284" spans="1:2" x14ac:dyDescent="0.35">
      <c r="A284" t="s">
        <v>222</v>
      </c>
      <c r="B284">
        <v>0</v>
      </c>
    </row>
    <row r="285" spans="1:2" x14ac:dyDescent="0.35">
      <c r="A285" t="s">
        <v>96</v>
      </c>
      <c r="B285">
        <v>0</v>
      </c>
    </row>
    <row r="286" spans="1:2" x14ac:dyDescent="0.35">
      <c r="A286" t="s">
        <v>143</v>
      </c>
      <c r="B286">
        <v>0</v>
      </c>
    </row>
    <row r="287" spans="1:2" x14ac:dyDescent="0.35">
      <c r="A287" t="s">
        <v>43</v>
      </c>
      <c r="B287">
        <v>0</v>
      </c>
    </row>
    <row r="288" spans="1:2" x14ac:dyDescent="0.35">
      <c r="A288" t="s">
        <v>47</v>
      </c>
      <c r="B288">
        <v>0</v>
      </c>
    </row>
    <row r="289" spans="1:2" x14ac:dyDescent="0.35">
      <c r="A289" t="s">
        <v>44</v>
      </c>
      <c r="B289">
        <v>0</v>
      </c>
    </row>
    <row r="290" spans="1:2" x14ac:dyDescent="0.35">
      <c r="A290" t="s">
        <v>272</v>
      </c>
      <c r="B290">
        <v>0</v>
      </c>
    </row>
    <row r="291" spans="1:2" x14ac:dyDescent="0.35">
      <c r="A291" t="s">
        <v>45</v>
      </c>
      <c r="B291">
        <v>0</v>
      </c>
    </row>
    <row r="292" spans="1:2" x14ac:dyDescent="0.35">
      <c r="A292" t="s">
        <v>269</v>
      </c>
      <c r="B292">
        <v>0</v>
      </c>
    </row>
    <row r="293" spans="1:2" x14ac:dyDescent="0.35">
      <c r="A293" t="s">
        <v>53</v>
      </c>
      <c r="B293">
        <v>0</v>
      </c>
    </row>
    <row r="294" spans="1:2" x14ac:dyDescent="0.35">
      <c r="A294" t="s">
        <v>270</v>
      </c>
      <c r="B294">
        <v>0</v>
      </c>
    </row>
    <row r="295" spans="1:2" x14ac:dyDescent="0.35">
      <c r="A295" t="s">
        <v>314</v>
      </c>
      <c r="B295">
        <v>0</v>
      </c>
    </row>
    <row r="296" spans="1:2" x14ac:dyDescent="0.35">
      <c r="A296" t="s">
        <v>315</v>
      </c>
      <c r="B296">
        <v>0</v>
      </c>
    </row>
    <row r="297" spans="1:2" x14ac:dyDescent="0.35">
      <c r="A297" t="s">
        <v>97</v>
      </c>
      <c r="B297">
        <v>0</v>
      </c>
    </row>
    <row r="298" spans="1:2" x14ac:dyDescent="0.35">
      <c r="A298" t="s">
        <v>98</v>
      </c>
      <c r="B298">
        <v>0</v>
      </c>
    </row>
    <row r="299" spans="1:2" x14ac:dyDescent="0.35">
      <c r="A299" t="s">
        <v>102</v>
      </c>
      <c r="B299">
        <v>0</v>
      </c>
    </row>
    <row r="300" spans="1:2" x14ac:dyDescent="0.35">
      <c r="A300" t="s">
        <v>267</v>
      </c>
      <c r="B300">
        <v>0</v>
      </c>
    </row>
    <row r="301" spans="1:2" x14ac:dyDescent="0.35">
      <c r="A301" t="s">
        <v>144</v>
      </c>
      <c r="B301">
        <v>0</v>
      </c>
    </row>
    <row r="302" spans="1:2" x14ac:dyDescent="0.35">
      <c r="A302" t="s">
        <v>268</v>
      </c>
      <c r="B302">
        <v>0</v>
      </c>
    </row>
    <row r="303" spans="1:2" x14ac:dyDescent="0.35">
      <c r="A303" t="s">
        <v>351</v>
      </c>
      <c r="B303">
        <v>0</v>
      </c>
    </row>
    <row r="304" spans="1:2" x14ac:dyDescent="0.35">
      <c r="A304" t="s">
        <v>347</v>
      </c>
      <c r="B304">
        <v>0</v>
      </c>
    </row>
    <row r="305" spans="1:2" x14ac:dyDescent="0.35">
      <c r="A305" t="s">
        <v>87</v>
      </c>
      <c r="B305">
        <v>0</v>
      </c>
    </row>
    <row r="306" spans="1:2" x14ac:dyDescent="0.35">
      <c r="A306" t="s">
        <v>188</v>
      </c>
      <c r="B306">
        <v>0</v>
      </c>
    </row>
    <row r="307" spans="1:2" x14ac:dyDescent="0.35">
      <c r="A307" t="s">
        <v>189</v>
      </c>
      <c r="B307">
        <v>0</v>
      </c>
    </row>
    <row r="308" spans="1:2" x14ac:dyDescent="0.35">
      <c r="A308" t="s">
        <v>312</v>
      </c>
      <c r="B308">
        <v>0</v>
      </c>
    </row>
    <row r="309" spans="1:2" x14ac:dyDescent="0.35">
      <c r="A309" t="s">
        <v>100</v>
      </c>
      <c r="B309">
        <v>0</v>
      </c>
    </row>
    <row r="310" spans="1:2" x14ac:dyDescent="0.35">
      <c r="A310" t="s">
        <v>99</v>
      </c>
      <c r="B310">
        <v>0</v>
      </c>
    </row>
    <row r="311" spans="1:2" x14ac:dyDescent="0.35">
      <c r="A311" t="s">
        <v>145</v>
      </c>
      <c r="B311">
        <v>0</v>
      </c>
    </row>
    <row r="312" spans="1:2" x14ac:dyDescent="0.35">
      <c r="A312" t="s">
        <v>101</v>
      </c>
      <c r="B312">
        <v>0</v>
      </c>
    </row>
    <row r="313" spans="1:2" x14ac:dyDescent="0.35">
      <c r="A313" t="s">
        <v>316</v>
      </c>
      <c r="B313">
        <v>0</v>
      </c>
    </row>
    <row r="314" spans="1:2" x14ac:dyDescent="0.35">
      <c r="A314" t="s">
        <v>148</v>
      </c>
      <c r="B314">
        <v>0</v>
      </c>
    </row>
    <row r="315" spans="1:2" x14ac:dyDescent="0.35">
      <c r="A315" t="s">
        <v>191</v>
      </c>
      <c r="B315">
        <v>0</v>
      </c>
    </row>
    <row r="316" spans="1:2" x14ac:dyDescent="0.35">
      <c r="A316" t="s">
        <v>271</v>
      </c>
      <c r="B316">
        <v>0</v>
      </c>
    </row>
    <row r="317" spans="1:2" x14ac:dyDescent="0.35">
      <c r="A317" t="s">
        <v>317</v>
      </c>
      <c r="B317">
        <v>0</v>
      </c>
    </row>
    <row r="318" spans="1:2" x14ac:dyDescent="0.35">
      <c r="A318" t="s">
        <v>103</v>
      </c>
      <c r="B318">
        <v>0</v>
      </c>
    </row>
    <row r="319" spans="1:2" x14ac:dyDescent="0.35">
      <c r="A319" t="s">
        <v>348</v>
      </c>
      <c r="B319">
        <v>0</v>
      </c>
    </row>
    <row r="320" spans="1:2" x14ac:dyDescent="0.35">
      <c r="A320" t="s">
        <v>146</v>
      </c>
      <c r="B320">
        <v>0</v>
      </c>
    </row>
    <row r="321" spans="1:2" x14ac:dyDescent="0.35">
      <c r="A321" t="s">
        <v>190</v>
      </c>
      <c r="B321">
        <v>0</v>
      </c>
    </row>
    <row r="322" spans="1:2" x14ac:dyDescent="0.35">
      <c r="A322" t="s">
        <v>313</v>
      </c>
      <c r="B322">
        <v>0</v>
      </c>
    </row>
    <row r="323" spans="1:2" x14ac:dyDescent="0.35">
      <c r="A323" t="s">
        <v>349</v>
      </c>
      <c r="B323">
        <v>0</v>
      </c>
    </row>
    <row r="324" spans="1:2" x14ac:dyDescent="0.35">
      <c r="A324" t="s">
        <v>352</v>
      </c>
      <c r="B324">
        <v>0</v>
      </c>
    </row>
    <row r="325" spans="1:2" x14ac:dyDescent="0.35">
      <c r="A325" t="s">
        <v>147</v>
      </c>
      <c r="B325">
        <v>0</v>
      </c>
    </row>
    <row r="326" spans="1:2" x14ac:dyDescent="0.35">
      <c r="A326" t="s">
        <v>46</v>
      </c>
      <c r="B326">
        <v>0</v>
      </c>
    </row>
    <row r="327" spans="1:2" x14ac:dyDescent="0.35">
      <c r="A327" t="s">
        <v>223</v>
      </c>
      <c r="B327">
        <v>0</v>
      </c>
    </row>
    <row r="328" spans="1:2" x14ac:dyDescent="0.35">
      <c r="A328" t="s">
        <v>350</v>
      </c>
      <c r="B328">
        <v>0</v>
      </c>
    </row>
    <row r="329" spans="1:2" x14ac:dyDescent="0.35">
      <c r="A329" t="s">
        <v>48</v>
      </c>
      <c r="B329">
        <v>0</v>
      </c>
    </row>
    <row r="330" spans="1:2" x14ac:dyDescent="0.35">
      <c r="A330" t="s">
        <v>273</v>
      </c>
      <c r="B330">
        <v>0</v>
      </c>
    </row>
    <row r="331" spans="1:2" x14ac:dyDescent="0.35">
      <c r="A331" t="s">
        <v>54</v>
      </c>
      <c r="B331">
        <v>2328237</v>
      </c>
    </row>
    <row r="332" spans="1:2" x14ac:dyDescent="0.35">
      <c r="A332" t="s">
        <v>318</v>
      </c>
      <c r="B332">
        <v>0</v>
      </c>
    </row>
    <row r="333" spans="1:2" x14ac:dyDescent="0.35">
      <c r="A333" t="s">
        <v>49</v>
      </c>
      <c r="B333">
        <v>0</v>
      </c>
    </row>
    <row r="334" spans="1:2" x14ac:dyDescent="0.35">
      <c r="A334" t="s">
        <v>319</v>
      </c>
      <c r="B334">
        <v>0</v>
      </c>
    </row>
    <row r="335" spans="1:2" x14ac:dyDescent="0.35">
      <c r="A335" t="s">
        <v>149</v>
      </c>
      <c r="B335">
        <v>0</v>
      </c>
    </row>
    <row r="336" spans="1:2" x14ac:dyDescent="0.35">
      <c r="A336" t="s">
        <v>150</v>
      </c>
      <c r="B336">
        <v>0</v>
      </c>
    </row>
    <row r="337" spans="1:2" x14ac:dyDescent="0.35">
      <c r="A337" t="s">
        <v>104</v>
      </c>
      <c r="B337">
        <v>0</v>
      </c>
    </row>
    <row r="338" spans="1:2" x14ac:dyDescent="0.35">
      <c r="A338" t="s">
        <v>50</v>
      </c>
      <c r="B338">
        <v>0</v>
      </c>
    </row>
    <row r="339" spans="1:2" x14ac:dyDescent="0.35">
      <c r="A339" t="s">
        <v>0</v>
      </c>
      <c r="B339">
        <v>0</v>
      </c>
    </row>
    <row r="340" spans="1:2" x14ac:dyDescent="0.35">
      <c r="A340" t="s">
        <v>151</v>
      </c>
      <c r="B340">
        <v>0</v>
      </c>
    </row>
    <row r="341" spans="1:2" x14ac:dyDescent="0.35">
      <c r="A341" t="s">
        <v>323</v>
      </c>
      <c r="B341">
        <v>0</v>
      </c>
    </row>
    <row r="342" spans="1:2" x14ac:dyDescent="0.35">
      <c r="A342" t="s">
        <v>320</v>
      </c>
      <c r="B342">
        <v>0</v>
      </c>
    </row>
    <row r="343" spans="1:2" x14ac:dyDescent="0.35">
      <c r="A343" t="s">
        <v>1</v>
      </c>
      <c r="B343">
        <v>0</v>
      </c>
    </row>
    <row r="344" spans="1:2" x14ac:dyDescent="0.35">
      <c r="A344" t="s">
        <v>2</v>
      </c>
      <c r="B344">
        <v>0</v>
      </c>
    </row>
    <row r="345" spans="1:2" x14ac:dyDescent="0.35">
      <c r="A345" t="s">
        <v>355</v>
      </c>
      <c r="B345">
        <v>0</v>
      </c>
    </row>
    <row r="346" spans="1:2" x14ac:dyDescent="0.35">
      <c r="A346" t="s">
        <v>51</v>
      </c>
      <c r="B346">
        <v>0</v>
      </c>
    </row>
    <row r="347" spans="1:2" x14ac:dyDescent="0.35">
      <c r="A347" t="s">
        <v>224</v>
      </c>
      <c r="B347">
        <v>0</v>
      </c>
    </row>
    <row r="348" spans="1:2" x14ac:dyDescent="0.35">
      <c r="A348" t="s">
        <v>52</v>
      </c>
      <c r="B348">
        <v>0</v>
      </c>
    </row>
    <row r="349" spans="1:2" x14ac:dyDescent="0.35">
      <c r="A349" t="s">
        <v>353</v>
      </c>
      <c r="B349">
        <v>0</v>
      </c>
    </row>
    <row r="350" spans="1:2" x14ac:dyDescent="0.35">
      <c r="A350" t="s">
        <v>354</v>
      </c>
      <c r="B350">
        <v>0</v>
      </c>
    </row>
    <row r="351" spans="1:2" x14ac:dyDescent="0.35">
      <c r="A351" t="s">
        <v>321</v>
      </c>
      <c r="B351">
        <v>0</v>
      </c>
    </row>
    <row r="352" spans="1:2" x14ac:dyDescent="0.35">
      <c r="A352" t="s">
        <v>192</v>
      </c>
      <c r="B352">
        <v>0</v>
      </c>
    </row>
    <row r="353" spans="1:2" x14ac:dyDescent="0.35">
      <c r="A353" t="s">
        <v>225</v>
      </c>
      <c r="B353">
        <v>0</v>
      </c>
    </row>
    <row r="354" spans="1:2" x14ac:dyDescent="0.35">
      <c r="A354" t="s">
        <v>274</v>
      </c>
      <c r="B354">
        <v>0</v>
      </c>
    </row>
    <row r="355" spans="1:2" x14ac:dyDescent="0.35">
      <c r="A355" t="s">
        <v>55</v>
      </c>
      <c r="B355">
        <v>0</v>
      </c>
    </row>
    <row r="356" spans="1:2" x14ac:dyDescent="0.35">
      <c r="A356" t="s">
        <v>105</v>
      </c>
      <c r="B356">
        <v>0</v>
      </c>
    </row>
    <row r="357" spans="1:2" x14ac:dyDescent="0.35">
      <c r="A357" t="s">
        <v>275</v>
      </c>
      <c r="B357">
        <v>0</v>
      </c>
    </row>
    <row r="358" spans="1:2" x14ac:dyDescent="0.35">
      <c r="A358" t="s">
        <v>256</v>
      </c>
      <c r="B358">
        <v>0</v>
      </c>
    </row>
    <row r="359" spans="1:2" x14ac:dyDescent="0.35">
      <c r="A359" t="s">
        <v>180</v>
      </c>
      <c r="B359">
        <v>0</v>
      </c>
    </row>
    <row r="360" spans="1:2" x14ac:dyDescent="0.35">
      <c r="A360" t="s">
        <v>129</v>
      </c>
      <c r="B360">
        <v>0</v>
      </c>
    </row>
    <row r="361" spans="1:2" x14ac:dyDescent="0.35">
      <c r="A361" t="s">
        <v>226</v>
      </c>
      <c r="B361">
        <v>0</v>
      </c>
    </row>
    <row r="362" spans="1:2" x14ac:dyDescent="0.35">
      <c r="A362" t="s">
        <v>152</v>
      </c>
      <c r="B362">
        <v>0</v>
      </c>
    </row>
    <row r="363" spans="1:2" x14ac:dyDescent="0.35">
      <c r="A363" t="s">
        <v>356</v>
      </c>
      <c r="B363">
        <v>0</v>
      </c>
    </row>
    <row r="364" spans="1:2" x14ac:dyDescent="0.35">
      <c r="A364" t="s">
        <v>322</v>
      </c>
      <c r="B364">
        <v>0</v>
      </c>
    </row>
    <row r="365" spans="1:2" x14ac:dyDescent="0.35">
      <c r="A365" t="s">
        <v>193</v>
      </c>
      <c r="B365">
        <v>0</v>
      </c>
    </row>
    <row r="366" spans="1:2" x14ac:dyDescent="0.35">
      <c r="A366" t="s">
        <v>57</v>
      </c>
      <c r="B366">
        <v>0</v>
      </c>
    </row>
    <row r="367" spans="1:2" x14ac:dyDescent="0.35">
      <c r="A367" t="s">
        <v>227</v>
      </c>
      <c r="B367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Generic 2</vt:lpstr>
      <vt:lpstr>Sheet2</vt:lpstr>
      <vt:lpstr>Sheet4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Anandmohan</dc:creator>
  <cp:lastModifiedBy>Singh, Anandmohan</cp:lastModifiedBy>
  <dcterms:created xsi:type="dcterms:W3CDTF">2026-01-09T07:17:21Z</dcterms:created>
  <dcterms:modified xsi:type="dcterms:W3CDTF">2026-01-12T07:44:23Z</dcterms:modified>
</cp:coreProperties>
</file>